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omments6.xml" ContentType="application/vnd.openxmlformats-officedocument.spreadsheetml.comments+xml"/>
  <Override PartName="/xl/comments7.xml" ContentType="application/vnd.openxmlformats-officedocument.spreadsheetml.comments+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showInkAnnotation="0" codeName="ThisWorkbook"/>
  <mc:AlternateContent xmlns:mc="http://schemas.openxmlformats.org/markup-compatibility/2006">
    <mc:Choice Requires="x15">
      <x15ac:absPath xmlns:x15ac="http://schemas.microsoft.com/office/spreadsheetml/2010/11/ac" url="D:\Portfolio Website\officeDemo\pmwb\public\"/>
    </mc:Choice>
  </mc:AlternateContent>
  <xr:revisionPtr revIDLastSave="0" documentId="13_ncr:1_{2D7C997A-CCED-4E4E-B252-77B2F7FAAF45}" xr6:coauthVersionLast="47" xr6:coauthVersionMax="47" xr10:uidLastSave="{00000000-0000-0000-0000-000000000000}"/>
  <bookViews>
    <workbookView xWindow="-120" yWindow="-120" windowWidth="20730" windowHeight="11040" firstSheet="19" activeTab="21" xr2:uid="{00000000-000D-0000-FFFF-FFFF00000000}"/>
  </bookViews>
  <sheets>
    <sheet name="MainPage" sheetId="62" r:id="rId1"/>
    <sheet name="Project Info" sheetId="50" r:id="rId2"/>
    <sheet name="Project information1" sheetId="4" state="hidden" r:id="rId3"/>
    <sheet name="Charts" sheetId="19" state="hidden" r:id="rId4"/>
    <sheet name="PSR" sheetId="43" r:id="rId5"/>
    <sheet name="Control Sheet" sheetId="41" state="hidden" r:id="rId6"/>
    <sheet name="Training" sheetId="26" r:id="rId7"/>
    <sheet name="Resources" sheetId="42" r:id="rId8"/>
    <sheet name="Metrics planning and tracking" sheetId="3" r:id="rId9"/>
    <sheet name="Risk Management" sheetId="57" r:id="rId10"/>
    <sheet name="Size, Schedule and Effort" sheetId="20" r:id="rId11"/>
    <sheet name="Control panel" sheetId="16" r:id="rId12"/>
    <sheet name="Sheet2" sheetId="64" r:id="rId13"/>
    <sheet name="Quality of Work" sheetId="21" r:id="rId14"/>
    <sheet name="Risk Management - Methodology" sheetId="63" r:id="rId15"/>
    <sheet name="Issue Management" sheetId="39" r:id="rId16"/>
    <sheet name="Opportunity Tracker" sheetId="44" r:id="rId17"/>
    <sheet name="Verification data" sheetId="1" r:id="rId18"/>
    <sheet name="Verification Summary" sheetId="17" r:id="rId19"/>
    <sheet name="Project Closeout Meeting" sheetId="59" r:id="rId20"/>
    <sheet name="Lesson Learned" sheetId="60" r:id="rId21"/>
    <sheet name="PerformanceMetrices" sheetId="61" r:id="rId22"/>
    <sheet name="Sheet1" sheetId="58" r:id="rId23"/>
  </sheets>
  <externalReferences>
    <externalReference r:id="rId24"/>
    <externalReference r:id="rId25"/>
    <externalReference r:id="rId26"/>
  </externalReferences>
  <definedNames>
    <definedName name="_xlnm._FilterDatabase" localSheetId="11" hidden="1">'Control panel'!$B$3:$B$20</definedName>
    <definedName name="_xlnm.Print_Area" localSheetId="3">Charts!$A$1:$V$118</definedName>
    <definedName name="_xlnm.Print_Area" localSheetId="11">'Control panel'!$A:$B</definedName>
    <definedName name="_xlnm.Print_Area" localSheetId="8">'Metrics planning and tracking'!$A:$P</definedName>
    <definedName name="_xlnm.Print_Area" localSheetId="19">'Project Closeout Meeting'!$A$1:$C$81</definedName>
    <definedName name="_xlnm.Print_Area" localSheetId="2">'Project information1'!$A:$F</definedName>
    <definedName name="_xlnm.Print_Area" localSheetId="13">'Quality of Work'!$A:$H</definedName>
    <definedName name="_xlnm.Print_Area" localSheetId="9">'Risk Management'!$B$1:$AE$22</definedName>
    <definedName name="_xlnm.Print_Area" localSheetId="10">'Size, Schedule and Effort'!$A:$Q</definedName>
    <definedName name="_xlnm.Print_Area" localSheetId="6">Training!$A:$J</definedName>
    <definedName name="_xlnm.Print_Area" localSheetId="17">'Verification data'!$A:$R</definedName>
    <definedName name="_xlnm.Print_Area" localSheetId="18">'Verification Summary'!$A:$N</definedName>
    <definedName name="_xlnm.Print_Titles" localSheetId="11">'Control panel'!$3:$3</definedName>
    <definedName name="_xlnm.Print_Titles" localSheetId="8">'Metrics planning and tracking'!$1:$1</definedName>
    <definedName name="_xlnm.Print_Titles" localSheetId="2">'Project information1'!$1:$18</definedName>
    <definedName name="_xlnm.Print_Titles" localSheetId="13">'Quality of Work'!$18:$18</definedName>
    <definedName name="_xlnm.Print_Titles" localSheetId="9">'Risk Management'!$E:$E,'Risk Management'!$1:$2</definedName>
    <definedName name="_xlnm.Print_Titles" localSheetId="10">'Size, Schedule and Effort'!$A:$A,'Size, Schedule and Effort'!$1:$2</definedName>
    <definedName name="_xlnm.Print_Titles" localSheetId="6">Training!$1:$1</definedName>
    <definedName name="_xlnm.Print_Titles" localSheetId="17">'Verification data'!$1:$1</definedName>
    <definedName name="_xlnm.Print_Titles" localSheetId="18">'Verification Summary'!$1:$4</definedName>
    <definedName name="Resource_Billability">'[1]Control Reference'!$E$13:$E$15</definedName>
    <definedName name="Role_Level">'[2]Control Reference'!$G$8:$G$48</definedName>
    <definedName name="Type">'[3]Maintenance Work Order'!#REF!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43" i="43" l="1"/>
  <c r="B43" i="43"/>
  <c r="H18" i="43"/>
  <c r="F18" i="43"/>
  <c r="E18" i="43"/>
  <c r="E19" i="43"/>
  <c r="AE14" i="42"/>
  <c r="AB14" i="42"/>
  <c r="AB13" i="42"/>
  <c r="AB12" i="42"/>
  <c r="AB11" i="42"/>
  <c r="AB10" i="42"/>
  <c r="AB9" i="42"/>
  <c r="AB8" i="42"/>
  <c r="AB7" i="42"/>
  <c r="AB6" i="42"/>
  <c r="AB5" i="42"/>
  <c r="AB4" i="42"/>
  <c r="Z14" i="42"/>
  <c r="L14" i="42"/>
  <c r="G14" i="42"/>
  <c r="I14" i="42"/>
  <c r="I13" i="42"/>
  <c r="I12" i="42"/>
  <c r="I11" i="42"/>
  <c r="I10" i="42"/>
  <c r="I9" i="42"/>
  <c r="I8" i="42"/>
  <c r="I7" i="42"/>
  <c r="I6" i="42"/>
  <c r="I5" i="42"/>
  <c r="I4" i="42"/>
  <c r="Z20" i="42"/>
  <c r="Z21" i="42"/>
  <c r="Z22" i="42"/>
  <c r="Z23" i="42"/>
  <c r="Z24" i="42"/>
  <c r="Z25" i="42"/>
  <c r="Z26" i="42"/>
  <c r="Z27" i="42"/>
  <c r="Z28" i="42"/>
  <c r="Z29" i="42"/>
  <c r="Z30" i="42"/>
  <c r="Z31" i="42"/>
  <c r="Z32" i="42"/>
  <c r="Z33" i="42"/>
  <c r="K21" i="42"/>
  <c r="K22" i="42"/>
  <c r="K23" i="42"/>
  <c r="K24" i="42"/>
  <c r="K25" i="42"/>
  <c r="K26" i="42"/>
  <c r="K27" i="42"/>
  <c r="K28" i="42"/>
  <c r="K29" i="42"/>
  <c r="K30" i="42"/>
  <c r="K31" i="42"/>
  <c r="K32" i="42"/>
  <c r="K18" i="42"/>
  <c r="Z18" i="42"/>
  <c r="G18" i="43" l="1"/>
  <c r="AP18" i="57"/>
  <c r="AK18" i="57"/>
  <c r="AP17" i="57"/>
  <c r="AK17" i="57"/>
  <c r="AP16" i="57"/>
  <c r="AK16" i="57"/>
  <c r="X72" i="57"/>
  <c r="Y72" i="57" s="1"/>
  <c r="P72" i="57"/>
  <c r="X71" i="57"/>
  <c r="Y71" i="57" s="1"/>
  <c r="P71" i="57"/>
  <c r="X70" i="57"/>
  <c r="Y70" i="57" s="1"/>
  <c r="P70" i="57"/>
  <c r="X69" i="57"/>
  <c r="Y69" i="57" s="1"/>
  <c r="P69" i="57"/>
  <c r="X68" i="57"/>
  <c r="Y68" i="57" s="1"/>
  <c r="P68" i="57"/>
  <c r="X67" i="57"/>
  <c r="Y67" i="57" s="1"/>
  <c r="P67" i="57"/>
  <c r="X66" i="57"/>
  <c r="Y66" i="57" s="1"/>
  <c r="P66" i="57"/>
  <c r="X65" i="57"/>
  <c r="Y65" i="57" s="1"/>
  <c r="P65" i="57"/>
  <c r="X64" i="57"/>
  <c r="Y64" i="57" s="1"/>
  <c r="P64" i="57"/>
  <c r="X63" i="57"/>
  <c r="Y63" i="57" s="1"/>
  <c r="P63" i="57"/>
  <c r="X62" i="57"/>
  <c r="Y62" i="57" s="1"/>
  <c r="P62" i="57"/>
  <c r="X61" i="57"/>
  <c r="Y61" i="57" s="1"/>
  <c r="P61" i="57"/>
  <c r="Q61" i="57" s="1"/>
  <c r="X60" i="57"/>
  <c r="Y60" i="57" s="1"/>
  <c r="P60" i="57"/>
  <c r="Q60" i="57" s="1"/>
  <c r="X59" i="57"/>
  <c r="Y59" i="57" s="1"/>
  <c r="P59" i="57"/>
  <c r="Q59" i="57" s="1"/>
  <c r="X58" i="57"/>
  <c r="Y58" i="57" s="1"/>
  <c r="P58" i="57"/>
  <c r="Q58" i="57" s="1"/>
  <c r="X57" i="57"/>
  <c r="Y57" i="57" s="1"/>
  <c r="P57" i="57"/>
  <c r="Q57" i="57" s="1"/>
  <c r="X56" i="57"/>
  <c r="Y56" i="57" s="1"/>
  <c r="P56" i="57"/>
  <c r="Q56" i="57" s="1"/>
  <c r="X55" i="57"/>
  <c r="Y55" i="57" s="1"/>
  <c r="P55" i="57"/>
  <c r="Q55" i="57" s="1"/>
  <c r="X54" i="57"/>
  <c r="Y54" i="57" s="1"/>
  <c r="P54" i="57"/>
  <c r="Q54" i="57" s="1"/>
  <c r="X53" i="57"/>
  <c r="Y53" i="57" s="1"/>
  <c r="P53" i="57"/>
  <c r="Q53" i="57" s="1"/>
  <c r="X52" i="57"/>
  <c r="Y52" i="57" s="1"/>
  <c r="P52" i="57"/>
  <c r="Q52" i="57" s="1"/>
  <c r="X51" i="57"/>
  <c r="Y51" i="57" s="1"/>
  <c r="P51" i="57"/>
  <c r="Q51" i="57" s="1"/>
  <c r="X50" i="57"/>
  <c r="Y50" i="57" s="1"/>
  <c r="P50" i="57"/>
  <c r="Q50" i="57" s="1"/>
  <c r="AK49" i="57"/>
  <c r="X49" i="57"/>
  <c r="P49" i="57"/>
  <c r="Q49" i="57" s="1"/>
  <c r="AP48" i="57"/>
  <c r="AK48" i="57"/>
  <c r="X48" i="57"/>
  <c r="P48" i="57"/>
  <c r="Q48" i="57" s="1"/>
  <c r="AK47" i="57"/>
  <c r="X47" i="57"/>
  <c r="P47" i="57"/>
  <c r="Q47" i="57" s="1"/>
  <c r="AP46" i="57"/>
  <c r="AK46" i="57"/>
  <c r="AC46" i="57"/>
  <c r="X46" i="57"/>
  <c r="P46" i="57"/>
  <c r="Q46" i="57" s="1"/>
  <c r="AP45" i="57"/>
  <c r="AK45" i="57"/>
  <c r="AP44" i="57"/>
  <c r="AK44" i="57"/>
  <c r="AP43" i="57"/>
  <c r="AK43" i="57"/>
  <c r="AP42" i="57"/>
  <c r="AK42" i="57"/>
  <c r="AP41" i="57"/>
  <c r="AK41" i="57"/>
  <c r="AP40" i="57"/>
  <c r="AK40" i="57"/>
  <c r="AP39" i="57"/>
  <c r="AK39" i="57"/>
  <c r="AP38" i="57"/>
  <c r="AK38" i="57"/>
  <c r="AP37" i="57"/>
  <c r="AK37" i="57"/>
  <c r="AP36" i="57"/>
  <c r="AK36" i="57"/>
  <c r="AP35" i="57"/>
  <c r="AK35" i="57"/>
  <c r="AP34" i="57"/>
  <c r="AK34" i="57"/>
  <c r="AP33" i="57"/>
  <c r="AK33" i="57"/>
  <c r="AP32" i="57"/>
  <c r="AK32" i="57"/>
  <c r="AP31" i="57"/>
  <c r="AK31" i="57"/>
  <c r="AP30" i="57"/>
  <c r="AK30" i="57"/>
  <c r="AP29" i="57"/>
  <c r="AK29" i="57"/>
  <c r="AP28" i="57"/>
  <c r="AK28" i="57"/>
  <c r="AP27" i="57"/>
  <c r="AK27" i="57"/>
  <c r="AP26" i="57"/>
  <c r="AK26" i="57"/>
  <c r="AP25" i="57"/>
  <c r="AK25" i="57"/>
  <c r="AP24" i="57"/>
  <c r="AK24" i="57"/>
  <c r="AP23" i="57"/>
  <c r="AK23" i="57"/>
  <c r="AP22" i="57"/>
  <c r="AK22" i="57"/>
  <c r="AP21" i="57"/>
  <c r="AK21" i="57"/>
  <c r="AP20" i="57"/>
  <c r="AK20" i="57"/>
  <c r="AP19" i="57"/>
  <c r="AK19" i="57"/>
  <c r="AP15" i="57"/>
  <c r="AK15" i="57"/>
  <c r="AP14" i="57"/>
  <c r="AK14" i="57"/>
  <c r="AP13" i="57"/>
  <c r="AK13" i="57"/>
  <c r="AP12" i="57"/>
  <c r="AK12" i="57"/>
  <c r="AP11" i="57"/>
  <c r="AK11" i="57"/>
  <c r="AP10" i="57"/>
  <c r="AK10" i="57"/>
  <c r="AP9" i="57"/>
  <c r="AK9" i="57"/>
  <c r="AP8" i="57"/>
  <c r="AK8" i="57"/>
  <c r="AP7" i="57"/>
  <c r="AK7" i="57"/>
  <c r="AP6" i="57"/>
  <c r="AK6" i="57"/>
  <c r="AP5" i="57"/>
  <c r="AK5" i="57"/>
  <c r="AP4" i="57"/>
  <c r="AK4" i="57"/>
  <c r="AP3" i="57"/>
  <c r="AK3" i="57"/>
  <c r="AL18" i="57" l="1"/>
  <c r="AM18" i="57"/>
  <c r="AN18" i="57" s="1"/>
  <c r="AL17" i="57"/>
  <c r="AM17" i="57"/>
  <c r="AN17" i="57" s="1"/>
  <c r="AL16" i="57"/>
  <c r="AN16" i="57" s="1"/>
  <c r="AM16" i="57"/>
  <c r="AL4" i="57"/>
  <c r="AM5" i="57"/>
  <c r="AM6" i="57"/>
  <c r="AM7" i="57"/>
  <c r="AL8" i="57"/>
  <c r="AM9" i="57"/>
  <c r="AL15" i="57"/>
  <c r="AN15" i="57" s="1"/>
  <c r="AM15" i="57"/>
  <c r="AL19" i="57"/>
  <c r="AN19" i="57" s="1"/>
  <c r="AM19" i="57"/>
  <c r="AL20" i="57"/>
  <c r="AL22" i="57"/>
  <c r="AL23" i="57"/>
  <c r="AM23" i="57"/>
  <c r="AN23" i="57"/>
  <c r="AL24" i="57"/>
  <c r="AL26" i="57"/>
  <c r="AL27" i="57"/>
  <c r="AM27" i="57"/>
  <c r="AL28" i="57"/>
  <c r="AL30" i="57"/>
  <c r="AL31" i="57"/>
  <c r="AM31" i="57"/>
  <c r="AL32" i="57"/>
  <c r="AM34" i="57"/>
  <c r="AN34" i="57" s="1"/>
  <c r="AL34" i="57"/>
  <c r="AL35" i="57"/>
  <c r="AL36" i="57"/>
  <c r="AM38" i="57"/>
  <c r="AL38" i="57"/>
  <c r="AN38" i="57" s="1"/>
  <c r="AL39" i="57"/>
  <c r="AM39" i="57"/>
  <c r="AN39" i="57" s="1"/>
  <c r="AL40" i="57"/>
  <c r="AM42" i="57"/>
  <c r="AL42" i="57"/>
  <c r="AL43" i="57"/>
  <c r="AL44" i="57"/>
  <c r="Y46" i="57"/>
  <c r="AM46" i="57" s="1"/>
  <c r="AL46" i="57"/>
  <c r="AN46" i="57"/>
  <c r="AL47" i="57"/>
  <c r="Y47" i="57"/>
  <c r="AM47" i="57" s="1"/>
  <c r="AN47" i="57" s="1"/>
  <c r="AL48" i="57"/>
  <c r="AN48" i="57" s="1"/>
  <c r="Y48" i="57"/>
  <c r="AL49" i="57"/>
  <c r="AL3" i="57"/>
  <c r="AL7" i="57"/>
  <c r="AN7" i="57" s="1"/>
  <c r="AL6" i="57"/>
  <c r="AN6" i="57" s="1"/>
  <c r="AM3" i="57"/>
  <c r="AL14" i="57"/>
  <c r="AL11" i="57"/>
  <c r="AL10" i="57"/>
  <c r="AM11" i="57"/>
  <c r="AL12" i="57"/>
  <c r="AM13" i="57"/>
  <c r="AM21" i="57"/>
  <c r="AM25" i="57"/>
  <c r="AM29" i="57"/>
  <c r="AM33" i="57"/>
  <c r="AM37" i="57"/>
  <c r="AM41" i="57"/>
  <c r="AM45" i="57"/>
  <c r="AM48" i="57"/>
  <c r="AM35" i="57"/>
  <c r="AN35" i="57" s="1"/>
  <c r="AM43" i="57"/>
  <c r="AM10" i="57"/>
  <c r="AM14" i="57"/>
  <c r="AM22" i="57"/>
  <c r="AM26" i="57"/>
  <c r="AM30" i="57"/>
  <c r="AN30" i="57" s="1"/>
  <c r="AL5" i="57"/>
  <c r="AN5" i="57" s="1"/>
  <c r="AL9" i="57"/>
  <c r="AN9" i="57" s="1"/>
  <c r="AL13" i="57"/>
  <c r="AL21" i="57"/>
  <c r="AL25" i="57"/>
  <c r="AL29" i="57"/>
  <c r="AL33" i="57"/>
  <c r="AL37" i="57"/>
  <c r="AL41" i="57"/>
  <c r="AL45" i="57"/>
  <c r="AN45" i="57" s="1"/>
  <c r="Y49" i="57"/>
  <c r="AM49" i="57" s="1"/>
  <c r="AN49" i="57" s="1"/>
  <c r="AM4" i="57"/>
  <c r="AM8" i="57"/>
  <c r="AN8" i="57" s="1"/>
  <c r="AM12" i="57"/>
  <c r="AM20" i="57"/>
  <c r="AN20" i="57" s="1"/>
  <c r="AM24" i="57"/>
  <c r="AN24" i="57" s="1"/>
  <c r="AM28" i="57"/>
  <c r="AN28" i="57" s="1"/>
  <c r="AM32" i="57"/>
  <c r="AN32" i="57" s="1"/>
  <c r="AM36" i="57"/>
  <c r="AM40" i="57"/>
  <c r="AN40" i="57" s="1"/>
  <c r="AM44" i="57"/>
  <c r="AN12" i="57" l="1"/>
  <c r="AN29" i="57"/>
  <c r="AN44" i="57"/>
  <c r="AN42" i="57"/>
  <c r="AN26" i="57"/>
  <c r="AN31" i="57"/>
  <c r="AN4" i="57"/>
  <c r="AN43" i="57"/>
  <c r="AN27" i="57"/>
  <c r="AN33" i="57"/>
  <c r="AN22" i="57"/>
  <c r="AN25" i="57"/>
  <c r="AN21" i="57"/>
  <c r="AN36" i="57"/>
  <c r="AN3" i="57"/>
  <c r="AN14" i="57"/>
  <c r="AN13" i="57"/>
  <c r="AN11" i="57"/>
  <c r="AN10" i="57"/>
  <c r="AN37" i="57"/>
  <c r="AN41" i="57"/>
  <c r="K8" i="20" l="1"/>
  <c r="L8" i="20"/>
  <c r="AH8" i="20"/>
  <c r="N8" i="20"/>
  <c r="W8" i="20"/>
  <c r="AV414" i="20" l="1"/>
  <c r="AH414" i="20"/>
  <c r="AG414" i="20"/>
  <c r="AF414" i="20"/>
  <c r="AE414" i="20"/>
  <c r="AD414" i="20"/>
  <c r="AC414" i="20"/>
  <c r="AB414" i="20"/>
  <c r="AA414" i="20"/>
  <c r="Z414" i="20"/>
  <c r="W414" i="20"/>
  <c r="U414" i="20"/>
  <c r="T414" i="20" a="1"/>
  <c r="T414" i="20" s="1"/>
  <c r="S414" i="20" a="1"/>
  <c r="S414" i="20" s="1"/>
  <c r="R414" i="20"/>
  <c r="L414" i="20"/>
  <c r="K414" i="20"/>
  <c r="AV314" i="20"/>
  <c r="AH314" i="20"/>
  <c r="AG314" i="20"/>
  <c r="AF314" i="20"/>
  <c r="AE314" i="20"/>
  <c r="AD314" i="20"/>
  <c r="AC314" i="20"/>
  <c r="AB314" i="20"/>
  <c r="AA314" i="20"/>
  <c r="Z314" i="20"/>
  <c r="W314" i="20"/>
  <c r="U314" i="20"/>
  <c r="T314" i="20" a="1"/>
  <c r="T314" i="20" s="1"/>
  <c r="S314" i="20" a="1"/>
  <c r="S314" i="20" s="1"/>
  <c r="R314" i="20"/>
  <c r="L314" i="20"/>
  <c r="K314" i="20"/>
  <c r="AV221" i="20"/>
  <c r="AH221" i="20"/>
  <c r="AG221" i="20"/>
  <c r="AF221" i="20"/>
  <c r="AE221" i="20"/>
  <c r="AD221" i="20"/>
  <c r="AC221" i="20"/>
  <c r="AB221" i="20"/>
  <c r="AA221" i="20"/>
  <c r="Z221" i="20"/>
  <c r="W221" i="20"/>
  <c r="U221" i="20"/>
  <c r="T221" i="20" a="1"/>
  <c r="T221" i="20" s="1"/>
  <c r="S221" i="20" a="1"/>
  <c r="S221" i="20" s="1"/>
  <c r="R221" i="20"/>
  <c r="L221" i="20"/>
  <c r="K221" i="20"/>
  <c r="AV220" i="20"/>
  <c r="AH220" i="20"/>
  <c r="AG220" i="20"/>
  <c r="AF220" i="20"/>
  <c r="AE220" i="20"/>
  <c r="AD220" i="20"/>
  <c r="AC220" i="20"/>
  <c r="AB220" i="20"/>
  <c r="AA220" i="20"/>
  <c r="Z220" i="20"/>
  <c r="W220" i="20"/>
  <c r="U220" i="20"/>
  <c r="T220" i="20" a="1"/>
  <c r="T220" i="20" s="1"/>
  <c r="S220" i="20" a="1"/>
  <c r="S220" i="20" s="1"/>
  <c r="R220" i="20"/>
  <c r="L220" i="20"/>
  <c r="K220" i="20"/>
  <c r="AV219" i="20"/>
  <c r="AH219" i="20"/>
  <c r="AG219" i="20"/>
  <c r="AF219" i="20"/>
  <c r="AE219" i="20"/>
  <c r="AD219" i="20"/>
  <c r="AC219" i="20"/>
  <c r="AB219" i="20"/>
  <c r="AA219" i="20"/>
  <c r="Z219" i="20"/>
  <c r="W219" i="20"/>
  <c r="U219" i="20"/>
  <c r="T219" i="20" a="1"/>
  <c r="T219" i="20" s="1"/>
  <c r="S219" i="20" a="1"/>
  <c r="S219" i="20" s="1"/>
  <c r="R219" i="20"/>
  <c r="L219" i="20"/>
  <c r="K219" i="20"/>
  <c r="AV218" i="20"/>
  <c r="AH218" i="20"/>
  <c r="AG218" i="20"/>
  <c r="AF218" i="20"/>
  <c r="AE218" i="20"/>
  <c r="AD218" i="20"/>
  <c r="AC218" i="20"/>
  <c r="AB218" i="20"/>
  <c r="AA218" i="20"/>
  <c r="Z218" i="20"/>
  <c r="W218" i="20"/>
  <c r="U218" i="20"/>
  <c r="T218" i="20" a="1"/>
  <c r="T218" i="20" s="1"/>
  <c r="S218" i="20" a="1"/>
  <c r="S218" i="20" s="1"/>
  <c r="R218" i="20"/>
  <c r="L218" i="20"/>
  <c r="K218" i="20"/>
  <c r="AV217" i="20"/>
  <c r="AH217" i="20"/>
  <c r="AG217" i="20"/>
  <c r="AF217" i="20"/>
  <c r="AE217" i="20"/>
  <c r="AD217" i="20"/>
  <c r="AC217" i="20"/>
  <c r="AB217" i="20"/>
  <c r="AA217" i="20"/>
  <c r="Z217" i="20"/>
  <c r="W217" i="20"/>
  <c r="U217" i="20"/>
  <c r="T217" i="20" a="1"/>
  <c r="T217" i="20" s="1"/>
  <c r="S217" i="20" a="1"/>
  <c r="S217" i="20" s="1"/>
  <c r="R217" i="20"/>
  <c r="L217" i="20"/>
  <c r="K217" i="20"/>
  <c r="AV216" i="20"/>
  <c r="AH216" i="20"/>
  <c r="AG216" i="20"/>
  <c r="AF216" i="20"/>
  <c r="AE216" i="20"/>
  <c r="AD216" i="20"/>
  <c r="AC216" i="20"/>
  <c r="AB216" i="20"/>
  <c r="AA216" i="20"/>
  <c r="Z216" i="20"/>
  <c r="W216" i="20"/>
  <c r="U216" i="20"/>
  <c r="T216" i="20" a="1"/>
  <c r="T216" i="20" s="1"/>
  <c r="S216" i="20" a="1"/>
  <c r="S216" i="20" s="1"/>
  <c r="R216" i="20"/>
  <c r="L216" i="20"/>
  <c r="K216" i="20"/>
  <c r="AV215" i="20"/>
  <c r="AH215" i="20"/>
  <c r="AG215" i="20"/>
  <c r="AF215" i="20"/>
  <c r="AE215" i="20"/>
  <c r="AD215" i="20"/>
  <c r="AC215" i="20"/>
  <c r="AB215" i="20"/>
  <c r="AA215" i="20"/>
  <c r="Z215" i="20"/>
  <c r="W215" i="20"/>
  <c r="U215" i="20"/>
  <c r="T215" i="20" a="1"/>
  <c r="T215" i="20" s="1"/>
  <c r="S215" i="20" a="1"/>
  <c r="S215" i="20" s="1"/>
  <c r="R215" i="20"/>
  <c r="L215" i="20"/>
  <c r="K215" i="20"/>
  <c r="AV214" i="20"/>
  <c r="AH214" i="20"/>
  <c r="AG214" i="20"/>
  <c r="AF214" i="20"/>
  <c r="AE214" i="20"/>
  <c r="AD214" i="20"/>
  <c r="AC214" i="20"/>
  <c r="AB214" i="20"/>
  <c r="AA214" i="20"/>
  <c r="Z214" i="20"/>
  <c r="W214" i="20"/>
  <c r="U214" i="20"/>
  <c r="T214" i="20" a="1"/>
  <c r="T214" i="20" s="1"/>
  <c r="S214" i="20" a="1"/>
  <c r="S214" i="20" s="1"/>
  <c r="R214" i="20"/>
  <c r="L214" i="20"/>
  <c r="K214" i="20"/>
  <c r="AV213" i="20"/>
  <c r="AH213" i="20"/>
  <c r="AG213" i="20"/>
  <c r="AF213" i="20"/>
  <c r="AE213" i="20"/>
  <c r="AD213" i="20"/>
  <c r="AC213" i="20"/>
  <c r="AB213" i="20"/>
  <c r="AA213" i="20"/>
  <c r="Z213" i="20"/>
  <c r="W213" i="20"/>
  <c r="U213" i="20"/>
  <c r="T213" i="20" a="1"/>
  <c r="T213" i="20" s="1"/>
  <c r="S213" i="20" a="1"/>
  <c r="S213" i="20" s="1"/>
  <c r="R213" i="20"/>
  <c r="L213" i="20"/>
  <c r="K213" i="20"/>
  <c r="AV212" i="20"/>
  <c r="AH212" i="20"/>
  <c r="AG212" i="20"/>
  <c r="AF212" i="20"/>
  <c r="AE212" i="20"/>
  <c r="AD212" i="20"/>
  <c r="AC212" i="20"/>
  <c r="AB212" i="20"/>
  <c r="AA212" i="20"/>
  <c r="Z212" i="20"/>
  <c r="W212" i="20"/>
  <c r="U212" i="20"/>
  <c r="T212" i="20" a="1"/>
  <c r="T212" i="20" s="1"/>
  <c r="S212" i="20" a="1"/>
  <c r="S212" i="20" s="1"/>
  <c r="R212" i="20"/>
  <c r="L212" i="20"/>
  <c r="K212" i="20"/>
  <c r="AV114" i="20"/>
  <c r="AH114" i="20"/>
  <c r="AG114" i="20"/>
  <c r="AF114" i="20"/>
  <c r="AE114" i="20"/>
  <c r="AD114" i="20"/>
  <c r="AC114" i="20"/>
  <c r="AB114" i="20"/>
  <c r="AA114" i="20"/>
  <c r="Z114" i="20"/>
  <c r="W114" i="20"/>
  <c r="U114" i="20"/>
  <c r="T114" i="20" a="1"/>
  <c r="T114" i="20" s="1"/>
  <c r="S114" i="20" a="1"/>
  <c r="S114" i="20" s="1"/>
  <c r="R114" i="20"/>
  <c r="L114" i="20"/>
  <c r="K114" i="20"/>
  <c r="AV14" i="20"/>
  <c r="AH14" i="20"/>
  <c r="AG14" i="20"/>
  <c r="AF14" i="20"/>
  <c r="AE14" i="20"/>
  <c r="AD14" i="20"/>
  <c r="AC14" i="20"/>
  <c r="AB14" i="20"/>
  <c r="AA14" i="20"/>
  <c r="Z14" i="20"/>
  <c r="W14" i="20"/>
  <c r="U14" i="20"/>
  <c r="T14" i="20" a="1"/>
  <c r="T14" i="20" s="1"/>
  <c r="S14" i="20" a="1"/>
  <c r="S14" i="20" s="1"/>
  <c r="R14" i="20"/>
  <c r="L14" i="20"/>
  <c r="K14" i="20"/>
  <c r="M217" i="20" l="1"/>
  <c r="N213" i="20"/>
  <c r="N221" i="20"/>
  <c r="N217" i="20"/>
  <c r="N314" i="20"/>
  <c r="M314" i="20"/>
  <c r="N215" i="20"/>
  <c r="M215" i="20"/>
  <c r="M114" i="20"/>
  <c r="N114" i="20"/>
  <c r="N216" i="20"/>
  <c r="M216" i="20"/>
  <c r="N218" i="20"/>
  <c r="M214" i="20"/>
  <c r="N214" i="20"/>
  <c r="N414" i="20"/>
  <c r="M414" i="20"/>
  <c r="N212" i="20"/>
  <c r="M212" i="20"/>
  <c r="M219" i="20"/>
  <c r="N219" i="20"/>
  <c r="N220" i="20"/>
  <c r="M220" i="20"/>
  <c r="M213" i="20"/>
  <c r="M221" i="20"/>
  <c r="M218" i="20"/>
  <c r="D18" i="43" l="1"/>
  <c r="D19" i="43"/>
  <c r="D20" i="43"/>
  <c r="D21" i="43"/>
  <c r="D22" i="43"/>
  <c r="D23" i="43"/>
  <c r="D24" i="43"/>
  <c r="D25" i="43"/>
  <c r="D26" i="43"/>
  <c r="D27" i="43"/>
  <c r="U8" i="20" l="1"/>
  <c r="M8" i="20"/>
  <c r="AD8" i="20" l="1"/>
  <c r="AE8" i="20"/>
  <c r="C47" i="43" l="1"/>
  <c r="L28" i="43" l="1"/>
  <c r="K28" i="43"/>
  <c r="L43" i="43"/>
  <c r="K43" i="43"/>
  <c r="Z19" i="42"/>
  <c r="Z34" i="42"/>
  <c r="Z35" i="42"/>
  <c r="Z36" i="42"/>
  <c r="Z37" i="42"/>
  <c r="Z38" i="42"/>
  <c r="Z39" i="42"/>
  <c r="Z40" i="42"/>
  <c r="Z41" i="42"/>
  <c r="Z42" i="42"/>
  <c r="Z43" i="42"/>
  <c r="Z44" i="42"/>
  <c r="Z45" i="42"/>
  <c r="Z46" i="42"/>
  <c r="Z47" i="42"/>
  <c r="Z48" i="42"/>
  <c r="Z49" i="42"/>
  <c r="Z50" i="42"/>
  <c r="Z51" i="42"/>
  <c r="Z52" i="42"/>
  <c r="Z53" i="42"/>
  <c r="Z54" i="42"/>
  <c r="Z55" i="42"/>
  <c r="Z56" i="42"/>
  <c r="Z57" i="42"/>
  <c r="Z58" i="42"/>
  <c r="Z59" i="42"/>
  <c r="Z60" i="42"/>
  <c r="Z61" i="42"/>
  <c r="Z62" i="42"/>
  <c r="Z63" i="42"/>
  <c r="Z64" i="42"/>
  <c r="Z65" i="42"/>
  <c r="Z66" i="42"/>
  <c r="Z67" i="42"/>
  <c r="Z68" i="42"/>
  <c r="Z69" i="42"/>
  <c r="Z70" i="42"/>
  <c r="Z71" i="42"/>
  <c r="Z72" i="42"/>
  <c r="Z73" i="42"/>
  <c r="Z74" i="42"/>
  <c r="Z75" i="42"/>
  <c r="Z76" i="42"/>
  <c r="Z77" i="42"/>
  <c r="Z78" i="42"/>
  <c r="Z79" i="42"/>
  <c r="Z80" i="42"/>
  <c r="Z81" i="42"/>
  <c r="Z82" i="42"/>
  <c r="Z83" i="42"/>
  <c r="Z84" i="42"/>
  <c r="Z85" i="42"/>
  <c r="Z86" i="42"/>
  <c r="N6" i="3" l="1"/>
  <c r="N4" i="20" l="1"/>
  <c r="N5" i="20"/>
  <c r="N6" i="20"/>
  <c r="N7" i="20"/>
  <c r="M4" i="20"/>
  <c r="M5" i="20"/>
  <c r="M6" i="20"/>
  <c r="M7" i="20"/>
  <c r="M3" i="20"/>
  <c r="N3" i="20"/>
  <c r="L4" i="20" l="1"/>
  <c r="L5" i="20"/>
  <c r="L6" i="20"/>
  <c r="L7" i="20"/>
  <c r="L15" i="20"/>
  <c r="L16" i="20"/>
  <c r="L17" i="20"/>
  <c r="L18" i="20"/>
  <c r="L19" i="20"/>
  <c r="L20" i="20"/>
  <c r="L21" i="20"/>
  <c r="L22" i="20"/>
  <c r="L23" i="20"/>
  <c r="L24" i="20"/>
  <c r="L25" i="20"/>
  <c r="L26" i="20"/>
  <c r="L27" i="20"/>
  <c r="L3" i="20"/>
  <c r="K4" i="20"/>
  <c r="K5" i="20"/>
  <c r="K6" i="20"/>
  <c r="K7" i="20"/>
  <c r="K15" i="20"/>
  <c r="K16" i="20"/>
  <c r="K17" i="20"/>
  <c r="K18" i="20"/>
  <c r="K19" i="20"/>
  <c r="K20" i="20"/>
  <c r="K21" i="20"/>
  <c r="K22" i="20"/>
  <c r="K23" i="20"/>
  <c r="K24" i="20"/>
  <c r="K25" i="20"/>
  <c r="K26" i="20"/>
  <c r="K27" i="20"/>
  <c r="K3" i="20"/>
  <c r="K2" i="43" l="1"/>
  <c r="K3" i="43"/>
  <c r="D15" i="50" l="1"/>
  <c r="G47" i="43" l="1"/>
  <c r="E47" i="43"/>
  <c r="T18" i="42"/>
  <c r="O21" i="42" l="1"/>
  <c r="Q21" i="42"/>
  <c r="R21" i="42"/>
  <c r="S21" i="42"/>
  <c r="T21" i="42"/>
  <c r="O22" i="42"/>
  <c r="Q22" i="42"/>
  <c r="R22" i="42"/>
  <c r="S22" i="42"/>
  <c r="T22" i="42"/>
  <c r="O23" i="42"/>
  <c r="Q23" i="42"/>
  <c r="R23" i="42"/>
  <c r="S23" i="42"/>
  <c r="T23" i="42"/>
  <c r="O24" i="42"/>
  <c r="Q24" i="42"/>
  <c r="R24" i="42"/>
  <c r="S24" i="42"/>
  <c r="T24" i="42"/>
  <c r="O25" i="42"/>
  <c r="Q25" i="42"/>
  <c r="R25" i="42"/>
  <c r="S25" i="42"/>
  <c r="T25" i="42"/>
  <c r="O26" i="42"/>
  <c r="Q26" i="42"/>
  <c r="R26" i="42"/>
  <c r="S26" i="42"/>
  <c r="T26" i="42"/>
  <c r="G10" i="42" l="1"/>
  <c r="E24" i="43" s="1"/>
  <c r="G5" i="42"/>
  <c r="M3" i="1"/>
  <c r="M4" i="1"/>
  <c r="M5" i="1"/>
  <c r="M6" i="1"/>
  <c r="M7" i="1"/>
  <c r="M8" i="1"/>
  <c r="M9" i="1"/>
  <c r="M10" i="1"/>
  <c r="M11" i="1"/>
  <c r="M12" i="1"/>
  <c r="M13" i="1"/>
  <c r="M14" i="1"/>
  <c r="M15" i="1"/>
  <c r="M16" i="1"/>
  <c r="M17" i="1"/>
  <c r="M18" i="1"/>
  <c r="M19" i="1"/>
  <c r="M20" i="1"/>
  <c r="M21" i="1"/>
  <c r="M22" i="1"/>
  <c r="M23" i="1"/>
  <c r="M24" i="1"/>
  <c r="M25" i="1"/>
  <c r="M26" i="1"/>
  <c r="M27" i="1"/>
  <c r="M28" i="1"/>
  <c r="M29" i="1"/>
  <c r="O3" i="1"/>
  <c r="O4" i="1"/>
  <c r="O5" i="1"/>
  <c r="O6" i="1"/>
  <c r="O7" i="1"/>
  <c r="O8" i="1"/>
  <c r="O9" i="1"/>
  <c r="O10" i="1"/>
  <c r="O11" i="1"/>
  <c r="O12" i="1"/>
  <c r="O13" i="1"/>
  <c r="O14" i="1"/>
  <c r="O15" i="1"/>
  <c r="O16" i="1"/>
  <c r="O17" i="1"/>
  <c r="O18" i="1"/>
  <c r="O19" i="1"/>
  <c r="O20" i="1"/>
  <c r="O21" i="1"/>
  <c r="O22" i="1"/>
  <c r="O23" i="1"/>
  <c r="O24" i="1"/>
  <c r="O25" i="1"/>
  <c r="O26" i="1"/>
  <c r="O27" i="1"/>
  <c r="O28" i="1"/>
  <c r="O29" i="1"/>
  <c r="O2" i="1"/>
  <c r="T19" i="42"/>
  <c r="T20" i="42"/>
  <c r="T27" i="42"/>
  <c r="T28" i="42"/>
  <c r="T29" i="42"/>
  <c r="T30" i="42"/>
  <c r="T31" i="42"/>
  <c r="T32" i="42"/>
  <c r="T33" i="42"/>
  <c r="T34" i="42"/>
  <c r="T35" i="42"/>
  <c r="T36" i="42"/>
  <c r="T37" i="42"/>
  <c r="T38" i="42"/>
  <c r="T39" i="42"/>
  <c r="T40" i="42"/>
  <c r="T41" i="42"/>
  <c r="T42" i="42"/>
  <c r="T43" i="42"/>
  <c r="T44" i="42"/>
  <c r="T45" i="42"/>
  <c r="T46" i="42"/>
  <c r="T47" i="42"/>
  <c r="T48" i="42"/>
  <c r="T49" i="42"/>
  <c r="T50" i="42"/>
  <c r="T51" i="42"/>
  <c r="T52" i="42"/>
  <c r="T53" i="42"/>
  <c r="T54" i="42"/>
  <c r="T55" i="42"/>
  <c r="T56" i="42"/>
  <c r="T57" i="42"/>
  <c r="T58" i="42"/>
  <c r="T59" i="42"/>
  <c r="T60" i="42"/>
  <c r="T61" i="42"/>
  <c r="T62" i="42"/>
  <c r="T63" i="42"/>
  <c r="T64" i="42"/>
  <c r="T65" i="42"/>
  <c r="T66" i="42"/>
  <c r="T67" i="42"/>
  <c r="T68" i="42"/>
  <c r="T69" i="42"/>
  <c r="T70" i="42"/>
  <c r="T71" i="42"/>
  <c r="T72" i="42"/>
  <c r="T73" i="42"/>
  <c r="T74" i="42"/>
  <c r="T75" i="42"/>
  <c r="T76" i="42"/>
  <c r="T77" i="42"/>
  <c r="T78" i="42"/>
  <c r="T79" i="42"/>
  <c r="T80" i="42"/>
  <c r="T81" i="42"/>
  <c r="T82" i="42"/>
  <c r="T83" i="42"/>
  <c r="T84" i="42"/>
  <c r="T85" i="42"/>
  <c r="T86" i="42"/>
  <c r="S30" i="42"/>
  <c r="S31" i="42"/>
  <c r="S32" i="42"/>
  <c r="S33" i="42"/>
  <c r="S34" i="42"/>
  <c r="S35" i="42"/>
  <c r="S36" i="42"/>
  <c r="S37" i="42"/>
  <c r="S38" i="42"/>
  <c r="S39" i="42"/>
  <c r="S40" i="42"/>
  <c r="S41" i="42"/>
  <c r="S42" i="42"/>
  <c r="S43" i="42"/>
  <c r="S44" i="42"/>
  <c r="S45" i="42"/>
  <c r="S46" i="42"/>
  <c r="S47" i="42"/>
  <c r="S48" i="42"/>
  <c r="S49" i="42"/>
  <c r="S50" i="42"/>
  <c r="S51" i="42"/>
  <c r="S52" i="42"/>
  <c r="S53" i="42"/>
  <c r="S54" i="42"/>
  <c r="S55" i="42"/>
  <c r="S56" i="42"/>
  <c r="S57" i="42"/>
  <c r="S58" i="42"/>
  <c r="S59" i="42"/>
  <c r="S60" i="42"/>
  <c r="S61" i="42"/>
  <c r="S62" i="42"/>
  <c r="S63" i="42"/>
  <c r="S64" i="42"/>
  <c r="S65" i="42"/>
  <c r="S66" i="42"/>
  <c r="S67" i="42"/>
  <c r="S68" i="42"/>
  <c r="S69" i="42"/>
  <c r="S70" i="42"/>
  <c r="S71" i="42"/>
  <c r="S72" i="42"/>
  <c r="S73" i="42"/>
  <c r="S74" i="42"/>
  <c r="S75" i="42"/>
  <c r="S76" i="42"/>
  <c r="S77" i="42"/>
  <c r="S78" i="42"/>
  <c r="S79" i="42"/>
  <c r="S80" i="42"/>
  <c r="S81" i="42"/>
  <c r="S82" i="42"/>
  <c r="S83" i="42"/>
  <c r="S84" i="42"/>
  <c r="S85" i="42"/>
  <c r="S86" i="42"/>
  <c r="R30" i="42"/>
  <c r="R31" i="42"/>
  <c r="R32" i="42"/>
  <c r="R33" i="42"/>
  <c r="R34" i="42"/>
  <c r="R35" i="42"/>
  <c r="R36" i="42"/>
  <c r="R37" i="42"/>
  <c r="R38" i="42"/>
  <c r="R39" i="42"/>
  <c r="R40" i="42"/>
  <c r="R41" i="42"/>
  <c r="R42" i="42"/>
  <c r="R43" i="42"/>
  <c r="R44" i="42"/>
  <c r="R45" i="42"/>
  <c r="R46" i="42"/>
  <c r="R47" i="42"/>
  <c r="R48" i="42"/>
  <c r="R49" i="42"/>
  <c r="R50" i="42"/>
  <c r="R51" i="42"/>
  <c r="R52" i="42"/>
  <c r="R53" i="42"/>
  <c r="R54" i="42"/>
  <c r="R55" i="42"/>
  <c r="R56" i="42"/>
  <c r="R57" i="42"/>
  <c r="R58" i="42"/>
  <c r="R59" i="42"/>
  <c r="R60" i="42"/>
  <c r="R61" i="42"/>
  <c r="R62" i="42"/>
  <c r="R63" i="42"/>
  <c r="R64" i="42"/>
  <c r="R65" i="42"/>
  <c r="R66" i="42"/>
  <c r="R67" i="42"/>
  <c r="R68" i="42"/>
  <c r="R69" i="42"/>
  <c r="R70" i="42"/>
  <c r="R71" i="42"/>
  <c r="R72" i="42"/>
  <c r="R73" i="42"/>
  <c r="R74" i="42"/>
  <c r="R75" i="42"/>
  <c r="R76" i="42"/>
  <c r="R77" i="42"/>
  <c r="R78" i="42"/>
  <c r="R79" i="42"/>
  <c r="R80" i="42"/>
  <c r="R81" i="42"/>
  <c r="R82" i="42"/>
  <c r="R83" i="42"/>
  <c r="R84" i="42"/>
  <c r="R85" i="42"/>
  <c r="R86" i="42"/>
  <c r="Q30" i="42"/>
  <c r="Q31" i="42"/>
  <c r="Q32" i="42"/>
  <c r="Q33" i="42"/>
  <c r="Q34" i="42"/>
  <c r="Q35" i="42"/>
  <c r="Q36" i="42"/>
  <c r="Q37" i="42"/>
  <c r="Q38" i="42"/>
  <c r="Q39" i="42"/>
  <c r="Q40" i="42"/>
  <c r="Q41" i="42"/>
  <c r="Q42" i="42"/>
  <c r="Q43" i="42"/>
  <c r="Q44" i="42"/>
  <c r="Q45" i="42"/>
  <c r="Q46" i="42"/>
  <c r="Q47" i="42"/>
  <c r="Q48" i="42"/>
  <c r="Q49" i="42"/>
  <c r="Q50" i="42"/>
  <c r="Q51" i="42"/>
  <c r="Q52" i="42"/>
  <c r="Q53" i="42"/>
  <c r="Q54" i="42"/>
  <c r="Q55" i="42"/>
  <c r="Q56" i="42"/>
  <c r="Q57" i="42"/>
  <c r="Q58" i="42"/>
  <c r="Q59" i="42"/>
  <c r="Q60" i="42"/>
  <c r="Q61" i="42"/>
  <c r="Q62" i="42"/>
  <c r="Q63" i="42"/>
  <c r="Q64" i="42"/>
  <c r="Q65" i="42"/>
  <c r="Q66" i="42"/>
  <c r="Q67" i="42"/>
  <c r="Q68" i="42"/>
  <c r="Q69" i="42"/>
  <c r="Q70" i="42"/>
  <c r="Q71" i="42"/>
  <c r="Q72" i="42"/>
  <c r="Q73" i="42"/>
  <c r="Q74" i="42"/>
  <c r="Q75" i="42"/>
  <c r="Q76" i="42"/>
  <c r="Q77" i="42"/>
  <c r="Q78" i="42"/>
  <c r="Q79" i="42"/>
  <c r="Q80" i="42"/>
  <c r="Q81" i="42"/>
  <c r="Q82" i="42"/>
  <c r="Q83" i="42"/>
  <c r="Q84" i="42"/>
  <c r="Q85" i="42"/>
  <c r="Q86" i="42"/>
  <c r="B6" i="43"/>
  <c r="B5" i="43"/>
  <c r="B4" i="43"/>
  <c r="M3" i="39"/>
  <c r="M4" i="39"/>
  <c r="M5" i="39"/>
  <c r="M6" i="39"/>
  <c r="M7" i="39"/>
  <c r="M8" i="39"/>
  <c r="M9" i="39"/>
  <c r="M10" i="39"/>
  <c r="M11" i="39"/>
  <c r="M12" i="39"/>
  <c r="M13" i="39"/>
  <c r="M14" i="39"/>
  <c r="M15" i="39"/>
  <c r="M16" i="39"/>
  <c r="L3" i="39"/>
  <c r="L4" i="39"/>
  <c r="L5" i="39"/>
  <c r="L6" i="39"/>
  <c r="L7" i="39"/>
  <c r="L8" i="39"/>
  <c r="L9" i="39"/>
  <c r="L10" i="39"/>
  <c r="L11" i="39"/>
  <c r="L12" i="39"/>
  <c r="L13" i="39"/>
  <c r="L14" i="39"/>
  <c r="L15" i="39"/>
  <c r="L16" i="39"/>
  <c r="K20" i="42"/>
  <c r="K33" i="42"/>
  <c r="K34" i="42"/>
  <c r="K35" i="42"/>
  <c r="K36" i="42"/>
  <c r="K37" i="42"/>
  <c r="K38" i="42"/>
  <c r="K39" i="42"/>
  <c r="K40" i="42"/>
  <c r="K41" i="42"/>
  <c r="K42" i="42"/>
  <c r="K43" i="42"/>
  <c r="K44" i="42"/>
  <c r="K45" i="42"/>
  <c r="K46" i="42"/>
  <c r="K47" i="42"/>
  <c r="K48" i="42"/>
  <c r="K49" i="42"/>
  <c r="K50" i="42"/>
  <c r="K51" i="42"/>
  <c r="K52" i="42"/>
  <c r="K53" i="42"/>
  <c r="K54" i="42"/>
  <c r="K55" i="42"/>
  <c r="K56" i="42"/>
  <c r="K57" i="42"/>
  <c r="K58" i="42"/>
  <c r="K59" i="42"/>
  <c r="K60" i="42"/>
  <c r="K61" i="42"/>
  <c r="K62" i="42"/>
  <c r="K63" i="42"/>
  <c r="K64" i="42"/>
  <c r="K65" i="42"/>
  <c r="K66" i="42"/>
  <c r="K67" i="42"/>
  <c r="K68" i="42"/>
  <c r="K69" i="42"/>
  <c r="K70" i="42"/>
  <c r="K71" i="42"/>
  <c r="K72" i="42"/>
  <c r="K73" i="42"/>
  <c r="K74" i="42"/>
  <c r="K75" i="42"/>
  <c r="K76" i="42"/>
  <c r="K77" i="42"/>
  <c r="K78" i="42"/>
  <c r="K79" i="42"/>
  <c r="K80" i="42"/>
  <c r="K81" i="42"/>
  <c r="K82" i="42"/>
  <c r="K83" i="42"/>
  <c r="K84" i="42"/>
  <c r="K85" i="42"/>
  <c r="K86" i="42"/>
  <c r="H4" i="43"/>
  <c r="H5" i="43"/>
  <c r="H6" i="43"/>
  <c r="F4" i="43"/>
  <c r="F5" i="43"/>
  <c r="F6" i="43"/>
  <c r="H3" i="43"/>
  <c r="F3" i="43"/>
  <c r="D4" i="43"/>
  <c r="D5" i="43"/>
  <c r="D6" i="43"/>
  <c r="D3" i="43"/>
  <c r="G6" i="42"/>
  <c r="E20" i="43" s="1"/>
  <c r="AG13" i="42"/>
  <c r="O42" i="43" s="1"/>
  <c r="R42" i="43" s="1"/>
  <c r="AG12" i="42"/>
  <c r="O41" i="43" s="1"/>
  <c r="R41" i="43" s="1"/>
  <c r="AG11" i="42"/>
  <c r="O40" i="43" s="1"/>
  <c r="R40" i="43" s="1"/>
  <c r="AG10" i="42"/>
  <c r="O39" i="43" s="1"/>
  <c r="R39" i="43" s="1"/>
  <c r="AG9" i="42"/>
  <c r="O38" i="43" s="1"/>
  <c r="R38" i="43" s="1"/>
  <c r="AG8" i="42"/>
  <c r="O37" i="43" s="1"/>
  <c r="R37" i="43" s="1"/>
  <c r="AG7" i="42"/>
  <c r="O36" i="43" s="1"/>
  <c r="R36" i="43" s="1"/>
  <c r="AG6" i="42"/>
  <c r="O35" i="43" s="1"/>
  <c r="R35" i="43" s="1"/>
  <c r="AG5" i="42"/>
  <c r="O34" i="43" s="1"/>
  <c r="AG4" i="42"/>
  <c r="O33" i="43" s="1"/>
  <c r="R33" i="43" s="1"/>
  <c r="AE13" i="42"/>
  <c r="N42" i="43" s="1"/>
  <c r="AE12" i="42"/>
  <c r="AH12" i="42" s="1"/>
  <c r="AE11" i="42"/>
  <c r="AH11" i="42" s="1"/>
  <c r="AE10" i="42"/>
  <c r="N39" i="43" s="1"/>
  <c r="AE9" i="42"/>
  <c r="N38" i="43" s="1"/>
  <c r="AE8" i="42"/>
  <c r="N37" i="43" s="1"/>
  <c r="AE7" i="42"/>
  <c r="AH7" i="42" s="1"/>
  <c r="AE6" i="42"/>
  <c r="AH6" i="42" s="1"/>
  <c r="AE5" i="42"/>
  <c r="AH5" i="42" s="1"/>
  <c r="AE4" i="42"/>
  <c r="N33" i="43" s="1"/>
  <c r="F42" i="43"/>
  <c r="I42" i="43" s="1"/>
  <c r="F41" i="43"/>
  <c r="I41" i="43" s="1"/>
  <c r="F39" i="43"/>
  <c r="F37" i="43"/>
  <c r="I37" i="43" s="1"/>
  <c r="F34" i="43"/>
  <c r="F33" i="43"/>
  <c r="I33" i="43" s="1"/>
  <c r="Z13" i="42"/>
  <c r="Z12" i="42"/>
  <c r="E41" i="43" s="1"/>
  <c r="Z11" i="42"/>
  <c r="E40" i="43" s="1"/>
  <c r="Z10" i="42"/>
  <c r="E39" i="43" s="1"/>
  <c r="H39" i="43" s="1"/>
  <c r="Z9" i="42"/>
  <c r="Z8" i="42"/>
  <c r="E37" i="43" s="1"/>
  <c r="H37" i="43" s="1"/>
  <c r="Z7" i="42"/>
  <c r="E36" i="43" s="1"/>
  <c r="Z6" i="42"/>
  <c r="E35" i="43" s="1"/>
  <c r="Z5" i="42"/>
  <c r="AD5" i="42" s="1"/>
  <c r="Z4" i="42"/>
  <c r="E33" i="43" s="1"/>
  <c r="N12" i="42"/>
  <c r="O26" i="43" s="1"/>
  <c r="R26" i="43" s="1"/>
  <c r="N11" i="42"/>
  <c r="O25" i="43" s="1"/>
  <c r="R25" i="43" s="1"/>
  <c r="N10" i="42"/>
  <c r="O24" i="43" s="1"/>
  <c r="R24" i="43" s="1"/>
  <c r="N9" i="42"/>
  <c r="O23" i="43" s="1"/>
  <c r="R23" i="43" s="1"/>
  <c r="N8" i="42"/>
  <c r="O22" i="43" s="1"/>
  <c r="R22" i="43" s="1"/>
  <c r="N7" i="42"/>
  <c r="O21" i="43" s="1"/>
  <c r="R21" i="43" s="1"/>
  <c r="N6" i="42"/>
  <c r="O20" i="43" s="1"/>
  <c r="N5" i="42"/>
  <c r="O19" i="43" s="1"/>
  <c r="R19" i="43" s="1"/>
  <c r="N4" i="42"/>
  <c r="O18" i="43" s="1"/>
  <c r="R18" i="43" s="1"/>
  <c r="L13" i="42"/>
  <c r="N27" i="43" s="1"/>
  <c r="L12" i="42"/>
  <c r="N26" i="43" s="1"/>
  <c r="L11" i="42"/>
  <c r="N25" i="43" s="1"/>
  <c r="L10" i="42"/>
  <c r="N24" i="43" s="1"/>
  <c r="Q24" i="43" s="1"/>
  <c r="L9" i="42"/>
  <c r="O9" i="42" s="1"/>
  <c r="L8" i="42"/>
  <c r="O8" i="42" s="1"/>
  <c r="L7" i="42"/>
  <c r="O7" i="42" s="1"/>
  <c r="L6" i="42"/>
  <c r="N20" i="43" s="1"/>
  <c r="L5" i="42"/>
  <c r="O5" i="42" s="1"/>
  <c r="L4" i="42"/>
  <c r="O4" i="42" s="1"/>
  <c r="F25" i="43"/>
  <c r="I25" i="43" s="1"/>
  <c r="F22" i="43"/>
  <c r="I22" i="43" s="1"/>
  <c r="F19" i="43"/>
  <c r="I19" i="43" s="1"/>
  <c r="G13" i="42"/>
  <c r="E27" i="43" s="1"/>
  <c r="G12" i="42"/>
  <c r="E26" i="43" s="1"/>
  <c r="G11" i="42"/>
  <c r="E25" i="43" s="1"/>
  <c r="G9" i="42"/>
  <c r="G8" i="42"/>
  <c r="E22" i="43" s="1"/>
  <c r="G7" i="42"/>
  <c r="G4" i="42"/>
  <c r="O19" i="42"/>
  <c r="O20" i="42"/>
  <c r="O27" i="42"/>
  <c r="O28" i="42"/>
  <c r="O29" i="42"/>
  <c r="O30" i="42"/>
  <c r="O31" i="42"/>
  <c r="O32" i="42"/>
  <c r="O33" i="42"/>
  <c r="O34" i="42"/>
  <c r="O35" i="42"/>
  <c r="O36" i="42"/>
  <c r="O37" i="42"/>
  <c r="O38" i="42"/>
  <c r="O39" i="42"/>
  <c r="O40" i="42"/>
  <c r="O41" i="42"/>
  <c r="O42" i="42"/>
  <c r="O43" i="42"/>
  <c r="O44" i="42"/>
  <c r="O45" i="42"/>
  <c r="O46" i="42"/>
  <c r="O47" i="42"/>
  <c r="O48" i="42"/>
  <c r="O49" i="42"/>
  <c r="O50" i="42"/>
  <c r="O51" i="42"/>
  <c r="O52" i="42"/>
  <c r="O53" i="42"/>
  <c r="O54" i="42"/>
  <c r="O55" i="42"/>
  <c r="O56" i="42"/>
  <c r="O57" i="42"/>
  <c r="O58" i="42"/>
  <c r="O59" i="42"/>
  <c r="O60" i="42"/>
  <c r="O61" i="42"/>
  <c r="O62" i="42"/>
  <c r="O63" i="42"/>
  <c r="O64" i="42"/>
  <c r="O65" i="42"/>
  <c r="O66" i="42"/>
  <c r="O67" i="42"/>
  <c r="O68" i="42"/>
  <c r="O69" i="42"/>
  <c r="O70" i="42"/>
  <c r="O71" i="42"/>
  <c r="O72" i="42"/>
  <c r="O73" i="42"/>
  <c r="O74" i="42"/>
  <c r="O75" i="42"/>
  <c r="O76" i="42"/>
  <c r="O77" i="42"/>
  <c r="O78" i="42"/>
  <c r="O79" i="42"/>
  <c r="O80" i="42"/>
  <c r="O81" i="42"/>
  <c r="O82" i="42"/>
  <c r="O83" i="42"/>
  <c r="O84" i="42"/>
  <c r="O85" i="42"/>
  <c r="O86" i="42"/>
  <c r="K19" i="42"/>
  <c r="M2" i="39"/>
  <c r="L2" i="39"/>
  <c r="K3" i="39"/>
  <c r="K4" i="39"/>
  <c r="K5" i="39"/>
  <c r="K6" i="39"/>
  <c r="K7" i="39"/>
  <c r="K8" i="39"/>
  <c r="K9" i="39"/>
  <c r="K10" i="39"/>
  <c r="K11" i="39"/>
  <c r="K12" i="39"/>
  <c r="K13" i="39"/>
  <c r="K14" i="39"/>
  <c r="K15" i="39"/>
  <c r="K16" i="39"/>
  <c r="K2" i="39"/>
  <c r="S19" i="42"/>
  <c r="S20" i="42"/>
  <c r="S27" i="42"/>
  <c r="S28" i="42"/>
  <c r="S29" i="42"/>
  <c r="R19" i="42"/>
  <c r="R20" i="42"/>
  <c r="R27" i="42"/>
  <c r="R28" i="42"/>
  <c r="R29" i="42"/>
  <c r="R18" i="42"/>
  <c r="S18" i="42"/>
  <c r="Q19" i="42"/>
  <c r="Q20" i="42"/>
  <c r="Q27" i="42"/>
  <c r="Q28" i="42"/>
  <c r="Q29" i="42"/>
  <c r="Q18" i="42"/>
  <c r="M42" i="43"/>
  <c r="D42" i="43"/>
  <c r="M41" i="43"/>
  <c r="D41" i="43"/>
  <c r="M40" i="43"/>
  <c r="D40" i="43"/>
  <c r="M39" i="43"/>
  <c r="D39" i="43"/>
  <c r="M38" i="43"/>
  <c r="D38" i="43"/>
  <c r="M37" i="43"/>
  <c r="D37" i="43"/>
  <c r="M36" i="43"/>
  <c r="D36" i="43"/>
  <c r="M35" i="43"/>
  <c r="D35" i="43"/>
  <c r="M34" i="43"/>
  <c r="D34" i="43"/>
  <c r="M33" i="43"/>
  <c r="D33" i="43"/>
  <c r="C28" i="43"/>
  <c r="M27" i="43"/>
  <c r="M26" i="43"/>
  <c r="M25" i="43"/>
  <c r="M24" i="43"/>
  <c r="M23" i="43"/>
  <c r="M22" i="43"/>
  <c r="M21" i="43"/>
  <c r="M20" i="43"/>
  <c r="M19" i="43"/>
  <c r="M18" i="43"/>
  <c r="O18" i="42"/>
  <c r="N13" i="42"/>
  <c r="O27" i="43" s="1"/>
  <c r="R27" i="43" s="1"/>
  <c r="D9" i="4"/>
  <c r="D8" i="4"/>
  <c r="D3" i="4"/>
  <c r="D4" i="4"/>
  <c r="D5" i="4"/>
  <c r="D6" i="4"/>
  <c r="L28" i="20"/>
  <c r="L29" i="20"/>
  <c r="L30" i="20"/>
  <c r="L31" i="20"/>
  <c r="L32" i="20"/>
  <c r="L33" i="20"/>
  <c r="L34" i="20"/>
  <c r="L35" i="20"/>
  <c r="L36" i="20"/>
  <c r="L37" i="20"/>
  <c r="L38" i="20"/>
  <c r="L39" i="20"/>
  <c r="L40" i="20"/>
  <c r="L41" i="20"/>
  <c r="L42" i="20"/>
  <c r="L43" i="20"/>
  <c r="L44" i="20"/>
  <c r="L45" i="20"/>
  <c r="L46" i="20"/>
  <c r="L47" i="20"/>
  <c r="L48" i="20"/>
  <c r="L49" i="20"/>
  <c r="L50" i="20"/>
  <c r="L51" i="20"/>
  <c r="L52" i="20"/>
  <c r="L53" i="20"/>
  <c r="L54" i="20"/>
  <c r="L55" i="20"/>
  <c r="L56" i="20"/>
  <c r="L57" i="20"/>
  <c r="L58" i="20"/>
  <c r="L59" i="20"/>
  <c r="L60" i="20"/>
  <c r="L61" i="20"/>
  <c r="L62" i="20"/>
  <c r="L63" i="20"/>
  <c r="L64" i="20"/>
  <c r="L65" i="20"/>
  <c r="L66" i="20"/>
  <c r="L67" i="20"/>
  <c r="L68" i="20"/>
  <c r="L69" i="20"/>
  <c r="L70" i="20"/>
  <c r="L71" i="20"/>
  <c r="L72" i="20"/>
  <c r="L73" i="20"/>
  <c r="L74" i="20"/>
  <c r="L75" i="20"/>
  <c r="L76" i="20"/>
  <c r="L77" i="20"/>
  <c r="L78" i="20"/>
  <c r="L79" i="20"/>
  <c r="L80" i="20"/>
  <c r="L81" i="20"/>
  <c r="L82" i="20"/>
  <c r="L83" i="20"/>
  <c r="L84" i="20"/>
  <c r="L85" i="20"/>
  <c r="L86" i="20"/>
  <c r="L87" i="20"/>
  <c r="L88" i="20"/>
  <c r="L89" i="20"/>
  <c r="L90" i="20"/>
  <c r="L91" i="20"/>
  <c r="L92" i="20"/>
  <c r="L93" i="20"/>
  <c r="L94" i="20"/>
  <c r="L95" i="20"/>
  <c r="L96" i="20"/>
  <c r="L97" i="20"/>
  <c r="L98" i="20"/>
  <c r="L99" i="20"/>
  <c r="L100" i="20"/>
  <c r="L101" i="20"/>
  <c r="L102" i="20"/>
  <c r="L103" i="20"/>
  <c r="L104" i="20"/>
  <c r="L105" i="20"/>
  <c r="L106" i="20"/>
  <c r="L107" i="20"/>
  <c r="L108" i="20"/>
  <c r="L109" i="20"/>
  <c r="L110" i="20"/>
  <c r="L111" i="20"/>
  <c r="L112" i="20"/>
  <c r="L113" i="20"/>
  <c r="L115" i="20"/>
  <c r="L116" i="20"/>
  <c r="L117" i="20"/>
  <c r="L118" i="20"/>
  <c r="L119" i="20"/>
  <c r="L120" i="20"/>
  <c r="L121" i="20"/>
  <c r="L122" i="20"/>
  <c r="L123" i="20"/>
  <c r="L124" i="20"/>
  <c r="L125" i="20"/>
  <c r="L126" i="20"/>
  <c r="L127" i="20"/>
  <c r="L128" i="20"/>
  <c r="L129" i="20"/>
  <c r="L130" i="20"/>
  <c r="L131" i="20"/>
  <c r="L132" i="20"/>
  <c r="L133" i="20"/>
  <c r="L134" i="20"/>
  <c r="L135" i="20"/>
  <c r="L136" i="20"/>
  <c r="L137" i="20"/>
  <c r="L138" i="20"/>
  <c r="L139" i="20"/>
  <c r="L140" i="20"/>
  <c r="L141" i="20"/>
  <c r="L142" i="20"/>
  <c r="L143" i="20"/>
  <c r="L144" i="20"/>
  <c r="L145" i="20"/>
  <c r="L146" i="20"/>
  <c r="L147" i="20"/>
  <c r="L148" i="20"/>
  <c r="L149" i="20"/>
  <c r="L150" i="20"/>
  <c r="L151" i="20"/>
  <c r="L152" i="20"/>
  <c r="L153" i="20"/>
  <c r="L154" i="20"/>
  <c r="L155" i="20"/>
  <c r="L156" i="20"/>
  <c r="L157" i="20"/>
  <c r="L158" i="20"/>
  <c r="L159" i="20"/>
  <c r="L160" i="20"/>
  <c r="L161" i="20"/>
  <c r="L162" i="20"/>
  <c r="L163" i="20"/>
  <c r="L164" i="20"/>
  <c r="L165" i="20"/>
  <c r="L166" i="20"/>
  <c r="L167" i="20"/>
  <c r="L168" i="20"/>
  <c r="L169" i="20"/>
  <c r="L170" i="20"/>
  <c r="L171" i="20"/>
  <c r="L172" i="20"/>
  <c r="L173" i="20"/>
  <c r="L174" i="20"/>
  <c r="L175" i="20"/>
  <c r="L176" i="20"/>
  <c r="L177" i="20"/>
  <c r="L178" i="20"/>
  <c r="L179" i="20"/>
  <c r="L180" i="20"/>
  <c r="L181" i="20"/>
  <c r="L182" i="20"/>
  <c r="L183" i="20"/>
  <c r="L184" i="20"/>
  <c r="L185" i="20"/>
  <c r="L186" i="20"/>
  <c r="L187" i="20"/>
  <c r="L188" i="20"/>
  <c r="L189" i="20"/>
  <c r="L190" i="20"/>
  <c r="L191" i="20"/>
  <c r="L192" i="20"/>
  <c r="L193" i="20"/>
  <c r="L194" i="20"/>
  <c r="L195" i="20"/>
  <c r="L196" i="20"/>
  <c r="L197" i="20"/>
  <c r="L198" i="20"/>
  <c r="L199" i="20"/>
  <c r="L200" i="20"/>
  <c r="L201" i="20"/>
  <c r="L202" i="20"/>
  <c r="L203" i="20"/>
  <c r="L204" i="20"/>
  <c r="L205" i="20"/>
  <c r="L206" i="20"/>
  <c r="L207" i="20"/>
  <c r="L208" i="20"/>
  <c r="L209" i="20"/>
  <c r="L210" i="20"/>
  <c r="L211" i="20"/>
  <c r="L222" i="20"/>
  <c r="L223" i="20"/>
  <c r="L224" i="20"/>
  <c r="L225" i="20"/>
  <c r="L226" i="20"/>
  <c r="L227" i="20"/>
  <c r="L228" i="20"/>
  <c r="L229" i="20"/>
  <c r="L230" i="20"/>
  <c r="L231" i="20"/>
  <c r="L232" i="20"/>
  <c r="L233" i="20"/>
  <c r="L234" i="20"/>
  <c r="L235" i="20"/>
  <c r="L236" i="20"/>
  <c r="L237" i="20"/>
  <c r="L238" i="20"/>
  <c r="L239" i="20"/>
  <c r="L240" i="20"/>
  <c r="L241" i="20"/>
  <c r="L242" i="20"/>
  <c r="L243" i="20"/>
  <c r="L244" i="20"/>
  <c r="L245" i="20"/>
  <c r="L246" i="20"/>
  <c r="L247" i="20"/>
  <c r="L248" i="20"/>
  <c r="L249" i="20"/>
  <c r="L250" i="20"/>
  <c r="L251" i="20"/>
  <c r="L252" i="20"/>
  <c r="L253" i="20"/>
  <c r="L254" i="20"/>
  <c r="L255" i="20"/>
  <c r="L256" i="20"/>
  <c r="L257" i="20"/>
  <c r="L258" i="20"/>
  <c r="L259" i="20"/>
  <c r="L260" i="20"/>
  <c r="L261" i="20"/>
  <c r="L262" i="20"/>
  <c r="L263" i="20"/>
  <c r="L264" i="20"/>
  <c r="L265" i="20"/>
  <c r="L266" i="20"/>
  <c r="L267" i="20"/>
  <c r="L268" i="20"/>
  <c r="L269" i="20"/>
  <c r="L270" i="20"/>
  <c r="L271" i="20"/>
  <c r="L272" i="20"/>
  <c r="L273" i="20"/>
  <c r="L274" i="20"/>
  <c r="L275" i="20"/>
  <c r="L276" i="20"/>
  <c r="L277" i="20"/>
  <c r="L278" i="20"/>
  <c r="L279" i="20"/>
  <c r="L280" i="20"/>
  <c r="L281" i="20"/>
  <c r="L282" i="20"/>
  <c r="L283" i="20"/>
  <c r="L284" i="20"/>
  <c r="L285" i="20"/>
  <c r="L286" i="20"/>
  <c r="L287" i="20"/>
  <c r="L288" i="20"/>
  <c r="L289" i="20"/>
  <c r="L290" i="20"/>
  <c r="L291" i="20"/>
  <c r="L292" i="20"/>
  <c r="L293" i="20"/>
  <c r="L294" i="20"/>
  <c r="L295" i="20"/>
  <c r="L296" i="20"/>
  <c r="L297" i="20"/>
  <c r="L298" i="20"/>
  <c r="L299" i="20"/>
  <c r="L300" i="20"/>
  <c r="L301" i="20"/>
  <c r="L302" i="20"/>
  <c r="L303" i="20"/>
  <c r="L304" i="20"/>
  <c r="L305" i="20"/>
  <c r="L306" i="20"/>
  <c r="L307" i="20"/>
  <c r="L308" i="20"/>
  <c r="L309" i="20"/>
  <c r="L310" i="20"/>
  <c r="L311" i="20"/>
  <c r="L312" i="20"/>
  <c r="L313" i="20"/>
  <c r="L315" i="20"/>
  <c r="L316" i="20"/>
  <c r="L317" i="20"/>
  <c r="L318" i="20"/>
  <c r="L319" i="20"/>
  <c r="L320" i="20"/>
  <c r="L321" i="20"/>
  <c r="L322" i="20"/>
  <c r="L323" i="20"/>
  <c r="L324" i="20"/>
  <c r="L325" i="20"/>
  <c r="L326" i="20"/>
  <c r="L327" i="20"/>
  <c r="L328" i="20"/>
  <c r="L329" i="20"/>
  <c r="L330" i="20"/>
  <c r="L331" i="20"/>
  <c r="L332" i="20"/>
  <c r="L333" i="20"/>
  <c r="L334" i="20"/>
  <c r="L335" i="20"/>
  <c r="L336" i="20"/>
  <c r="L337" i="20"/>
  <c r="L338" i="20"/>
  <c r="L339" i="20"/>
  <c r="L340" i="20"/>
  <c r="L341" i="20"/>
  <c r="L342" i="20"/>
  <c r="L343" i="20"/>
  <c r="L344" i="20"/>
  <c r="L345" i="20"/>
  <c r="L346" i="20"/>
  <c r="L347" i="20"/>
  <c r="L348" i="20"/>
  <c r="L349" i="20"/>
  <c r="L350" i="20"/>
  <c r="L351" i="20"/>
  <c r="L352" i="20"/>
  <c r="L353" i="20"/>
  <c r="L354" i="20"/>
  <c r="L355" i="20"/>
  <c r="L356" i="20"/>
  <c r="L357" i="20"/>
  <c r="L358" i="20"/>
  <c r="L359" i="20"/>
  <c r="L360" i="20"/>
  <c r="L361" i="20"/>
  <c r="L362" i="20"/>
  <c r="L363" i="20"/>
  <c r="L364" i="20"/>
  <c r="L365" i="20"/>
  <c r="L366" i="20"/>
  <c r="L367" i="20"/>
  <c r="L368" i="20"/>
  <c r="L369" i="20"/>
  <c r="L370" i="20"/>
  <c r="L371" i="20"/>
  <c r="L372" i="20"/>
  <c r="L373" i="20"/>
  <c r="L374" i="20"/>
  <c r="L375" i="20"/>
  <c r="L376" i="20"/>
  <c r="L377" i="20"/>
  <c r="L378" i="20"/>
  <c r="L379" i="20"/>
  <c r="L380" i="20"/>
  <c r="L381" i="20"/>
  <c r="L382" i="20"/>
  <c r="L383" i="20"/>
  <c r="L384" i="20"/>
  <c r="L385" i="20"/>
  <c r="L386" i="20"/>
  <c r="L387" i="20"/>
  <c r="L388" i="20"/>
  <c r="L389" i="20"/>
  <c r="L390" i="20"/>
  <c r="L391" i="20"/>
  <c r="L392" i="20"/>
  <c r="L393" i="20"/>
  <c r="L394" i="20"/>
  <c r="L395" i="20"/>
  <c r="L396" i="20"/>
  <c r="L397" i="20"/>
  <c r="L398" i="20"/>
  <c r="L399" i="20"/>
  <c r="L400" i="20"/>
  <c r="L401" i="20"/>
  <c r="L402" i="20"/>
  <c r="L403" i="20"/>
  <c r="L404" i="20"/>
  <c r="L405" i="20"/>
  <c r="L406" i="20"/>
  <c r="L407" i="20"/>
  <c r="L408" i="20"/>
  <c r="L409" i="20"/>
  <c r="L410" i="20"/>
  <c r="L411" i="20"/>
  <c r="L412" i="20"/>
  <c r="L413" i="20"/>
  <c r="L415" i="20"/>
  <c r="L416" i="20"/>
  <c r="L417" i="20"/>
  <c r="L418" i="20"/>
  <c r="L419" i="20"/>
  <c r="L420" i="20"/>
  <c r="L421" i="20"/>
  <c r="L422" i="20"/>
  <c r="L423" i="20"/>
  <c r="L424" i="20"/>
  <c r="L425" i="20"/>
  <c r="L426" i="20"/>
  <c r="L427" i="20"/>
  <c r="L428" i="20"/>
  <c r="L429" i="20"/>
  <c r="L430" i="20"/>
  <c r="L431" i="20"/>
  <c r="L432" i="20"/>
  <c r="L433" i="20"/>
  <c r="L434" i="20"/>
  <c r="L435" i="20"/>
  <c r="L436" i="20"/>
  <c r="L437" i="20"/>
  <c r="L438" i="20"/>
  <c r="L439" i="20"/>
  <c r="L440" i="20"/>
  <c r="L441" i="20"/>
  <c r="L442" i="20"/>
  <c r="L443" i="20"/>
  <c r="L444" i="20"/>
  <c r="L445" i="20"/>
  <c r="L446" i="20"/>
  <c r="L447" i="20"/>
  <c r="L448" i="20"/>
  <c r="L449" i="20"/>
  <c r="L450" i="20"/>
  <c r="L451" i="20"/>
  <c r="L452" i="20"/>
  <c r="L453" i="20"/>
  <c r="L454" i="20"/>
  <c r="L455" i="20"/>
  <c r="L456" i="20"/>
  <c r="L457" i="20"/>
  <c r="L458" i="20"/>
  <c r="L459" i="20"/>
  <c r="L460" i="20"/>
  <c r="L461" i="20"/>
  <c r="L462" i="20"/>
  <c r="L463" i="20"/>
  <c r="L464" i="20"/>
  <c r="L465" i="20"/>
  <c r="L466" i="20"/>
  <c r="L467" i="20"/>
  <c r="L468" i="20"/>
  <c r="L469" i="20"/>
  <c r="L470" i="20"/>
  <c r="L471" i="20"/>
  <c r="L472" i="20"/>
  <c r="L473" i="20"/>
  <c r="L474" i="20"/>
  <c r="L475" i="20"/>
  <c r="L476" i="20"/>
  <c r="L477" i="20"/>
  <c r="L478" i="20"/>
  <c r="L479" i="20"/>
  <c r="L480" i="20"/>
  <c r="L481" i="20"/>
  <c r="L482" i="20"/>
  <c r="L483" i="20"/>
  <c r="L484" i="20"/>
  <c r="L485" i="20"/>
  <c r="L486" i="20"/>
  <c r="L487" i="20"/>
  <c r="L488" i="20"/>
  <c r="L489" i="20"/>
  <c r="L490" i="20"/>
  <c r="L491" i="20"/>
  <c r="L492" i="20"/>
  <c r="L493" i="20"/>
  <c r="L494" i="20"/>
  <c r="L495" i="20"/>
  <c r="L496" i="20"/>
  <c r="D2" i="4"/>
  <c r="B11" i="4"/>
  <c r="B12" i="4"/>
  <c r="Y7" i="3" s="1"/>
  <c r="B10" i="4"/>
  <c r="A10" i="17"/>
  <c r="B10" i="17"/>
  <c r="J10" i="17" s="1" a="1"/>
  <c r="J10" i="17" s="1"/>
  <c r="A11" i="17"/>
  <c r="B11" i="17"/>
  <c r="A12" i="17"/>
  <c r="B12" i="17"/>
  <c r="A13" i="17"/>
  <c r="B13" i="17"/>
  <c r="A14" i="17"/>
  <c r="D14" i="17" s="1" a="1"/>
  <c r="D14" i="17" s="1"/>
  <c r="B14" i="17"/>
  <c r="A15" i="17"/>
  <c r="B15" i="17"/>
  <c r="A16" i="17"/>
  <c r="H16" i="17" s="1" a="1"/>
  <c r="H16" i="17" s="1"/>
  <c r="B16" i="17"/>
  <c r="A17" i="17"/>
  <c r="B17" i="17"/>
  <c r="A18" i="17"/>
  <c r="B18" i="17"/>
  <c r="A19" i="17"/>
  <c r="B19" i="17"/>
  <c r="N19" i="17" s="1" a="1"/>
  <c r="N19" i="17" s="1"/>
  <c r="A20" i="17"/>
  <c r="H20" i="17" s="1" a="1"/>
  <c r="H20" i="17" s="1"/>
  <c r="A21" i="17"/>
  <c r="L21" i="17" s="1" a="1"/>
  <c r="L21" i="17" s="1"/>
  <c r="A22" i="17"/>
  <c r="G22" i="17" s="1" a="1"/>
  <c r="G22" i="17" s="1"/>
  <c r="A23" i="17"/>
  <c r="D23" i="17" a="1"/>
  <c r="D23" i="17" s="1"/>
  <c r="A24" i="17"/>
  <c r="E24" i="17" s="1" a="1"/>
  <c r="E24" i="17" s="1"/>
  <c r="J5" i="19" a="1"/>
  <c r="J5" i="19" s="1"/>
  <c r="I5" i="19"/>
  <c r="U21" i="20"/>
  <c r="U15" i="20"/>
  <c r="U9" i="20"/>
  <c r="E5" i="16"/>
  <c r="E6" i="16"/>
  <c r="E7" i="16"/>
  <c r="E8" i="16"/>
  <c r="E9" i="16"/>
  <c r="E10" i="16"/>
  <c r="E11" i="16"/>
  <c r="E12" i="16"/>
  <c r="E13" i="16"/>
  <c r="E14" i="16"/>
  <c r="E15" i="16"/>
  <c r="E16" i="16"/>
  <c r="E17" i="16"/>
  <c r="E18" i="16"/>
  <c r="E19" i="16"/>
  <c r="E20" i="16"/>
  <c r="E21" i="16"/>
  <c r="E22" i="16"/>
  <c r="E23" i="16"/>
  <c r="E4" i="16"/>
  <c r="C4" i="16"/>
  <c r="D4" i="16"/>
  <c r="C11" i="16"/>
  <c r="D11" i="16"/>
  <c r="C12" i="16"/>
  <c r="D12" i="16"/>
  <c r="C13" i="16"/>
  <c r="D13" i="16"/>
  <c r="C14" i="16"/>
  <c r="D14" i="16"/>
  <c r="C15" i="16"/>
  <c r="D15" i="16"/>
  <c r="C16" i="16"/>
  <c r="D16" i="16"/>
  <c r="C17" i="16"/>
  <c r="D17" i="16"/>
  <c r="C18" i="16"/>
  <c r="D18" i="16"/>
  <c r="C19" i="16"/>
  <c r="D19" i="16"/>
  <c r="C20" i="16"/>
  <c r="D20" i="16"/>
  <c r="C21" i="16"/>
  <c r="D21" i="16"/>
  <c r="C22" i="16"/>
  <c r="D22" i="16"/>
  <c r="C23" i="16"/>
  <c r="D23" i="16"/>
  <c r="C24" i="16"/>
  <c r="D24" i="16"/>
  <c r="E24" i="16"/>
  <c r="C25" i="16"/>
  <c r="D25" i="16"/>
  <c r="E25" i="16"/>
  <c r="C26" i="16"/>
  <c r="D26" i="16"/>
  <c r="E26" i="16"/>
  <c r="C27" i="16"/>
  <c r="D27" i="16"/>
  <c r="E27" i="16"/>
  <c r="C28" i="16"/>
  <c r="D28" i="16"/>
  <c r="E28" i="16"/>
  <c r="C29" i="16"/>
  <c r="D29" i="16"/>
  <c r="E29" i="16"/>
  <c r="C30" i="16"/>
  <c r="D30" i="16"/>
  <c r="E30" i="16"/>
  <c r="C31" i="16"/>
  <c r="D31" i="16"/>
  <c r="E31" i="16"/>
  <c r="C32" i="16"/>
  <c r="D32" i="16"/>
  <c r="E32" i="16"/>
  <c r="C33" i="16"/>
  <c r="D33" i="16"/>
  <c r="E33" i="16"/>
  <c r="C34" i="16"/>
  <c r="D34" i="16"/>
  <c r="E34" i="16"/>
  <c r="C35" i="16"/>
  <c r="D35" i="16"/>
  <c r="E35" i="16"/>
  <c r="C36" i="16"/>
  <c r="D36" i="16"/>
  <c r="E36" i="16"/>
  <c r="C37" i="16"/>
  <c r="D37" i="16"/>
  <c r="E37" i="16"/>
  <c r="C5" i="16"/>
  <c r="C6" i="16"/>
  <c r="C7" i="16"/>
  <c r="C8" i="16"/>
  <c r="C9" i="16"/>
  <c r="C10" i="16"/>
  <c r="D5" i="16"/>
  <c r="D6" i="16"/>
  <c r="D7" i="16"/>
  <c r="D8" i="16"/>
  <c r="D9" i="16"/>
  <c r="D10" i="16"/>
  <c r="S2" i="3"/>
  <c r="U2" i="3"/>
  <c r="E7" i="3"/>
  <c r="E6" i="3"/>
  <c r="W3" i="20"/>
  <c r="S3" i="20" s="1" a="1"/>
  <c r="S3" i="20" s="1"/>
  <c r="W4" i="20"/>
  <c r="W5" i="20"/>
  <c r="W6" i="20"/>
  <c r="W7" i="20"/>
  <c r="W10" i="20"/>
  <c r="W11" i="20"/>
  <c r="W12" i="20"/>
  <c r="W22" i="20"/>
  <c r="W24" i="20"/>
  <c r="A29" i="17"/>
  <c r="F29" i="17" s="1" a="1"/>
  <c r="F29" i="17" s="1"/>
  <c r="B29" i="17"/>
  <c r="A30" i="17"/>
  <c r="B30" i="17"/>
  <c r="A31" i="17"/>
  <c r="B31" i="17"/>
  <c r="A32" i="17"/>
  <c r="B32" i="17"/>
  <c r="E32" i="17" s="1" a="1"/>
  <c r="E32" i="17" s="1"/>
  <c r="A33" i="17"/>
  <c r="E33" i="17" s="1" a="1"/>
  <c r="E33" i="17" s="1"/>
  <c r="B33" i="17"/>
  <c r="A34" i="17"/>
  <c r="B34" i="17"/>
  <c r="A35" i="17"/>
  <c r="H35" i="17" s="1" a="1"/>
  <c r="H35" i="17" s="1"/>
  <c r="B35" i="17"/>
  <c r="A36" i="17"/>
  <c r="D36" i="17" s="1" a="1"/>
  <c r="D36" i="17" s="1"/>
  <c r="B36" i="17"/>
  <c r="A37" i="17"/>
  <c r="B37" i="17"/>
  <c r="A38" i="17"/>
  <c r="B38" i="17"/>
  <c r="A39" i="17"/>
  <c r="I39" i="17" s="1" a="1"/>
  <c r="I39" i="17" s="1"/>
  <c r="A40" i="17"/>
  <c r="E40" i="17" s="1" a="1"/>
  <c r="E40" i="17" s="1"/>
  <c r="A41" i="17"/>
  <c r="C41" i="17" s="1" a="1"/>
  <c r="C41" i="17" s="1"/>
  <c r="A42" i="17"/>
  <c r="F42" i="17" s="1" a="1"/>
  <c r="F42" i="17" s="1"/>
  <c r="A43" i="17"/>
  <c r="I43" i="17" s="1" a="1"/>
  <c r="I43" i="17" s="1"/>
  <c r="AG3" i="20"/>
  <c r="AG4" i="20"/>
  <c r="AG5" i="20"/>
  <c r="AG6" i="20"/>
  <c r="AG7" i="20"/>
  <c r="AG10" i="20"/>
  <c r="AG11" i="20"/>
  <c r="AG12" i="20"/>
  <c r="AG22" i="20"/>
  <c r="AG24" i="20"/>
  <c r="K28" i="20"/>
  <c r="K29" i="20"/>
  <c r="K30" i="20"/>
  <c r="K31" i="20"/>
  <c r="K32" i="20"/>
  <c r="K33" i="20"/>
  <c r="K34" i="20"/>
  <c r="K35" i="20"/>
  <c r="K36" i="20"/>
  <c r="K37" i="20"/>
  <c r="K38" i="20"/>
  <c r="K39" i="20"/>
  <c r="K40" i="20"/>
  <c r="K41" i="20"/>
  <c r="K42" i="20"/>
  <c r="K43" i="20"/>
  <c r="K44" i="20"/>
  <c r="K45" i="20"/>
  <c r="K46" i="20"/>
  <c r="K47" i="20"/>
  <c r="K48" i="20"/>
  <c r="K49" i="20"/>
  <c r="K50" i="20"/>
  <c r="K51" i="20"/>
  <c r="K52" i="20"/>
  <c r="K53" i="20"/>
  <c r="K54" i="20"/>
  <c r="K55" i="20"/>
  <c r="K56" i="20"/>
  <c r="K57" i="20"/>
  <c r="K58" i="20"/>
  <c r="K59" i="20"/>
  <c r="K60" i="20"/>
  <c r="K61" i="20"/>
  <c r="K62" i="20"/>
  <c r="K63" i="20"/>
  <c r="K64" i="20"/>
  <c r="K65" i="20"/>
  <c r="K66" i="20"/>
  <c r="K67" i="20"/>
  <c r="K68" i="20"/>
  <c r="K69" i="20"/>
  <c r="K70" i="20"/>
  <c r="K71" i="20"/>
  <c r="K72" i="20"/>
  <c r="K73" i="20"/>
  <c r="K74" i="20"/>
  <c r="K75" i="20"/>
  <c r="K76" i="20"/>
  <c r="K77" i="20"/>
  <c r="K78" i="20"/>
  <c r="K79" i="20"/>
  <c r="K80" i="20"/>
  <c r="K81" i="20"/>
  <c r="K82" i="20"/>
  <c r="K83" i="20"/>
  <c r="K84" i="20"/>
  <c r="K85" i="20"/>
  <c r="K86" i="20"/>
  <c r="K87" i="20"/>
  <c r="K88" i="20"/>
  <c r="K89" i="20"/>
  <c r="K90" i="20"/>
  <c r="K91" i="20"/>
  <c r="K92" i="20"/>
  <c r="K93" i="20"/>
  <c r="K94" i="20"/>
  <c r="K95" i="20"/>
  <c r="K96" i="20"/>
  <c r="K97" i="20"/>
  <c r="K98" i="20"/>
  <c r="K99" i="20"/>
  <c r="K100" i="20"/>
  <c r="K101" i="20"/>
  <c r="K102" i="20"/>
  <c r="K103" i="20"/>
  <c r="K104" i="20"/>
  <c r="K105" i="20"/>
  <c r="K106" i="20"/>
  <c r="K107" i="20"/>
  <c r="K108" i="20"/>
  <c r="K109" i="20"/>
  <c r="K110" i="20"/>
  <c r="K111" i="20"/>
  <c r="K112" i="20"/>
  <c r="K113" i="20"/>
  <c r="K115" i="20"/>
  <c r="K116" i="20"/>
  <c r="K117" i="20"/>
  <c r="K118" i="20"/>
  <c r="K119" i="20"/>
  <c r="K120" i="20"/>
  <c r="K121" i="20"/>
  <c r="K122" i="20"/>
  <c r="K123" i="20"/>
  <c r="K124" i="20"/>
  <c r="K125" i="20"/>
  <c r="K126" i="20"/>
  <c r="K127" i="20"/>
  <c r="K128" i="20"/>
  <c r="K129" i="20"/>
  <c r="K130" i="20"/>
  <c r="K131" i="20"/>
  <c r="K132" i="20"/>
  <c r="K133" i="20"/>
  <c r="K134" i="20"/>
  <c r="K135" i="20"/>
  <c r="K136" i="20"/>
  <c r="K137" i="20"/>
  <c r="K138" i="20"/>
  <c r="K139" i="20"/>
  <c r="K140" i="20"/>
  <c r="K141" i="20"/>
  <c r="K142" i="20"/>
  <c r="K143" i="20"/>
  <c r="K144" i="20"/>
  <c r="K145" i="20"/>
  <c r="K146" i="20"/>
  <c r="K147" i="20"/>
  <c r="K148" i="20"/>
  <c r="K149" i="20"/>
  <c r="K150" i="20"/>
  <c r="K151" i="20"/>
  <c r="K152" i="20"/>
  <c r="K153" i="20"/>
  <c r="K154" i="20"/>
  <c r="K155" i="20"/>
  <c r="K156" i="20"/>
  <c r="K157" i="20"/>
  <c r="K158" i="20"/>
  <c r="K159" i="20"/>
  <c r="K160" i="20"/>
  <c r="K161" i="20"/>
  <c r="K162" i="20"/>
  <c r="K163" i="20"/>
  <c r="K164" i="20"/>
  <c r="K165" i="20"/>
  <c r="K166" i="20"/>
  <c r="K167" i="20"/>
  <c r="K168" i="20"/>
  <c r="K169" i="20"/>
  <c r="K170" i="20"/>
  <c r="K171" i="20"/>
  <c r="K172" i="20"/>
  <c r="K173" i="20"/>
  <c r="K174" i="20"/>
  <c r="K175" i="20"/>
  <c r="K176" i="20"/>
  <c r="K177" i="20"/>
  <c r="K178" i="20"/>
  <c r="K179" i="20"/>
  <c r="K180" i="20"/>
  <c r="K181" i="20"/>
  <c r="K182" i="20"/>
  <c r="K183" i="20"/>
  <c r="K184" i="20"/>
  <c r="K185" i="20"/>
  <c r="K186" i="20"/>
  <c r="K187" i="20"/>
  <c r="K188" i="20"/>
  <c r="K189" i="20"/>
  <c r="K190" i="20"/>
  <c r="K191" i="20"/>
  <c r="K192" i="20"/>
  <c r="K193" i="20"/>
  <c r="K194" i="20"/>
  <c r="K195" i="20"/>
  <c r="K196" i="20"/>
  <c r="K197" i="20"/>
  <c r="K198" i="20"/>
  <c r="K199" i="20"/>
  <c r="K200" i="20"/>
  <c r="K201" i="20"/>
  <c r="K202" i="20"/>
  <c r="K203" i="20"/>
  <c r="K204" i="20"/>
  <c r="K205" i="20"/>
  <c r="K206" i="20"/>
  <c r="K207" i="20"/>
  <c r="K208" i="20"/>
  <c r="K209" i="20"/>
  <c r="K210" i="20"/>
  <c r="K211" i="20"/>
  <c r="K222" i="20"/>
  <c r="K223" i="20"/>
  <c r="K224" i="20"/>
  <c r="K225" i="20"/>
  <c r="K226" i="20"/>
  <c r="K227" i="20"/>
  <c r="K228" i="20"/>
  <c r="K229" i="20"/>
  <c r="K230" i="20"/>
  <c r="K231" i="20"/>
  <c r="K232" i="20"/>
  <c r="K233" i="20"/>
  <c r="K234" i="20"/>
  <c r="K235" i="20"/>
  <c r="K236" i="20"/>
  <c r="K237" i="20"/>
  <c r="K238" i="20"/>
  <c r="K239" i="20"/>
  <c r="K240" i="20"/>
  <c r="K241" i="20"/>
  <c r="K242" i="20"/>
  <c r="K243" i="20"/>
  <c r="K244" i="20"/>
  <c r="K245" i="20"/>
  <c r="K246" i="20"/>
  <c r="K247" i="20"/>
  <c r="K248" i="20"/>
  <c r="K249" i="20"/>
  <c r="K250" i="20"/>
  <c r="K251" i="20"/>
  <c r="K252" i="20"/>
  <c r="K253" i="20"/>
  <c r="K254" i="20"/>
  <c r="K255" i="20"/>
  <c r="K256" i="20"/>
  <c r="K257" i="20"/>
  <c r="K258" i="20"/>
  <c r="K259" i="20"/>
  <c r="K260" i="20"/>
  <c r="K261" i="20"/>
  <c r="K262" i="20"/>
  <c r="K263" i="20"/>
  <c r="K264" i="20"/>
  <c r="K265" i="20"/>
  <c r="K266" i="20"/>
  <c r="K267" i="20"/>
  <c r="K268" i="20"/>
  <c r="K269" i="20"/>
  <c r="K270" i="20"/>
  <c r="K271" i="20"/>
  <c r="K272" i="20"/>
  <c r="K273" i="20"/>
  <c r="K274" i="20"/>
  <c r="K275" i="20"/>
  <c r="K276" i="20"/>
  <c r="K277" i="20"/>
  <c r="K278" i="20"/>
  <c r="K279" i="20"/>
  <c r="K280" i="20"/>
  <c r="K281" i="20"/>
  <c r="K282" i="20"/>
  <c r="K283" i="20"/>
  <c r="K284" i="20"/>
  <c r="K285" i="20"/>
  <c r="K286" i="20"/>
  <c r="K287" i="20"/>
  <c r="K288" i="20"/>
  <c r="K289" i="20"/>
  <c r="K290" i="20"/>
  <c r="K291" i="20"/>
  <c r="K292" i="20"/>
  <c r="K293" i="20"/>
  <c r="K294" i="20"/>
  <c r="K295" i="20"/>
  <c r="K296" i="20"/>
  <c r="K297" i="20"/>
  <c r="K298" i="20"/>
  <c r="K299" i="20"/>
  <c r="K300" i="20"/>
  <c r="K301" i="20"/>
  <c r="K302" i="20"/>
  <c r="K303" i="20"/>
  <c r="K304" i="20"/>
  <c r="K305" i="20"/>
  <c r="K306" i="20"/>
  <c r="K307" i="20"/>
  <c r="K308" i="20"/>
  <c r="K309" i="20"/>
  <c r="K310" i="20"/>
  <c r="K311" i="20"/>
  <c r="K312" i="20"/>
  <c r="K313" i="20"/>
  <c r="K315" i="20"/>
  <c r="K316" i="20"/>
  <c r="K317" i="20"/>
  <c r="K318" i="20"/>
  <c r="K319" i="20"/>
  <c r="K320" i="20"/>
  <c r="K321" i="20"/>
  <c r="K322" i="20"/>
  <c r="K323" i="20"/>
  <c r="K324" i="20"/>
  <c r="K325" i="20"/>
  <c r="K326" i="20"/>
  <c r="K327" i="20"/>
  <c r="K328" i="20"/>
  <c r="K329" i="20"/>
  <c r="K330" i="20"/>
  <c r="K331" i="20"/>
  <c r="K332" i="20"/>
  <c r="K333" i="20"/>
  <c r="K334" i="20"/>
  <c r="K335" i="20"/>
  <c r="K336" i="20"/>
  <c r="K337" i="20"/>
  <c r="K338" i="20"/>
  <c r="K339" i="20"/>
  <c r="K340" i="20"/>
  <c r="K341" i="20"/>
  <c r="K342" i="20"/>
  <c r="K343" i="20"/>
  <c r="K344" i="20"/>
  <c r="K345" i="20"/>
  <c r="K346" i="20"/>
  <c r="K347" i="20"/>
  <c r="K348" i="20"/>
  <c r="K349" i="20"/>
  <c r="K350" i="20"/>
  <c r="K351" i="20"/>
  <c r="K352" i="20"/>
  <c r="K353" i="20"/>
  <c r="K354" i="20"/>
  <c r="K355" i="20"/>
  <c r="K356" i="20"/>
  <c r="K357" i="20"/>
  <c r="K358" i="20"/>
  <c r="K359" i="20"/>
  <c r="K360" i="20"/>
  <c r="K361" i="20"/>
  <c r="K362" i="20"/>
  <c r="K363" i="20"/>
  <c r="K364" i="20"/>
  <c r="K365" i="20"/>
  <c r="K366" i="20"/>
  <c r="K367" i="20"/>
  <c r="K368" i="20"/>
  <c r="K369" i="20"/>
  <c r="K370" i="20"/>
  <c r="K371" i="20"/>
  <c r="K372" i="20"/>
  <c r="K373" i="20"/>
  <c r="K374" i="20"/>
  <c r="K375" i="20"/>
  <c r="K376" i="20"/>
  <c r="K377" i="20"/>
  <c r="K378" i="20"/>
  <c r="K379" i="20"/>
  <c r="K380" i="20"/>
  <c r="K381" i="20"/>
  <c r="K382" i="20"/>
  <c r="K383" i="20"/>
  <c r="K384" i="20"/>
  <c r="K385" i="20"/>
  <c r="K386" i="20"/>
  <c r="K387" i="20"/>
  <c r="K388" i="20"/>
  <c r="K389" i="20"/>
  <c r="K390" i="20"/>
  <c r="K391" i="20"/>
  <c r="K392" i="20"/>
  <c r="K393" i="20"/>
  <c r="K394" i="20"/>
  <c r="K395" i="20"/>
  <c r="K396" i="20"/>
  <c r="K397" i="20"/>
  <c r="K398" i="20"/>
  <c r="K399" i="20"/>
  <c r="K400" i="20"/>
  <c r="K401" i="20"/>
  <c r="K402" i="20"/>
  <c r="K403" i="20"/>
  <c r="K404" i="20"/>
  <c r="K405" i="20"/>
  <c r="K406" i="20"/>
  <c r="K407" i="20"/>
  <c r="K408" i="20"/>
  <c r="K409" i="20"/>
  <c r="K410" i="20"/>
  <c r="K411" i="20"/>
  <c r="K412" i="20"/>
  <c r="K413" i="20"/>
  <c r="K415" i="20"/>
  <c r="K416" i="20"/>
  <c r="K417" i="20"/>
  <c r="K418" i="20"/>
  <c r="K419" i="20"/>
  <c r="K420" i="20"/>
  <c r="K421" i="20"/>
  <c r="K422" i="20"/>
  <c r="K423" i="20"/>
  <c r="K424" i="20"/>
  <c r="K425" i="20"/>
  <c r="K426" i="20"/>
  <c r="K427" i="20"/>
  <c r="K428" i="20"/>
  <c r="K429" i="20"/>
  <c r="K430" i="20"/>
  <c r="K431" i="20"/>
  <c r="K432" i="20"/>
  <c r="K433" i="20"/>
  <c r="K434" i="20"/>
  <c r="K435" i="20"/>
  <c r="K436" i="20"/>
  <c r="K437" i="20"/>
  <c r="K438" i="20"/>
  <c r="K439" i="20"/>
  <c r="K440" i="20"/>
  <c r="K441" i="20"/>
  <c r="K442" i="20"/>
  <c r="K443" i="20"/>
  <c r="K444" i="20"/>
  <c r="K445" i="20"/>
  <c r="K446" i="20"/>
  <c r="K447" i="20"/>
  <c r="K448" i="20"/>
  <c r="K449" i="20"/>
  <c r="K450" i="20"/>
  <c r="K451" i="20"/>
  <c r="K452" i="20"/>
  <c r="K453" i="20"/>
  <c r="K454" i="20"/>
  <c r="K455" i="20"/>
  <c r="K456" i="20"/>
  <c r="K457" i="20"/>
  <c r="K458" i="20"/>
  <c r="K459" i="20"/>
  <c r="K460" i="20"/>
  <c r="K461" i="20"/>
  <c r="K462" i="20"/>
  <c r="K463" i="20"/>
  <c r="K464" i="20"/>
  <c r="K465" i="20"/>
  <c r="K466" i="20"/>
  <c r="K467" i="20"/>
  <c r="K468" i="20"/>
  <c r="K469" i="20"/>
  <c r="K470" i="20"/>
  <c r="K471" i="20"/>
  <c r="K472" i="20"/>
  <c r="K473" i="20"/>
  <c r="K474" i="20"/>
  <c r="K475" i="20"/>
  <c r="K476" i="20"/>
  <c r="K477" i="20"/>
  <c r="K478" i="20"/>
  <c r="K479" i="20"/>
  <c r="K480" i="20"/>
  <c r="K481" i="20"/>
  <c r="K482" i="20"/>
  <c r="K483" i="20"/>
  <c r="K484" i="20"/>
  <c r="K485" i="20"/>
  <c r="K486" i="20"/>
  <c r="K487" i="20"/>
  <c r="K488" i="20"/>
  <c r="K489" i="20"/>
  <c r="K490" i="20"/>
  <c r="K491" i="20"/>
  <c r="K492" i="20"/>
  <c r="K493" i="20"/>
  <c r="K494" i="20"/>
  <c r="K495" i="20"/>
  <c r="K496" i="20"/>
  <c r="W13" i="20"/>
  <c r="W16" i="20"/>
  <c r="W17" i="20"/>
  <c r="W18" i="20"/>
  <c r="W19" i="20"/>
  <c r="W20" i="20"/>
  <c r="W23" i="20"/>
  <c r="W25" i="20"/>
  <c r="W26" i="20"/>
  <c r="W27" i="20"/>
  <c r="W28" i="20"/>
  <c r="W29" i="20"/>
  <c r="W30" i="20"/>
  <c r="W31" i="20"/>
  <c r="W32" i="20"/>
  <c r="W33" i="20"/>
  <c r="W34" i="20"/>
  <c r="W35" i="20"/>
  <c r="W36" i="20"/>
  <c r="W37" i="20"/>
  <c r="W38" i="20"/>
  <c r="W39" i="20"/>
  <c r="W40" i="20"/>
  <c r="W41" i="20"/>
  <c r="W42" i="20"/>
  <c r="W43" i="20"/>
  <c r="W44" i="20"/>
  <c r="W45" i="20"/>
  <c r="W46" i="20"/>
  <c r="W47" i="20"/>
  <c r="W48" i="20"/>
  <c r="W49" i="20"/>
  <c r="W50" i="20"/>
  <c r="W51" i="20"/>
  <c r="W52" i="20"/>
  <c r="W53" i="20"/>
  <c r="W54" i="20"/>
  <c r="W55" i="20"/>
  <c r="W56" i="20"/>
  <c r="W57" i="20"/>
  <c r="W58" i="20"/>
  <c r="W59" i="20"/>
  <c r="W60" i="20"/>
  <c r="W61" i="20"/>
  <c r="W62" i="20"/>
  <c r="W63" i="20"/>
  <c r="W64" i="20"/>
  <c r="W65" i="20"/>
  <c r="W66" i="20"/>
  <c r="W67" i="20"/>
  <c r="W68" i="20"/>
  <c r="W69" i="20"/>
  <c r="W70" i="20"/>
  <c r="W71" i="20"/>
  <c r="W72" i="20"/>
  <c r="W73" i="20"/>
  <c r="W74" i="20"/>
  <c r="W75" i="20"/>
  <c r="W76" i="20"/>
  <c r="W77" i="20"/>
  <c r="W78" i="20"/>
  <c r="W79" i="20"/>
  <c r="W80" i="20"/>
  <c r="W81" i="20"/>
  <c r="W82" i="20"/>
  <c r="W83" i="20"/>
  <c r="W84" i="20"/>
  <c r="W85" i="20"/>
  <c r="W86" i="20"/>
  <c r="W87" i="20"/>
  <c r="W88" i="20"/>
  <c r="W89" i="20"/>
  <c r="W90" i="20"/>
  <c r="W91" i="20"/>
  <c r="W92" i="20"/>
  <c r="W93" i="20"/>
  <c r="W94" i="20"/>
  <c r="W95" i="20"/>
  <c r="W96" i="20"/>
  <c r="W97" i="20"/>
  <c r="W98" i="20"/>
  <c r="W99" i="20"/>
  <c r="W100" i="20"/>
  <c r="W101" i="20"/>
  <c r="W102" i="20"/>
  <c r="W103" i="20"/>
  <c r="W104" i="20"/>
  <c r="W105" i="20"/>
  <c r="W106" i="20"/>
  <c r="W107" i="20"/>
  <c r="W108" i="20"/>
  <c r="W109" i="20"/>
  <c r="W110" i="20"/>
  <c r="W111" i="20"/>
  <c r="W112" i="20"/>
  <c r="W113" i="20"/>
  <c r="W115" i="20"/>
  <c r="W116" i="20"/>
  <c r="W117" i="20"/>
  <c r="W118" i="20"/>
  <c r="W119" i="20"/>
  <c r="W120" i="20"/>
  <c r="W121" i="20"/>
  <c r="W122" i="20"/>
  <c r="W123" i="20"/>
  <c r="W124" i="20"/>
  <c r="W125" i="20"/>
  <c r="W126" i="20"/>
  <c r="W127" i="20"/>
  <c r="W128" i="20"/>
  <c r="W129" i="20"/>
  <c r="W130" i="20"/>
  <c r="W131" i="20"/>
  <c r="W132" i="20"/>
  <c r="W133" i="20"/>
  <c r="W134" i="20"/>
  <c r="W135" i="20"/>
  <c r="W136" i="20"/>
  <c r="W137" i="20"/>
  <c r="W138" i="20"/>
  <c r="W139" i="20"/>
  <c r="W140" i="20"/>
  <c r="W141" i="20"/>
  <c r="W142" i="20"/>
  <c r="W143" i="20"/>
  <c r="W144" i="20"/>
  <c r="W145" i="20"/>
  <c r="W146" i="20"/>
  <c r="W147" i="20"/>
  <c r="W148" i="20"/>
  <c r="W149" i="20"/>
  <c r="W150" i="20"/>
  <c r="W151" i="20"/>
  <c r="W152" i="20"/>
  <c r="W153" i="20"/>
  <c r="W154" i="20"/>
  <c r="W155" i="20"/>
  <c r="W156" i="20"/>
  <c r="W157" i="20"/>
  <c r="W158" i="20"/>
  <c r="W159" i="20"/>
  <c r="W160" i="20"/>
  <c r="W161" i="20"/>
  <c r="W162" i="20"/>
  <c r="W163" i="20"/>
  <c r="W164" i="20"/>
  <c r="W165" i="20"/>
  <c r="W166" i="20"/>
  <c r="W167" i="20"/>
  <c r="W168" i="20"/>
  <c r="W169" i="20"/>
  <c r="W170" i="20"/>
  <c r="W171" i="20"/>
  <c r="W172" i="20"/>
  <c r="W173" i="20"/>
  <c r="W174" i="20"/>
  <c r="W175" i="20"/>
  <c r="W176" i="20"/>
  <c r="W177" i="20"/>
  <c r="W178" i="20"/>
  <c r="W179" i="20"/>
  <c r="W180" i="20"/>
  <c r="W181" i="20"/>
  <c r="W182" i="20"/>
  <c r="W183" i="20"/>
  <c r="W184" i="20"/>
  <c r="W185" i="20"/>
  <c r="W186" i="20"/>
  <c r="W187" i="20"/>
  <c r="W188" i="20"/>
  <c r="W189" i="20"/>
  <c r="W190" i="20"/>
  <c r="W191" i="20"/>
  <c r="W192" i="20"/>
  <c r="W193" i="20"/>
  <c r="W194" i="20"/>
  <c r="W195" i="20"/>
  <c r="W196" i="20"/>
  <c r="W197" i="20"/>
  <c r="W198" i="20"/>
  <c r="W199" i="20"/>
  <c r="W200" i="20"/>
  <c r="W201" i="20"/>
  <c r="W202" i="20"/>
  <c r="W203" i="20"/>
  <c r="W204" i="20"/>
  <c r="W205" i="20"/>
  <c r="W206" i="20"/>
  <c r="W207" i="20"/>
  <c r="W208" i="20"/>
  <c r="W209" i="20"/>
  <c r="W210" i="20"/>
  <c r="W211" i="20"/>
  <c r="W222" i="20"/>
  <c r="W223" i="20"/>
  <c r="W224" i="20"/>
  <c r="W225" i="20"/>
  <c r="W226" i="20"/>
  <c r="W227" i="20"/>
  <c r="W228" i="20"/>
  <c r="W229" i="20"/>
  <c r="W230" i="20"/>
  <c r="W231" i="20"/>
  <c r="W232" i="20"/>
  <c r="W233" i="20"/>
  <c r="W234" i="20"/>
  <c r="W235" i="20"/>
  <c r="W236" i="20"/>
  <c r="W237" i="20"/>
  <c r="W238" i="20"/>
  <c r="W239" i="20"/>
  <c r="W240" i="20"/>
  <c r="W241" i="20"/>
  <c r="W242" i="20"/>
  <c r="W243" i="20"/>
  <c r="W244" i="20"/>
  <c r="W245" i="20"/>
  <c r="W246" i="20"/>
  <c r="W247" i="20"/>
  <c r="W248" i="20"/>
  <c r="W249" i="20"/>
  <c r="W250" i="20"/>
  <c r="W251" i="20"/>
  <c r="W252" i="20"/>
  <c r="W253" i="20"/>
  <c r="W254" i="20"/>
  <c r="W255" i="20"/>
  <c r="W256" i="20"/>
  <c r="W257" i="20"/>
  <c r="W258" i="20"/>
  <c r="W259" i="20"/>
  <c r="W260" i="20"/>
  <c r="W261" i="20"/>
  <c r="W262" i="20"/>
  <c r="W263" i="20"/>
  <c r="W264" i="20"/>
  <c r="W265" i="20"/>
  <c r="W266" i="20"/>
  <c r="W267" i="20"/>
  <c r="W268" i="20"/>
  <c r="W269" i="20"/>
  <c r="W270" i="20"/>
  <c r="W271" i="20"/>
  <c r="W272" i="20"/>
  <c r="W273" i="20"/>
  <c r="W274" i="20"/>
  <c r="W275" i="20"/>
  <c r="W276" i="20"/>
  <c r="W277" i="20"/>
  <c r="W278" i="20"/>
  <c r="W279" i="20"/>
  <c r="W280" i="20"/>
  <c r="W281" i="20"/>
  <c r="W282" i="20"/>
  <c r="W283" i="20"/>
  <c r="W284" i="20"/>
  <c r="W285" i="20"/>
  <c r="W286" i="20"/>
  <c r="W287" i="20"/>
  <c r="W288" i="20"/>
  <c r="W289" i="20"/>
  <c r="W290" i="20"/>
  <c r="W291" i="20"/>
  <c r="W292" i="20"/>
  <c r="W293" i="20"/>
  <c r="W294" i="20"/>
  <c r="W295" i="20"/>
  <c r="W296" i="20"/>
  <c r="W297" i="20"/>
  <c r="W298" i="20"/>
  <c r="W299" i="20"/>
  <c r="W300" i="20"/>
  <c r="W301" i="20"/>
  <c r="W302" i="20"/>
  <c r="W303" i="20"/>
  <c r="W304" i="20"/>
  <c r="W305" i="20"/>
  <c r="W306" i="20"/>
  <c r="W307" i="20"/>
  <c r="W308" i="20"/>
  <c r="W309" i="20"/>
  <c r="W310" i="20"/>
  <c r="W311" i="20"/>
  <c r="W312" i="20"/>
  <c r="W313" i="20"/>
  <c r="W315" i="20"/>
  <c r="W316" i="20"/>
  <c r="W317" i="20"/>
  <c r="W318" i="20"/>
  <c r="W319" i="20"/>
  <c r="W320" i="20"/>
  <c r="W321" i="20"/>
  <c r="W322" i="20"/>
  <c r="W323" i="20"/>
  <c r="W324" i="20"/>
  <c r="W325" i="20"/>
  <c r="W326" i="20"/>
  <c r="W327" i="20"/>
  <c r="W328" i="20"/>
  <c r="W329" i="20"/>
  <c r="W330" i="20"/>
  <c r="W331" i="20"/>
  <c r="W332" i="20"/>
  <c r="W333" i="20"/>
  <c r="W334" i="20"/>
  <c r="W335" i="20"/>
  <c r="W336" i="20"/>
  <c r="W337" i="20"/>
  <c r="W338" i="20"/>
  <c r="W339" i="20"/>
  <c r="W340" i="20"/>
  <c r="W341" i="20"/>
  <c r="W342" i="20"/>
  <c r="W343" i="20"/>
  <c r="W344" i="20"/>
  <c r="W345" i="20"/>
  <c r="W346" i="20"/>
  <c r="W347" i="20"/>
  <c r="W348" i="20"/>
  <c r="W349" i="20"/>
  <c r="W350" i="20"/>
  <c r="W351" i="20"/>
  <c r="W352" i="20"/>
  <c r="W353" i="20"/>
  <c r="W354" i="20"/>
  <c r="W355" i="20"/>
  <c r="W356" i="20"/>
  <c r="W357" i="20"/>
  <c r="W358" i="20"/>
  <c r="W359" i="20"/>
  <c r="W360" i="20"/>
  <c r="W361" i="20"/>
  <c r="W362" i="20"/>
  <c r="W363" i="20"/>
  <c r="W364" i="20"/>
  <c r="W365" i="20"/>
  <c r="W366" i="20"/>
  <c r="W367" i="20"/>
  <c r="W368" i="20"/>
  <c r="W369" i="20"/>
  <c r="W370" i="20"/>
  <c r="W371" i="20"/>
  <c r="W372" i="20"/>
  <c r="W373" i="20"/>
  <c r="W374" i="20"/>
  <c r="W375" i="20"/>
  <c r="W376" i="20"/>
  <c r="W377" i="20"/>
  <c r="W378" i="20"/>
  <c r="W379" i="20"/>
  <c r="W380" i="20"/>
  <c r="W381" i="20"/>
  <c r="W382" i="20"/>
  <c r="W383" i="20"/>
  <c r="W384" i="20"/>
  <c r="W385" i="20"/>
  <c r="W386" i="20"/>
  <c r="W387" i="20"/>
  <c r="W388" i="20"/>
  <c r="W389" i="20"/>
  <c r="W390" i="20"/>
  <c r="W391" i="20"/>
  <c r="W392" i="20"/>
  <c r="W393" i="20"/>
  <c r="W394" i="20"/>
  <c r="W395" i="20"/>
  <c r="W396" i="20"/>
  <c r="W397" i="20"/>
  <c r="W398" i="20"/>
  <c r="W399" i="20"/>
  <c r="W400" i="20"/>
  <c r="W401" i="20"/>
  <c r="W402" i="20"/>
  <c r="W403" i="20"/>
  <c r="W404" i="20"/>
  <c r="W405" i="20"/>
  <c r="W406" i="20"/>
  <c r="W407" i="20"/>
  <c r="W408" i="20"/>
  <c r="W409" i="20"/>
  <c r="W410" i="20"/>
  <c r="W411" i="20"/>
  <c r="W412" i="20"/>
  <c r="W413" i="20"/>
  <c r="W415" i="20"/>
  <c r="W416" i="20"/>
  <c r="W417" i="20"/>
  <c r="W418" i="20"/>
  <c r="W419" i="20"/>
  <c r="W420" i="20"/>
  <c r="W421" i="20"/>
  <c r="W422" i="20"/>
  <c r="W423" i="20"/>
  <c r="W424" i="20"/>
  <c r="W425" i="20"/>
  <c r="W426" i="20"/>
  <c r="W427" i="20"/>
  <c r="W428" i="20"/>
  <c r="W429" i="20"/>
  <c r="W430" i="20"/>
  <c r="W431" i="20"/>
  <c r="W432" i="20"/>
  <c r="W433" i="20"/>
  <c r="W434" i="20"/>
  <c r="W435" i="20"/>
  <c r="W436" i="20"/>
  <c r="W437" i="20"/>
  <c r="W438" i="20"/>
  <c r="W439" i="20"/>
  <c r="W440" i="20"/>
  <c r="W441" i="20"/>
  <c r="W442" i="20"/>
  <c r="W443" i="20"/>
  <c r="W444" i="20"/>
  <c r="W445" i="20"/>
  <c r="W446" i="20"/>
  <c r="W447" i="20"/>
  <c r="W448" i="20"/>
  <c r="W449" i="20"/>
  <c r="W450" i="20"/>
  <c r="W451" i="20"/>
  <c r="W452" i="20"/>
  <c r="W453" i="20"/>
  <c r="W454" i="20"/>
  <c r="W455" i="20"/>
  <c r="W456" i="20"/>
  <c r="W457" i="20"/>
  <c r="W458" i="20"/>
  <c r="W459" i="20"/>
  <c r="W460" i="20"/>
  <c r="W461" i="20"/>
  <c r="W462" i="20"/>
  <c r="W463" i="20"/>
  <c r="W464" i="20"/>
  <c r="W465" i="20"/>
  <c r="W466" i="20"/>
  <c r="W467" i="20"/>
  <c r="W468" i="20"/>
  <c r="W469" i="20"/>
  <c r="W470" i="20"/>
  <c r="W471" i="20"/>
  <c r="W472" i="20"/>
  <c r="W473" i="20"/>
  <c r="W474" i="20"/>
  <c r="W475" i="20"/>
  <c r="W476" i="20"/>
  <c r="W477" i="20"/>
  <c r="W478" i="20"/>
  <c r="W479" i="20"/>
  <c r="W480" i="20"/>
  <c r="W481" i="20"/>
  <c r="W482" i="20"/>
  <c r="W483" i="20"/>
  <c r="W484" i="20"/>
  <c r="W485" i="20"/>
  <c r="W486" i="20"/>
  <c r="W487" i="20"/>
  <c r="W488" i="20"/>
  <c r="W489" i="20"/>
  <c r="W490" i="20"/>
  <c r="W491" i="20"/>
  <c r="W492" i="20"/>
  <c r="W493" i="20"/>
  <c r="W494" i="20"/>
  <c r="W495" i="20"/>
  <c r="W496" i="20"/>
  <c r="AF7" i="20"/>
  <c r="AF10" i="20"/>
  <c r="AF11" i="20"/>
  <c r="AF12" i="20"/>
  <c r="AF13" i="20"/>
  <c r="AF16" i="20"/>
  <c r="AF17" i="20"/>
  <c r="AF18" i="20"/>
  <c r="AF19" i="20"/>
  <c r="AF20" i="20"/>
  <c r="AF22" i="20"/>
  <c r="AF23" i="20"/>
  <c r="AF24" i="20"/>
  <c r="AF25" i="20"/>
  <c r="AF26" i="20"/>
  <c r="AF27" i="20"/>
  <c r="AF28" i="20"/>
  <c r="AF29" i="20"/>
  <c r="AF30" i="20"/>
  <c r="AF31" i="20"/>
  <c r="AF32" i="20"/>
  <c r="AF33" i="20"/>
  <c r="AF3" i="20"/>
  <c r="AF4" i="20"/>
  <c r="AF5" i="20"/>
  <c r="AF6" i="20"/>
  <c r="AG26" i="20"/>
  <c r="AG25" i="20"/>
  <c r="AG23" i="20"/>
  <c r="AG20" i="20"/>
  <c r="AG19" i="20"/>
  <c r="AG18" i="20"/>
  <c r="AG17" i="20"/>
  <c r="AG16" i="20"/>
  <c r="AG13" i="20"/>
  <c r="AG27" i="20"/>
  <c r="AG28" i="20"/>
  <c r="AG29" i="20"/>
  <c r="AG30" i="20"/>
  <c r="AG31" i="20"/>
  <c r="AG32" i="20"/>
  <c r="AG33" i="20"/>
  <c r="N56" i="21"/>
  <c r="N57" i="21"/>
  <c r="N58" i="21"/>
  <c r="N59" i="21"/>
  <c r="N60" i="21"/>
  <c r="N61" i="21"/>
  <c r="N62" i="21"/>
  <c r="N63" i="21"/>
  <c r="N64" i="21"/>
  <c r="N65" i="21"/>
  <c r="N66" i="21"/>
  <c r="N67" i="21"/>
  <c r="N68" i="21"/>
  <c r="N69" i="21"/>
  <c r="N70" i="21"/>
  <c r="N71" i="21"/>
  <c r="N72" i="21"/>
  <c r="N73" i="21"/>
  <c r="N74" i="21"/>
  <c r="N75" i="21"/>
  <c r="N76" i="21"/>
  <c r="N77" i="21"/>
  <c r="N78" i="21"/>
  <c r="N79" i="21"/>
  <c r="N80" i="21"/>
  <c r="N81" i="21"/>
  <c r="N82" i="21"/>
  <c r="N83" i="21"/>
  <c r="N84" i="21"/>
  <c r="N85" i="21"/>
  <c r="N86" i="21"/>
  <c r="N87" i="21"/>
  <c r="N88" i="21"/>
  <c r="N89" i="21"/>
  <c r="N90" i="21"/>
  <c r="N91" i="21"/>
  <c r="N92" i="21"/>
  <c r="N93" i="21"/>
  <c r="N94" i="21"/>
  <c r="N95" i="21"/>
  <c r="N96" i="21"/>
  <c r="N97" i="21"/>
  <c r="N98" i="21"/>
  <c r="N99" i="21"/>
  <c r="N100" i="21"/>
  <c r="N101" i="21"/>
  <c r="N102" i="21"/>
  <c r="N103" i="21"/>
  <c r="N104" i="21"/>
  <c r="N105" i="21"/>
  <c r="N106" i="21"/>
  <c r="N107" i="21"/>
  <c r="N108" i="21"/>
  <c r="N109" i="21"/>
  <c r="N110" i="21"/>
  <c r="N111" i="21"/>
  <c r="N112" i="21"/>
  <c r="N113" i="21"/>
  <c r="N114" i="21"/>
  <c r="N115" i="21"/>
  <c r="N116" i="21"/>
  <c r="N117" i="21"/>
  <c r="N20" i="21"/>
  <c r="N21" i="21"/>
  <c r="N22" i="21"/>
  <c r="N23" i="21"/>
  <c r="N24" i="21"/>
  <c r="N25" i="21"/>
  <c r="N26" i="21"/>
  <c r="N27" i="21"/>
  <c r="N28" i="21"/>
  <c r="N29" i="21"/>
  <c r="N30" i="21"/>
  <c r="N31" i="21"/>
  <c r="N32" i="21"/>
  <c r="N33" i="21"/>
  <c r="N34" i="21"/>
  <c r="N35" i="21"/>
  <c r="N36" i="21"/>
  <c r="N37" i="21"/>
  <c r="N38" i="21"/>
  <c r="N39" i="21"/>
  <c r="N40" i="21"/>
  <c r="N41" i="21"/>
  <c r="N42" i="21"/>
  <c r="N43" i="21"/>
  <c r="N44" i="21"/>
  <c r="N45" i="21"/>
  <c r="N46" i="21"/>
  <c r="N47" i="21"/>
  <c r="N48" i="21"/>
  <c r="N49" i="21"/>
  <c r="N50" i="21"/>
  <c r="N51" i="21"/>
  <c r="N52" i="21"/>
  <c r="N53" i="21"/>
  <c r="N54" i="21"/>
  <c r="N55" i="21"/>
  <c r="N19" i="21"/>
  <c r="U3" i="20"/>
  <c r="U4" i="20"/>
  <c r="U5" i="20"/>
  <c r="U6" i="20"/>
  <c r="U7" i="20"/>
  <c r="U10" i="20"/>
  <c r="U11" i="20"/>
  <c r="U12" i="20"/>
  <c r="U13" i="20"/>
  <c r="U16" i="20"/>
  <c r="U17" i="20"/>
  <c r="U18" i="20"/>
  <c r="U19" i="20"/>
  <c r="U20" i="20"/>
  <c r="U22" i="20"/>
  <c r="U23" i="20"/>
  <c r="U24" i="20"/>
  <c r="U25" i="20"/>
  <c r="U26" i="20"/>
  <c r="U27" i="20"/>
  <c r="U28" i="20"/>
  <c r="U29" i="20"/>
  <c r="U30" i="20"/>
  <c r="U31" i="20"/>
  <c r="U32" i="20"/>
  <c r="U33" i="20"/>
  <c r="U34" i="20"/>
  <c r="U35" i="20"/>
  <c r="U36" i="20"/>
  <c r="U37" i="20"/>
  <c r="U38" i="20"/>
  <c r="U39" i="20"/>
  <c r="U40" i="20"/>
  <c r="U41" i="20"/>
  <c r="U42" i="20"/>
  <c r="U43" i="20"/>
  <c r="U44" i="20"/>
  <c r="U45" i="20"/>
  <c r="U46" i="20"/>
  <c r="U47" i="20"/>
  <c r="U48" i="20"/>
  <c r="U49" i="20"/>
  <c r="U50" i="20"/>
  <c r="U51" i="20"/>
  <c r="U52" i="20"/>
  <c r="U53" i="20"/>
  <c r="U54" i="20"/>
  <c r="U55" i="20"/>
  <c r="U56" i="20"/>
  <c r="U57" i="20"/>
  <c r="U58" i="20"/>
  <c r="U59" i="20"/>
  <c r="U60" i="20"/>
  <c r="U61" i="20"/>
  <c r="U62" i="20"/>
  <c r="U63" i="20"/>
  <c r="U64" i="20"/>
  <c r="U65" i="20"/>
  <c r="U66" i="20"/>
  <c r="U67" i="20"/>
  <c r="U68" i="20"/>
  <c r="U69" i="20"/>
  <c r="U70" i="20"/>
  <c r="U71" i="20"/>
  <c r="U72" i="20"/>
  <c r="U73" i="20"/>
  <c r="U74" i="20"/>
  <c r="U75" i="20"/>
  <c r="U76" i="20"/>
  <c r="U77" i="20"/>
  <c r="U78" i="20"/>
  <c r="U79" i="20"/>
  <c r="U80" i="20"/>
  <c r="U81" i="20"/>
  <c r="U82" i="20"/>
  <c r="U83" i="20"/>
  <c r="U84" i="20"/>
  <c r="U85" i="20"/>
  <c r="U86" i="20"/>
  <c r="U87" i="20"/>
  <c r="U88" i="20"/>
  <c r="U89" i="20"/>
  <c r="U90" i="20"/>
  <c r="U91" i="20"/>
  <c r="U92" i="20"/>
  <c r="U93" i="20"/>
  <c r="U94" i="20"/>
  <c r="U95" i="20"/>
  <c r="U96" i="20"/>
  <c r="U97" i="20"/>
  <c r="U98" i="20"/>
  <c r="U99" i="20"/>
  <c r="U100" i="20"/>
  <c r="U101" i="20"/>
  <c r="U102" i="20"/>
  <c r="U103" i="20"/>
  <c r="U104" i="20"/>
  <c r="U105" i="20"/>
  <c r="U106" i="20"/>
  <c r="U107" i="20"/>
  <c r="U108" i="20"/>
  <c r="U109" i="20"/>
  <c r="U110" i="20"/>
  <c r="U111" i="20"/>
  <c r="U112" i="20"/>
  <c r="U113" i="20"/>
  <c r="U115" i="20"/>
  <c r="U116" i="20"/>
  <c r="U117" i="20"/>
  <c r="U118" i="20"/>
  <c r="U119" i="20"/>
  <c r="U120" i="20"/>
  <c r="U121" i="20"/>
  <c r="U122" i="20"/>
  <c r="U123" i="20"/>
  <c r="U124" i="20"/>
  <c r="U125" i="20"/>
  <c r="U126" i="20"/>
  <c r="U127" i="20"/>
  <c r="U128" i="20"/>
  <c r="U129" i="20"/>
  <c r="U130" i="20"/>
  <c r="U131" i="20"/>
  <c r="U132" i="20"/>
  <c r="U133" i="20"/>
  <c r="U134" i="20"/>
  <c r="U135" i="20"/>
  <c r="U136" i="20"/>
  <c r="U137" i="20"/>
  <c r="U138" i="20"/>
  <c r="U139" i="20"/>
  <c r="U140" i="20"/>
  <c r="U141" i="20"/>
  <c r="U142" i="20"/>
  <c r="U143" i="20"/>
  <c r="U144" i="20"/>
  <c r="U145" i="20"/>
  <c r="U146" i="20"/>
  <c r="U147" i="20"/>
  <c r="U148" i="20"/>
  <c r="U149" i="20"/>
  <c r="U150" i="20"/>
  <c r="U151" i="20"/>
  <c r="U152" i="20"/>
  <c r="U153" i="20"/>
  <c r="U154" i="20"/>
  <c r="U155" i="20"/>
  <c r="U156" i="20"/>
  <c r="U157" i="20"/>
  <c r="U158" i="20"/>
  <c r="U159" i="20"/>
  <c r="U160" i="20"/>
  <c r="U161" i="20"/>
  <c r="U162" i="20"/>
  <c r="U163" i="20"/>
  <c r="U164" i="20"/>
  <c r="U165" i="20"/>
  <c r="U166" i="20"/>
  <c r="U167" i="20"/>
  <c r="U168" i="20"/>
  <c r="U169" i="20"/>
  <c r="U170" i="20"/>
  <c r="U171" i="20"/>
  <c r="U172" i="20"/>
  <c r="U173" i="20"/>
  <c r="U174" i="20"/>
  <c r="U175" i="20"/>
  <c r="U176" i="20"/>
  <c r="U177" i="20"/>
  <c r="U178" i="20"/>
  <c r="U179" i="20"/>
  <c r="U180" i="20"/>
  <c r="U181" i="20"/>
  <c r="U182" i="20"/>
  <c r="U183" i="20"/>
  <c r="U184" i="20"/>
  <c r="U185" i="20"/>
  <c r="U186" i="20"/>
  <c r="U187" i="20"/>
  <c r="U188" i="20"/>
  <c r="U189" i="20"/>
  <c r="U190" i="20"/>
  <c r="U191" i="20"/>
  <c r="U192" i="20"/>
  <c r="U193" i="20"/>
  <c r="U194" i="20"/>
  <c r="U195" i="20"/>
  <c r="U196" i="20"/>
  <c r="U197" i="20"/>
  <c r="U198" i="20"/>
  <c r="U199" i="20"/>
  <c r="U200" i="20"/>
  <c r="U201" i="20"/>
  <c r="U202" i="20"/>
  <c r="U203" i="20"/>
  <c r="U204" i="20"/>
  <c r="U205" i="20"/>
  <c r="U206" i="20"/>
  <c r="U207" i="20"/>
  <c r="U208" i="20"/>
  <c r="U209" i="20"/>
  <c r="U210" i="20"/>
  <c r="U211" i="20"/>
  <c r="U222" i="20"/>
  <c r="U223" i="20"/>
  <c r="U224" i="20"/>
  <c r="U225" i="20"/>
  <c r="U226" i="20"/>
  <c r="U227" i="20"/>
  <c r="U228" i="20"/>
  <c r="U229" i="20"/>
  <c r="U230" i="20"/>
  <c r="U231" i="20"/>
  <c r="U232" i="20"/>
  <c r="U233" i="20"/>
  <c r="U234" i="20"/>
  <c r="U235" i="20"/>
  <c r="U236" i="20"/>
  <c r="U237" i="20"/>
  <c r="U238" i="20"/>
  <c r="U239" i="20"/>
  <c r="U240" i="20"/>
  <c r="U241" i="20"/>
  <c r="U242" i="20"/>
  <c r="U243" i="20"/>
  <c r="U244" i="20"/>
  <c r="U245" i="20"/>
  <c r="U246" i="20"/>
  <c r="U247" i="20"/>
  <c r="U248" i="20"/>
  <c r="U249" i="20"/>
  <c r="U250" i="20"/>
  <c r="U251" i="20"/>
  <c r="U252" i="20"/>
  <c r="U253" i="20"/>
  <c r="U254" i="20"/>
  <c r="U255" i="20"/>
  <c r="U256" i="20"/>
  <c r="U257" i="20"/>
  <c r="U258" i="20"/>
  <c r="U259" i="20"/>
  <c r="U260" i="20"/>
  <c r="U261" i="20"/>
  <c r="U262" i="20"/>
  <c r="U263" i="20"/>
  <c r="U264" i="20"/>
  <c r="U265" i="20"/>
  <c r="U266" i="20"/>
  <c r="U267" i="20"/>
  <c r="U268" i="20"/>
  <c r="U269" i="20"/>
  <c r="U270" i="20"/>
  <c r="U271" i="20"/>
  <c r="U272" i="20"/>
  <c r="U273" i="20"/>
  <c r="U274" i="20"/>
  <c r="U275" i="20"/>
  <c r="U276" i="20"/>
  <c r="U277" i="20"/>
  <c r="U278" i="20"/>
  <c r="U279" i="20"/>
  <c r="U280" i="20"/>
  <c r="U281" i="20"/>
  <c r="U282" i="20"/>
  <c r="U283" i="20"/>
  <c r="U284" i="20"/>
  <c r="U285" i="20"/>
  <c r="U286" i="20"/>
  <c r="U287" i="20"/>
  <c r="U288" i="20"/>
  <c r="U289" i="20"/>
  <c r="U290" i="20"/>
  <c r="U291" i="20"/>
  <c r="U292" i="20"/>
  <c r="U293" i="20"/>
  <c r="U294" i="20"/>
  <c r="U295" i="20"/>
  <c r="U296" i="20"/>
  <c r="U297" i="20"/>
  <c r="U298" i="20"/>
  <c r="U299" i="20"/>
  <c r="U300" i="20"/>
  <c r="U301" i="20"/>
  <c r="U302" i="20"/>
  <c r="U303" i="20"/>
  <c r="U304" i="20"/>
  <c r="U305" i="20"/>
  <c r="U306" i="20"/>
  <c r="U307" i="20"/>
  <c r="U308" i="20"/>
  <c r="U309" i="20"/>
  <c r="U310" i="20"/>
  <c r="U311" i="20"/>
  <c r="U312" i="20"/>
  <c r="U313" i="20"/>
  <c r="U315" i="20"/>
  <c r="U316" i="20"/>
  <c r="U317" i="20"/>
  <c r="U318" i="20"/>
  <c r="U319" i="20"/>
  <c r="U320" i="20"/>
  <c r="U321" i="20"/>
  <c r="U322" i="20"/>
  <c r="U323" i="20"/>
  <c r="U324" i="20"/>
  <c r="U325" i="20"/>
  <c r="U326" i="20"/>
  <c r="U327" i="20"/>
  <c r="U328" i="20"/>
  <c r="U329" i="20"/>
  <c r="U330" i="20"/>
  <c r="U331" i="20"/>
  <c r="U332" i="20"/>
  <c r="U333" i="20"/>
  <c r="U334" i="20"/>
  <c r="U335" i="20"/>
  <c r="U336" i="20"/>
  <c r="U337" i="20"/>
  <c r="U338" i="20"/>
  <c r="U339" i="20"/>
  <c r="U340" i="20"/>
  <c r="U341" i="20"/>
  <c r="U342" i="20"/>
  <c r="U343" i="20"/>
  <c r="U344" i="20"/>
  <c r="U345" i="20"/>
  <c r="U346" i="20"/>
  <c r="U347" i="20"/>
  <c r="U348" i="20"/>
  <c r="U349" i="20"/>
  <c r="U350" i="20"/>
  <c r="U351" i="20"/>
  <c r="U352" i="20"/>
  <c r="U353" i="20"/>
  <c r="U354" i="20"/>
  <c r="U355" i="20"/>
  <c r="U356" i="20"/>
  <c r="U357" i="20"/>
  <c r="U358" i="20"/>
  <c r="U359" i="20"/>
  <c r="U360" i="20"/>
  <c r="U361" i="20"/>
  <c r="U362" i="20"/>
  <c r="U363" i="20"/>
  <c r="U364" i="20"/>
  <c r="U365" i="20"/>
  <c r="U366" i="20"/>
  <c r="U367" i="20"/>
  <c r="U368" i="20"/>
  <c r="U369" i="20"/>
  <c r="U370" i="20"/>
  <c r="U371" i="20"/>
  <c r="U372" i="20"/>
  <c r="U373" i="20"/>
  <c r="U374" i="20"/>
  <c r="U375" i="20"/>
  <c r="U376" i="20"/>
  <c r="U377" i="20"/>
  <c r="U378" i="20"/>
  <c r="U379" i="20"/>
  <c r="U380" i="20"/>
  <c r="U381" i="20"/>
  <c r="U382" i="20"/>
  <c r="U383" i="20"/>
  <c r="U384" i="20"/>
  <c r="U385" i="20"/>
  <c r="U386" i="20"/>
  <c r="U387" i="20"/>
  <c r="U388" i="20"/>
  <c r="U389" i="20"/>
  <c r="U390" i="20"/>
  <c r="U391" i="20"/>
  <c r="U392" i="20"/>
  <c r="U393" i="20"/>
  <c r="U394" i="20"/>
  <c r="U395" i="20"/>
  <c r="U396" i="20"/>
  <c r="U397" i="20"/>
  <c r="U398" i="20"/>
  <c r="U399" i="20"/>
  <c r="U400" i="20"/>
  <c r="U401" i="20"/>
  <c r="U402" i="20"/>
  <c r="U403" i="20"/>
  <c r="U404" i="20"/>
  <c r="U405" i="20"/>
  <c r="U406" i="20"/>
  <c r="U407" i="20"/>
  <c r="U408" i="20"/>
  <c r="U409" i="20"/>
  <c r="U410" i="20"/>
  <c r="U411" i="20"/>
  <c r="U412" i="20"/>
  <c r="U413" i="20"/>
  <c r="U415" i="20"/>
  <c r="U416" i="20"/>
  <c r="U417" i="20"/>
  <c r="U418" i="20"/>
  <c r="U419" i="20"/>
  <c r="U420" i="20"/>
  <c r="U421" i="20"/>
  <c r="U422" i="20"/>
  <c r="U423" i="20"/>
  <c r="U424" i="20"/>
  <c r="U425" i="20"/>
  <c r="U426" i="20"/>
  <c r="U427" i="20"/>
  <c r="U428" i="20"/>
  <c r="U429" i="20"/>
  <c r="U430" i="20"/>
  <c r="U431" i="20"/>
  <c r="U432" i="20"/>
  <c r="U433" i="20"/>
  <c r="U434" i="20"/>
  <c r="U435" i="20"/>
  <c r="U436" i="20"/>
  <c r="U437" i="20"/>
  <c r="U438" i="20"/>
  <c r="U439" i="20"/>
  <c r="U440" i="20"/>
  <c r="U441" i="20"/>
  <c r="U442" i="20"/>
  <c r="U443" i="20"/>
  <c r="U444" i="20"/>
  <c r="U445" i="20"/>
  <c r="U446" i="20"/>
  <c r="U447" i="20"/>
  <c r="U448" i="20"/>
  <c r="U449" i="20"/>
  <c r="U450" i="20"/>
  <c r="U451" i="20"/>
  <c r="U452" i="20"/>
  <c r="U453" i="20"/>
  <c r="U454" i="20"/>
  <c r="U455" i="20"/>
  <c r="U456" i="20"/>
  <c r="U457" i="20"/>
  <c r="U458" i="20"/>
  <c r="U459" i="20"/>
  <c r="U460" i="20"/>
  <c r="U461" i="20"/>
  <c r="U462" i="20"/>
  <c r="U463" i="20"/>
  <c r="U464" i="20"/>
  <c r="U465" i="20"/>
  <c r="U466" i="20"/>
  <c r="U467" i="20"/>
  <c r="U468" i="20"/>
  <c r="U469" i="20"/>
  <c r="U470" i="20"/>
  <c r="U471" i="20"/>
  <c r="U472" i="20"/>
  <c r="U473" i="20"/>
  <c r="U474" i="20"/>
  <c r="U475" i="20"/>
  <c r="U476" i="20"/>
  <c r="U477" i="20"/>
  <c r="U478" i="20"/>
  <c r="U479" i="20"/>
  <c r="U480" i="20"/>
  <c r="U481" i="20"/>
  <c r="U482" i="20"/>
  <c r="U483" i="20"/>
  <c r="U484" i="20"/>
  <c r="U485" i="20"/>
  <c r="U486" i="20"/>
  <c r="U487" i="20"/>
  <c r="U488" i="20"/>
  <c r="U489" i="20"/>
  <c r="U490" i="20"/>
  <c r="U491" i="20"/>
  <c r="U492" i="20"/>
  <c r="U493" i="20"/>
  <c r="U494" i="20"/>
  <c r="U495" i="20"/>
  <c r="U496" i="20"/>
  <c r="AH12" i="20"/>
  <c r="AH13" i="20"/>
  <c r="AH16" i="20"/>
  <c r="AH17" i="20"/>
  <c r="AH18" i="20"/>
  <c r="AH19" i="20"/>
  <c r="AH20" i="20"/>
  <c r="AH25" i="20"/>
  <c r="AH26" i="20"/>
  <c r="AH27" i="20"/>
  <c r="AH28" i="20"/>
  <c r="AH29" i="20"/>
  <c r="AH30" i="20"/>
  <c r="AH31" i="20"/>
  <c r="AH32" i="20"/>
  <c r="AH33" i="20"/>
  <c r="AH34" i="20"/>
  <c r="AH35" i="20"/>
  <c r="AH36" i="20"/>
  <c r="AH37" i="20"/>
  <c r="AH38" i="20"/>
  <c r="AH39" i="20"/>
  <c r="AH40" i="20"/>
  <c r="AH41" i="20"/>
  <c r="AH42" i="20"/>
  <c r="AH43" i="20"/>
  <c r="AH44" i="20"/>
  <c r="AH45" i="20"/>
  <c r="AH46" i="20"/>
  <c r="AH47" i="20"/>
  <c r="AH48" i="20"/>
  <c r="AH49" i="20"/>
  <c r="AH50" i="20"/>
  <c r="AH51" i="20"/>
  <c r="AH52" i="20"/>
  <c r="AH53" i="20"/>
  <c r="AH54" i="20"/>
  <c r="AH55" i="20"/>
  <c r="AH56" i="20"/>
  <c r="AH57" i="20"/>
  <c r="AH58" i="20"/>
  <c r="AH59" i="20"/>
  <c r="AH60" i="20"/>
  <c r="AH61" i="20"/>
  <c r="AH62" i="20"/>
  <c r="AH63" i="20"/>
  <c r="AH64" i="20"/>
  <c r="AH65" i="20"/>
  <c r="AH66" i="20"/>
  <c r="AH67" i="20"/>
  <c r="AH68" i="20"/>
  <c r="AH69" i="20"/>
  <c r="AH70" i="20"/>
  <c r="AH71" i="20"/>
  <c r="AH72" i="20"/>
  <c r="AH73" i="20"/>
  <c r="AH74" i="20"/>
  <c r="AH75" i="20"/>
  <c r="AH76" i="20"/>
  <c r="AH77" i="20"/>
  <c r="AH78" i="20"/>
  <c r="AH79" i="20"/>
  <c r="AH80" i="20"/>
  <c r="AH81" i="20"/>
  <c r="AH82" i="20"/>
  <c r="AH83" i="20"/>
  <c r="AH84" i="20"/>
  <c r="AH85" i="20"/>
  <c r="AH86" i="20"/>
  <c r="AH87" i="20"/>
  <c r="AH88" i="20"/>
  <c r="AH89" i="20"/>
  <c r="AH90" i="20"/>
  <c r="AH91" i="20"/>
  <c r="AH92" i="20"/>
  <c r="AH93" i="20"/>
  <c r="AH94" i="20"/>
  <c r="AH95" i="20"/>
  <c r="AH96" i="20"/>
  <c r="AH97" i="20"/>
  <c r="AH98" i="20"/>
  <c r="AH99" i="20"/>
  <c r="AH100" i="20"/>
  <c r="AH101" i="20"/>
  <c r="AH102" i="20"/>
  <c r="AH103" i="20"/>
  <c r="AH104" i="20"/>
  <c r="AH105" i="20"/>
  <c r="AH106" i="20"/>
  <c r="AH107" i="20"/>
  <c r="AH108" i="20"/>
  <c r="AH109" i="20"/>
  <c r="AH110" i="20"/>
  <c r="AH111" i="20"/>
  <c r="AH112" i="20"/>
  <c r="AH113" i="20"/>
  <c r="AH115" i="20"/>
  <c r="AH116" i="20"/>
  <c r="AH117" i="20"/>
  <c r="AH118" i="20"/>
  <c r="AH119" i="20"/>
  <c r="AH120" i="20"/>
  <c r="AH121" i="20"/>
  <c r="AH122" i="20"/>
  <c r="AH123" i="20"/>
  <c r="AH124" i="20"/>
  <c r="AH125" i="20"/>
  <c r="AH126" i="20"/>
  <c r="AH127" i="20"/>
  <c r="AH128" i="20"/>
  <c r="AH129" i="20"/>
  <c r="AH130" i="20"/>
  <c r="AH131" i="20"/>
  <c r="AH132" i="20"/>
  <c r="AH133" i="20"/>
  <c r="AH134" i="20"/>
  <c r="AH135" i="20"/>
  <c r="AH136" i="20"/>
  <c r="AH137" i="20"/>
  <c r="AH138" i="20"/>
  <c r="AH139" i="20"/>
  <c r="AH140" i="20"/>
  <c r="AH141" i="20"/>
  <c r="AH142" i="20"/>
  <c r="AH143" i="20"/>
  <c r="AH144" i="20"/>
  <c r="AH145" i="20"/>
  <c r="AH146" i="20"/>
  <c r="AH147" i="20"/>
  <c r="AH148" i="20"/>
  <c r="AH149" i="20"/>
  <c r="AH150" i="20"/>
  <c r="AH151" i="20"/>
  <c r="AH152" i="20"/>
  <c r="AH153" i="20"/>
  <c r="AH154" i="20"/>
  <c r="AH155" i="20"/>
  <c r="AH156" i="20"/>
  <c r="AH157" i="20"/>
  <c r="AH158" i="20"/>
  <c r="AH159" i="20"/>
  <c r="AH160" i="20"/>
  <c r="AH161" i="20"/>
  <c r="AH162" i="20"/>
  <c r="AH163" i="20"/>
  <c r="AH164" i="20"/>
  <c r="AH165" i="20"/>
  <c r="AH166" i="20"/>
  <c r="AH167" i="20"/>
  <c r="AH168" i="20"/>
  <c r="AH169" i="20"/>
  <c r="AH170" i="20"/>
  <c r="AH171" i="20"/>
  <c r="AH172" i="20"/>
  <c r="AH173" i="20"/>
  <c r="AH174" i="20"/>
  <c r="AH175" i="20"/>
  <c r="AH176" i="20"/>
  <c r="AH177" i="20"/>
  <c r="AH178" i="20"/>
  <c r="AH179" i="20"/>
  <c r="AH180" i="20"/>
  <c r="AH181" i="20"/>
  <c r="AH182" i="20"/>
  <c r="AH183" i="20"/>
  <c r="AH184" i="20"/>
  <c r="AH185" i="20"/>
  <c r="AH186" i="20"/>
  <c r="AH187" i="20"/>
  <c r="AH188" i="20"/>
  <c r="AH189" i="20"/>
  <c r="AH190" i="20"/>
  <c r="AH191" i="20"/>
  <c r="AH192" i="20"/>
  <c r="AH193" i="20"/>
  <c r="AH194" i="20"/>
  <c r="AH195" i="20"/>
  <c r="AH196" i="20"/>
  <c r="AH197" i="20"/>
  <c r="AH198" i="20"/>
  <c r="AH199" i="20"/>
  <c r="AH200" i="20"/>
  <c r="AH201" i="20"/>
  <c r="AH202" i="20"/>
  <c r="AH203" i="20"/>
  <c r="AH204" i="20"/>
  <c r="AH205" i="20"/>
  <c r="AH206" i="20"/>
  <c r="AH207" i="20"/>
  <c r="AH208" i="20"/>
  <c r="AH209" i="20"/>
  <c r="AH210" i="20"/>
  <c r="AH211" i="20"/>
  <c r="AH222" i="20"/>
  <c r="AH223" i="20"/>
  <c r="AH224" i="20"/>
  <c r="AH225" i="20"/>
  <c r="AH226" i="20"/>
  <c r="AH227" i="20"/>
  <c r="AH228" i="20"/>
  <c r="AH229" i="20"/>
  <c r="AH230" i="20"/>
  <c r="AH231" i="20"/>
  <c r="AH232" i="20"/>
  <c r="AH233" i="20"/>
  <c r="AH234" i="20"/>
  <c r="AH235" i="20"/>
  <c r="AH236" i="20"/>
  <c r="AH237" i="20"/>
  <c r="AH238" i="20"/>
  <c r="AH239" i="20"/>
  <c r="AH240" i="20"/>
  <c r="AH241" i="20"/>
  <c r="AH242" i="20"/>
  <c r="AH243" i="20"/>
  <c r="AH244" i="20"/>
  <c r="AH245" i="20"/>
  <c r="AH246" i="20"/>
  <c r="AH247" i="20"/>
  <c r="AH248" i="20"/>
  <c r="AH249" i="20"/>
  <c r="AH250" i="20"/>
  <c r="AH251" i="20"/>
  <c r="AH252" i="20"/>
  <c r="AH253" i="20"/>
  <c r="AH254" i="20"/>
  <c r="AH255" i="20"/>
  <c r="AH256" i="20"/>
  <c r="AH257" i="20"/>
  <c r="AH258" i="20"/>
  <c r="AH259" i="20"/>
  <c r="AH260" i="20"/>
  <c r="AH261" i="20"/>
  <c r="AH262" i="20"/>
  <c r="AH263" i="20"/>
  <c r="AH264" i="20"/>
  <c r="AH265" i="20"/>
  <c r="AH266" i="20"/>
  <c r="AH267" i="20"/>
  <c r="AH268" i="20"/>
  <c r="AH269" i="20"/>
  <c r="AH270" i="20"/>
  <c r="AH271" i="20"/>
  <c r="AH272" i="20"/>
  <c r="AH273" i="20"/>
  <c r="AH274" i="20"/>
  <c r="AH275" i="20"/>
  <c r="AH276" i="20"/>
  <c r="AH277" i="20"/>
  <c r="AH278" i="20"/>
  <c r="AH279" i="20"/>
  <c r="AH280" i="20"/>
  <c r="AH281" i="20"/>
  <c r="AH282" i="20"/>
  <c r="AH283" i="20"/>
  <c r="AH284" i="20"/>
  <c r="AH285" i="20"/>
  <c r="AH286" i="20"/>
  <c r="AH287" i="20"/>
  <c r="AH288" i="20"/>
  <c r="AH289" i="20"/>
  <c r="AH290" i="20"/>
  <c r="AH291" i="20"/>
  <c r="AH292" i="20"/>
  <c r="AH293" i="20"/>
  <c r="AH294" i="20"/>
  <c r="AH295" i="20"/>
  <c r="AH296" i="20"/>
  <c r="AH297" i="20"/>
  <c r="AH298" i="20"/>
  <c r="AH299" i="20"/>
  <c r="AH300" i="20"/>
  <c r="AH301" i="20"/>
  <c r="AH302" i="20"/>
  <c r="AH303" i="20"/>
  <c r="AH304" i="20"/>
  <c r="AH305" i="20"/>
  <c r="AH306" i="20"/>
  <c r="AH307" i="20"/>
  <c r="AH308" i="20"/>
  <c r="AH309" i="20"/>
  <c r="AH310" i="20"/>
  <c r="AH311" i="20"/>
  <c r="AH312" i="20"/>
  <c r="AH313" i="20"/>
  <c r="AH315" i="20"/>
  <c r="AH316" i="20"/>
  <c r="AH317" i="20"/>
  <c r="AH318" i="20"/>
  <c r="AH319" i="20"/>
  <c r="AH320" i="20"/>
  <c r="AH321" i="20"/>
  <c r="AH322" i="20"/>
  <c r="AH323" i="20"/>
  <c r="AH324" i="20"/>
  <c r="AH325" i="20"/>
  <c r="AH326" i="20"/>
  <c r="AH327" i="20"/>
  <c r="AH328" i="20"/>
  <c r="AH329" i="20"/>
  <c r="AH330" i="20"/>
  <c r="AH331" i="20"/>
  <c r="AH332" i="20"/>
  <c r="AH333" i="20"/>
  <c r="AH334" i="20"/>
  <c r="AH335" i="20"/>
  <c r="AH336" i="20"/>
  <c r="AH337" i="20"/>
  <c r="AH338" i="20"/>
  <c r="AH339" i="20"/>
  <c r="AH340" i="20"/>
  <c r="AH341" i="20"/>
  <c r="AH342" i="20"/>
  <c r="AH343" i="20"/>
  <c r="AH344" i="20"/>
  <c r="AH345" i="20"/>
  <c r="AH346" i="20"/>
  <c r="AH347" i="20"/>
  <c r="AH348" i="20"/>
  <c r="AH349" i="20"/>
  <c r="AH350" i="20"/>
  <c r="AH351" i="20"/>
  <c r="AH352" i="20"/>
  <c r="AH353" i="20"/>
  <c r="AH354" i="20"/>
  <c r="AH355" i="20"/>
  <c r="AH356" i="20"/>
  <c r="AH357" i="20"/>
  <c r="AH358" i="20"/>
  <c r="AH359" i="20"/>
  <c r="AH360" i="20"/>
  <c r="AH361" i="20"/>
  <c r="AH362" i="20"/>
  <c r="AH363" i="20"/>
  <c r="AH364" i="20"/>
  <c r="AH365" i="20"/>
  <c r="AH366" i="20"/>
  <c r="AH367" i="20"/>
  <c r="AH368" i="20"/>
  <c r="AH369" i="20"/>
  <c r="AH370" i="20"/>
  <c r="AH371" i="20"/>
  <c r="AH372" i="20"/>
  <c r="AH373" i="20"/>
  <c r="AH374" i="20"/>
  <c r="AH375" i="20"/>
  <c r="AH376" i="20"/>
  <c r="AH377" i="20"/>
  <c r="AH378" i="20"/>
  <c r="AH379" i="20"/>
  <c r="AH380" i="20"/>
  <c r="AH381" i="20"/>
  <c r="AH382" i="20"/>
  <c r="AH383" i="20"/>
  <c r="AH384" i="20"/>
  <c r="AH385" i="20"/>
  <c r="AH386" i="20"/>
  <c r="AH387" i="20"/>
  <c r="AH388" i="20"/>
  <c r="AH389" i="20"/>
  <c r="AH390" i="20"/>
  <c r="AH391" i="20"/>
  <c r="AH392" i="20"/>
  <c r="AH393" i="20"/>
  <c r="AH394" i="20"/>
  <c r="AH395" i="20"/>
  <c r="AH396" i="20"/>
  <c r="AH397" i="20"/>
  <c r="AH398" i="20"/>
  <c r="AH399" i="20"/>
  <c r="AH400" i="20"/>
  <c r="AH401" i="20"/>
  <c r="AH402" i="20"/>
  <c r="AH403" i="20"/>
  <c r="AH404" i="20"/>
  <c r="AH405" i="20"/>
  <c r="AH406" i="20"/>
  <c r="AH407" i="20"/>
  <c r="AH408" i="20"/>
  <c r="AH409" i="20"/>
  <c r="AH410" i="20"/>
  <c r="AH411" i="20"/>
  <c r="AH412" i="20"/>
  <c r="AH413" i="20"/>
  <c r="AH415" i="20"/>
  <c r="AH416" i="20"/>
  <c r="AH417" i="20"/>
  <c r="AH418" i="20"/>
  <c r="AH419" i="20"/>
  <c r="AH420" i="20"/>
  <c r="AH421" i="20"/>
  <c r="AH422" i="20"/>
  <c r="AH423" i="20"/>
  <c r="AH424" i="20"/>
  <c r="AH425" i="20"/>
  <c r="AH426" i="20"/>
  <c r="AH427" i="20"/>
  <c r="AH428" i="20"/>
  <c r="AH429" i="20"/>
  <c r="AH430" i="20"/>
  <c r="AH431" i="20"/>
  <c r="AH432" i="20"/>
  <c r="AH433" i="20"/>
  <c r="AH434" i="20"/>
  <c r="AH435" i="20"/>
  <c r="AH436" i="20"/>
  <c r="AH437" i="20"/>
  <c r="AH438" i="20"/>
  <c r="AH439" i="20"/>
  <c r="AH440" i="20"/>
  <c r="AH441" i="20"/>
  <c r="AH442" i="20"/>
  <c r="AH443" i="20"/>
  <c r="AH444" i="20"/>
  <c r="AH445" i="20"/>
  <c r="AH446" i="20"/>
  <c r="AH447" i="20"/>
  <c r="AH448" i="20"/>
  <c r="AH449" i="20"/>
  <c r="AH450" i="20"/>
  <c r="AH451" i="20"/>
  <c r="AH452" i="20"/>
  <c r="AH453" i="20"/>
  <c r="AH454" i="20"/>
  <c r="AH455" i="20"/>
  <c r="AH456" i="20"/>
  <c r="AH457" i="20"/>
  <c r="AH458" i="20"/>
  <c r="AH459" i="20"/>
  <c r="AH460" i="20"/>
  <c r="AH461" i="20"/>
  <c r="AH462" i="20"/>
  <c r="AH463" i="20"/>
  <c r="AH464" i="20"/>
  <c r="AH465" i="20"/>
  <c r="AH466" i="20"/>
  <c r="AH467" i="20"/>
  <c r="AH468" i="20"/>
  <c r="AH469" i="20"/>
  <c r="AH470" i="20"/>
  <c r="AH471" i="20"/>
  <c r="AH472" i="20"/>
  <c r="AH473" i="20"/>
  <c r="AH474" i="20"/>
  <c r="AH475" i="20"/>
  <c r="AH476" i="20"/>
  <c r="AH477" i="20"/>
  <c r="AH478" i="20"/>
  <c r="AH479" i="20"/>
  <c r="AH480" i="20"/>
  <c r="AH481" i="20"/>
  <c r="AH482" i="20"/>
  <c r="AH483" i="20"/>
  <c r="AH484" i="20"/>
  <c r="AH485" i="20"/>
  <c r="AH486" i="20"/>
  <c r="AH487" i="20"/>
  <c r="AH488" i="20"/>
  <c r="AH489" i="20"/>
  <c r="AH490" i="20"/>
  <c r="AH491" i="20"/>
  <c r="AH492" i="20"/>
  <c r="AH493" i="20"/>
  <c r="AH494" i="20"/>
  <c r="AH495" i="20"/>
  <c r="AH496" i="20"/>
  <c r="AV4" i="20"/>
  <c r="AV5" i="20"/>
  <c r="AV6" i="20"/>
  <c r="AV7" i="20"/>
  <c r="AV10" i="20"/>
  <c r="AV11" i="20"/>
  <c r="AV12" i="20"/>
  <c r="AV13" i="20"/>
  <c r="AV16" i="20"/>
  <c r="AV17" i="20"/>
  <c r="AV18" i="20"/>
  <c r="AV19" i="20"/>
  <c r="AV20" i="20"/>
  <c r="AV22" i="20"/>
  <c r="AV23" i="20"/>
  <c r="AV24" i="20"/>
  <c r="AV25" i="20"/>
  <c r="AV26" i="20"/>
  <c r="AV27" i="20"/>
  <c r="AV28" i="20"/>
  <c r="AV29" i="20"/>
  <c r="AV30" i="20"/>
  <c r="AV31" i="20"/>
  <c r="AV32" i="20"/>
  <c r="AV33" i="20"/>
  <c r="AV34" i="20"/>
  <c r="AV35" i="20"/>
  <c r="AV36" i="20"/>
  <c r="AV37" i="20"/>
  <c r="AV38" i="20"/>
  <c r="AV39" i="20"/>
  <c r="AV40" i="20"/>
  <c r="AV41" i="20"/>
  <c r="AV42" i="20"/>
  <c r="AV43" i="20"/>
  <c r="AV44" i="20"/>
  <c r="AV45" i="20"/>
  <c r="AV46" i="20"/>
  <c r="AV47" i="20"/>
  <c r="AV48" i="20"/>
  <c r="AV49" i="20"/>
  <c r="AV50" i="20"/>
  <c r="AV51" i="20"/>
  <c r="AV52" i="20"/>
  <c r="AV53" i="20"/>
  <c r="AV54" i="20"/>
  <c r="AV55" i="20"/>
  <c r="AV56" i="20"/>
  <c r="AV57" i="20"/>
  <c r="AV58" i="20"/>
  <c r="AV59" i="20"/>
  <c r="AV60" i="20"/>
  <c r="AV61" i="20"/>
  <c r="AV62" i="20"/>
  <c r="AV63" i="20"/>
  <c r="AV64" i="20"/>
  <c r="AV65" i="20"/>
  <c r="AV66" i="20"/>
  <c r="AV67" i="20"/>
  <c r="AV68" i="20"/>
  <c r="AV69" i="20"/>
  <c r="AV70" i="20"/>
  <c r="AV71" i="20"/>
  <c r="AV72" i="20"/>
  <c r="AV73" i="20"/>
  <c r="AV74" i="20"/>
  <c r="AV75" i="20"/>
  <c r="AV76" i="20"/>
  <c r="AV77" i="20"/>
  <c r="AV78" i="20"/>
  <c r="AV79" i="20"/>
  <c r="AV80" i="20"/>
  <c r="AV81" i="20"/>
  <c r="AV82" i="20"/>
  <c r="AV83" i="20"/>
  <c r="AV84" i="20"/>
  <c r="AV85" i="20"/>
  <c r="AV86" i="20"/>
  <c r="AV87" i="20"/>
  <c r="AV88" i="20"/>
  <c r="AV89" i="20"/>
  <c r="AV90" i="20"/>
  <c r="AV91" i="20"/>
  <c r="AV92" i="20"/>
  <c r="AV93" i="20"/>
  <c r="AV94" i="20"/>
  <c r="AV95" i="20"/>
  <c r="AV96" i="20"/>
  <c r="AV97" i="20"/>
  <c r="AV98" i="20"/>
  <c r="AV99" i="20"/>
  <c r="AV100" i="20"/>
  <c r="AV101" i="20"/>
  <c r="AV102" i="20"/>
  <c r="AV103" i="20"/>
  <c r="AV104" i="20"/>
  <c r="AV105" i="20"/>
  <c r="AV106" i="20"/>
  <c r="AV107" i="20"/>
  <c r="AV108" i="20"/>
  <c r="AV109" i="20"/>
  <c r="AV110" i="20"/>
  <c r="AV111" i="20"/>
  <c r="AV112" i="20"/>
  <c r="AV113" i="20"/>
  <c r="AV115" i="20"/>
  <c r="AV116" i="20"/>
  <c r="AV117" i="20"/>
  <c r="AV118" i="20"/>
  <c r="AV119" i="20"/>
  <c r="AV120" i="20"/>
  <c r="AV121" i="20"/>
  <c r="AV122" i="20"/>
  <c r="AV123" i="20"/>
  <c r="AV124" i="20"/>
  <c r="AV125" i="20"/>
  <c r="AV126" i="20"/>
  <c r="AV127" i="20"/>
  <c r="AV128" i="20"/>
  <c r="AV129" i="20"/>
  <c r="AV130" i="20"/>
  <c r="AV131" i="20"/>
  <c r="AV132" i="20"/>
  <c r="AV133" i="20"/>
  <c r="AV134" i="20"/>
  <c r="AV135" i="20"/>
  <c r="AV136" i="20"/>
  <c r="AV137" i="20"/>
  <c r="AV138" i="20"/>
  <c r="AV139" i="20"/>
  <c r="AV140" i="20"/>
  <c r="AV141" i="20"/>
  <c r="AV142" i="20"/>
  <c r="AV143" i="20"/>
  <c r="AV144" i="20"/>
  <c r="AV145" i="20"/>
  <c r="AV146" i="20"/>
  <c r="AV147" i="20"/>
  <c r="AV148" i="20"/>
  <c r="AV149" i="20"/>
  <c r="AV150" i="20"/>
  <c r="AV151" i="20"/>
  <c r="AV152" i="20"/>
  <c r="AV153" i="20"/>
  <c r="AV154" i="20"/>
  <c r="AV155" i="20"/>
  <c r="AV156" i="20"/>
  <c r="AV157" i="20"/>
  <c r="AV158" i="20"/>
  <c r="AV159" i="20"/>
  <c r="AV160" i="20"/>
  <c r="AV161" i="20"/>
  <c r="AV162" i="20"/>
  <c r="AV163" i="20"/>
  <c r="AV164" i="20"/>
  <c r="AV165" i="20"/>
  <c r="AV166" i="20"/>
  <c r="AV167" i="20"/>
  <c r="AV168" i="20"/>
  <c r="AV169" i="20"/>
  <c r="AV170" i="20"/>
  <c r="AV171" i="20"/>
  <c r="AV172" i="20"/>
  <c r="AV173" i="20"/>
  <c r="AV174" i="20"/>
  <c r="AV175" i="20"/>
  <c r="AV176" i="20"/>
  <c r="AV177" i="20"/>
  <c r="AV178" i="20"/>
  <c r="AV179" i="20"/>
  <c r="AV180" i="20"/>
  <c r="AV181" i="20"/>
  <c r="AV182" i="20"/>
  <c r="AV183" i="20"/>
  <c r="AV184" i="20"/>
  <c r="AV185" i="20"/>
  <c r="AV186" i="20"/>
  <c r="AV187" i="20"/>
  <c r="AV188" i="20"/>
  <c r="AV189" i="20"/>
  <c r="AV190" i="20"/>
  <c r="AV191" i="20"/>
  <c r="AV192" i="20"/>
  <c r="AV193" i="20"/>
  <c r="AV194" i="20"/>
  <c r="AV195" i="20"/>
  <c r="AV196" i="20"/>
  <c r="AV197" i="20"/>
  <c r="AV198" i="20"/>
  <c r="AV199" i="20"/>
  <c r="AV200" i="20"/>
  <c r="AV201" i="20"/>
  <c r="AV202" i="20"/>
  <c r="AV203" i="20"/>
  <c r="AV204" i="20"/>
  <c r="AV205" i="20"/>
  <c r="AV206" i="20"/>
  <c r="AV207" i="20"/>
  <c r="AV208" i="20"/>
  <c r="AV209" i="20"/>
  <c r="AV210" i="20"/>
  <c r="AV211" i="20"/>
  <c r="AV222" i="20"/>
  <c r="AV223" i="20"/>
  <c r="AV224" i="20"/>
  <c r="AV225" i="20"/>
  <c r="AV226" i="20"/>
  <c r="AV227" i="20"/>
  <c r="AV228" i="20"/>
  <c r="AV229" i="20"/>
  <c r="AV230" i="20"/>
  <c r="AV231" i="20"/>
  <c r="AV232" i="20"/>
  <c r="AV233" i="20"/>
  <c r="AV234" i="20"/>
  <c r="AV235" i="20"/>
  <c r="AV236" i="20"/>
  <c r="AV237" i="20"/>
  <c r="AV238" i="20"/>
  <c r="AV239" i="20"/>
  <c r="AV240" i="20"/>
  <c r="AV241" i="20"/>
  <c r="AV242" i="20"/>
  <c r="AV243" i="20"/>
  <c r="AV244" i="20"/>
  <c r="AV245" i="20"/>
  <c r="AV246" i="20"/>
  <c r="AV247" i="20"/>
  <c r="AV248" i="20"/>
  <c r="AV249" i="20"/>
  <c r="AV250" i="20"/>
  <c r="AV251" i="20"/>
  <c r="AV252" i="20"/>
  <c r="AV253" i="20"/>
  <c r="AV254" i="20"/>
  <c r="AV255" i="20"/>
  <c r="AV256" i="20"/>
  <c r="AV257" i="20"/>
  <c r="AV258" i="20"/>
  <c r="AV259" i="20"/>
  <c r="AV260" i="20"/>
  <c r="AV261" i="20"/>
  <c r="AV262" i="20"/>
  <c r="AV263" i="20"/>
  <c r="AV264" i="20"/>
  <c r="AV265" i="20"/>
  <c r="AV266" i="20"/>
  <c r="AV267" i="20"/>
  <c r="AV268" i="20"/>
  <c r="AV269" i="20"/>
  <c r="AV270" i="20"/>
  <c r="AV271" i="20"/>
  <c r="AV272" i="20"/>
  <c r="AV273" i="20"/>
  <c r="AV274" i="20"/>
  <c r="AV275" i="20"/>
  <c r="AV276" i="20"/>
  <c r="AV277" i="20"/>
  <c r="AV278" i="20"/>
  <c r="AV279" i="20"/>
  <c r="AV280" i="20"/>
  <c r="AV281" i="20"/>
  <c r="AV282" i="20"/>
  <c r="AV283" i="20"/>
  <c r="AV284" i="20"/>
  <c r="AV285" i="20"/>
  <c r="AV286" i="20"/>
  <c r="AV287" i="20"/>
  <c r="AV288" i="20"/>
  <c r="AV289" i="20"/>
  <c r="AV290" i="20"/>
  <c r="AV291" i="20"/>
  <c r="AV292" i="20"/>
  <c r="AV293" i="20"/>
  <c r="AV294" i="20"/>
  <c r="AV295" i="20"/>
  <c r="AV296" i="20"/>
  <c r="AV297" i="20"/>
  <c r="AV298" i="20"/>
  <c r="AV299" i="20"/>
  <c r="AV300" i="20"/>
  <c r="AV301" i="20"/>
  <c r="AV302" i="20"/>
  <c r="AV303" i="20"/>
  <c r="AV304" i="20"/>
  <c r="AV305" i="20"/>
  <c r="AV306" i="20"/>
  <c r="AV307" i="20"/>
  <c r="AV308" i="20"/>
  <c r="AV309" i="20"/>
  <c r="AV310" i="20"/>
  <c r="AV311" i="20"/>
  <c r="AV312" i="20"/>
  <c r="AV313" i="20"/>
  <c r="AV315" i="20"/>
  <c r="AV316" i="20"/>
  <c r="AV317" i="20"/>
  <c r="AV318" i="20"/>
  <c r="AV319" i="20"/>
  <c r="AV320" i="20"/>
  <c r="AV321" i="20"/>
  <c r="AV322" i="20"/>
  <c r="AV323" i="20"/>
  <c r="AV324" i="20"/>
  <c r="AV325" i="20"/>
  <c r="AV326" i="20"/>
  <c r="AV327" i="20"/>
  <c r="AV328" i="20"/>
  <c r="AV329" i="20"/>
  <c r="AV330" i="20"/>
  <c r="AV331" i="20"/>
  <c r="AV332" i="20"/>
  <c r="AV333" i="20"/>
  <c r="AV334" i="20"/>
  <c r="AV335" i="20"/>
  <c r="AV336" i="20"/>
  <c r="AV337" i="20"/>
  <c r="AV338" i="20"/>
  <c r="AV339" i="20"/>
  <c r="AV340" i="20"/>
  <c r="AV341" i="20"/>
  <c r="AV342" i="20"/>
  <c r="AV343" i="20"/>
  <c r="AV344" i="20"/>
  <c r="AV345" i="20"/>
  <c r="AV346" i="20"/>
  <c r="AV347" i="20"/>
  <c r="AV348" i="20"/>
  <c r="AV349" i="20"/>
  <c r="AV350" i="20"/>
  <c r="AV351" i="20"/>
  <c r="AV352" i="20"/>
  <c r="AV353" i="20"/>
  <c r="AV354" i="20"/>
  <c r="AV355" i="20"/>
  <c r="AV356" i="20"/>
  <c r="AV357" i="20"/>
  <c r="AV358" i="20"/>
  <c r="AV359" i="20"/>
  <c r="AV360" i="20"/>
  <c r="AV361" i="20"/>
  <c r="AV362" i="20"/>
  <c r="AV363" i="20"/>
  <c r="AV364" i="20"/>
  <c r="AV365" i="20"/>
  <c r="AV366" i="20"/>
  <c r="AV367" i="20"/>
  <c r="AV368" i="20"/>
  <c r="AV369" i="20"/>
  <c r="AV370" i="20"/>
  <c r="AV371" i="20"/>
  <c r="AV372" i="20"/>
  <c r="AV373" i="20"/>
  <c r="AV374" i="20"/>
  <c r="AV375" i="20"/>
  <c r="AV376" i="20"/>
  <c r="AV377" i="20"/>
  <c r="AV378" i="20"/>
  <c r="AV379" i="20"/>
  <c r="AV380" i="20"/>
  <c r="AV381" i="20"/>
  <c r="AV382" i="20"/>
  <c r="AV383" i="20"/>
  <c r="AV384" i="20"/>
  <c r="AV385" i="20"/>
  <c r="AV386" i="20"/>
  <c r="AV387" i="20"/>
  <c r="AV388" i="20"/>
  <c r="AV389" i="20"/>
  <c r="AV390" i="20"/>
  <c r="AV391" i="20"/>
  <c r="AV392" i="20"/>
  <c r="AV393" i="20"/>
  <c r="AV394" i="20"/>
  <c r="AV395" i="20"/>
  <c r="AV396" i="20"/>
  <c r="AV397" i="20"/>
  <c r="AV398" i="20"/>
  <c r="AV399" i="20"/>
  <c r="AV400" i="20"/>
  <c r="AV401" i="20"/>
  <c r="AV402" i="20"/>
  <c r="AV403" i="20"/>
  <c r="AV404" i="20"/>
  <c r="AV405" i="20"/>
  <c r="AV406" i="20"/>
  <c r="AV407" i="20"/>
  <c r="AV408" i="20"/>
  <c r="AV409" i="20"/>
  <c r="AV410" i="20"/>
  <c r="AV411" i="20"/>
  <c r="AV412" i="20"/>
  <c r="AV413" i="20"/>
  <c r="AV415" i="20"/>
  <c r="AV416" i="20"/>
  <c r="AV417" i="20"/>
  <c r="AV418" i="20"/>
  <c r="AV419" i="20"/>
  <c r="AV420" i="20"/>
  <c r="AV421" i="20"/>
  <c r="AV422" i="20"/>
  <c r="AV423" i="20"/>
  <c r="AV424" i="20"/>
  <c r="AV425" i="20"/>
  <c r="AV426" i="20"/>
  <c r="AV427" i="20"/>
  <c r="AV428" i="20"/>
  <c r="AV429" i="20"/>
  <c r="AV430" i="20"/>
  <c r="AV431" i="20"/>
  <c r="AV432" i="20"/>
  <c r="AV433" i="20"/>
  <c r="AV434" i="20"/>
  <c r="AV435" i="20"/>
  <c r="AV436" i="20"/>
  <c r="AV437" i="20"/>
  <c r="AV438" i="20"/>
  <c r="AV439" i="20"/>
  <c r="AV440" i="20"/>
  <c r="AV441" i="20"/>
  <c r="AV442" i="20"/>
  <c r="AV443" i="20"/>
  <c r="AV444" i="20"/>
  <c r="AV445" i="20"/>
  <c r="AV446" i="20"/>
  <c r="AV447" i="20"/>
  <c r="AV448" i="20"/>
  <c r="AV449" i="20"/>
  <c r="AV450" i="20"/>
  <c r="AV451" i="20"/>
  <c r="AV452" i="20"/>
  <c r="AV453" i="20"/>
  <c r="AV454" i="20"/>
  <c r="AV455" i="20"/>
  <c r="AV456" i="20"/>
  <c r="AV457" i="20"/>
  <c r="AV458" i="20"/>
  <c r="AV459" i="20"/>
  <c r="AV460" i="20"/>
  <c r="AV461" i="20"/>
  <c r="AV462" i="20"/>
  <c r="AV463" i="20"/>
  <c r="AV464" i="20"/>
  <c r="AV465" i="20"/>
  <c r="AV466" i="20"/>
  <c r="AV467" i="20"/>
  <c r="AV468" i="20"/>
  <c r="AV469" i="20"/>
  <c r="AV470" i="20"/>
  <c r="AV471" i="20"/>
  <c r="AV472" i="20"/>
  <c r="AV473" i="20"/>
  <c r="AV474" i="20"/>
  <c r="AV475" i="20"/>
  <c r="AV476" i="20"/>
  <c r="AV477" i="20"/>
  <c r="AV478" i="20"/>
  <c r="AV479" i="20"/>
  <c r="AV480" i="20"/>
  <c r="AV481" i="20"/>
  <c r="AV482" i="20"/>
  <c r="AV483" i="20"/>
  <c r="AV484" i="20"/>
  <c r="AV485" i="20"/>
  <c r="AV486" i="20"/>
  <c r="AV487" i="20"/>
  <c r="AV488" i="20"/>
  <c r="AV489" i="20"/>
  <c r="AV490" i="20"/>
  <c r="AV491" i="20"/>
  <c r="AV492" i="20"/>
  <c r="AV493" i="20"/>
  <c r="AV494" i="20"/>
  <c r="AV495" i="20"/>
  <c r="AV496" i="20"/>
  <c r="AV3" i="20"/>
  <c r="T4" i="20" a="1"/>
  <c r="T4" i="20" s="1"/>
  <c r="R4" i="20"/>
  <c r="V4" i="20"/>
  <c r="Z4" i="20"/>
  <c r="AA4" i="20"/>
  <c r="AB4" i="20"/>
  <c r="AC4" i="20"/>
  <c r="T5" i="20" a="1"/>
  <c r="T5" i="20" s="1"/>
  <c r="R5" i="20"/>
  <c r="V5" i="20"/>
  <c r="Z5" i="20"/>
  <c r="AA5" i="20"/>
  <c r="AB5" i="20"/>
  <c r="AC5" i="20"/>
  <c r="AE6" i="20"/>
  <c r="T6" i="20" a="1"/>
  <c r="T6" i="20" s="1"/>
  <c r="R6" i="20"/>
  <c r="V6" i="20"/>
  <c r="Z6" i="20"/>
  <c r="AA6" i="20"/>
  <c r="AB6" i="20"/>
  <c r="AC6" i="20"/>
  <c r="T7" i="20" a="1"/>
  <c r="T7" i="20" s="1"/>
  <c r="R7" i="20"/>
  <c r="V7" i="20"/>
  <c r="Z7" i="20"/>
  <c r="AA7" i="20"/>
  <c r="AB7" i="20"/>
  <c r="AC7" i="20"/>
  <c r="T10" i="20" a="1"/>
  <c r="T10" i="20" s="1"/>
  <c r="R10" i="20"/>
  <c r="V10" i="20"/>
  <c r="Z10" i="20"/>
  <c r="AA10" i="20"/>
  <c r="AB10" i="20"/>
  <c r="AC10" i="20"/>
  <c r="AD11" i="20"/>
  <c r="T11" i="20" a="1"/>
  <c r="T11" i="20" s="1"/>
  <c r="R11" i="20"/>
  <c r="V11" i="20"/>
  <c r="Z11" i="20"/>
  <c r="AA11" i="20"/>
  <c r="AB11" i="20"/>
  <c r="AC11" i="20"/>
  <c r="AE12" i="20"/>
  <c r="T12" i="20" a="1"/>
  <c r="T12" i="20" s="1"/>
  <c r="R12" i="20"/>
  <c r="S12" i="20" a="1"/>
  <c r="S12" i="20" s="1"/>
  <c r="V12" i="20"/>
  <c r="Z12" i="20"/>
  <c r="AA12" i="20"/>
  <c r="AB12" i="20"/>
  <c r="AC12" i="20"/>
  <c r="AD12" i="20"/>
  <c r="T13" i="20" a="1"/>
  <c r="T13" i="20" s="1"/>
  <c r="R13" i="20"/>
  <c r="S13" i="20" a="1"/>
  <c r="S13" i="20" s="1"/>
  <c r="V13" i="20"/>
  <c r="Z13" i="20"/>
  <c r="AA13" i="20"/>
  <c r="AB13" i="20"/>
  <c r="AC13" i="20"/>
  <c r="V14" i="20"/>
  <c r="AD16" i="20"/>
  <c r="T16" i="20" a="1"/>
  <c r="T16" i="20" s="1"/>
  <c r="R16" i="20"/>
  <c r="S16" i="20" a="1"/>
  <c r="S16" i="20" s="1"/>
  <c r="V16" i="20"/>
  <c r="Z16" i="20"/>
  <c r="AA16" i="20"/>
  <c r="AB16" i="20"/>
  <c r="AC16" i="20"/>
  <c r="AE17" i="20"/>
  <c r="AD17" i="20"/>
  <c r="T17" i="20" a="1"/>
  <c r="T17" i="20" s="1"/>
  <c r="R17" i="20"/>
  <c r="S17" i="20" a="1"/>
  <c r="S17" i="20" s="1"/>
  <c r="V17" i="20"/>
  <c r="Z17" i="20"/>
  <c r="AA17" i="20"/>
  <c r="AB17" i="20"/>
  <c r="AC17" i="20"/>
  <c r="AD18" i="20"/>
  <c r="T18" i="20" a="1"/>
  <c r="T18" i="20" s="1"/>
  <c r="R18" i="20"/>
  <c r="S18" i="20" a="1"/>
  <c r="S18" i="20" s="1"/>
  <c r="V18" i="20"/>
  <c r="Z18" i="20"/>
  <c r="AA18" i="20"/>
  <c r="AB18" i="20"/>
  <c r="AC18" i="20"/>
  <c r="T19" i="20" a="1"/>
  <c r="T19" i="20" s="1"/>
  <c r="R19" i="20"/>
  <c r="S19" i="20" a="1"/>
  <c r="S19" i="20" s="1"/>
  <c r="V19" i="20"/>
  <c r="Z19" i="20"/>
  <c r="AA19" i="20"/>
  <c r="AB19" i="20"/>
  <c r="AC19" i="20"/>
  <c r="AE20" i="20"/>
  <c r="T20" i="20" a="1"/>
  <c r="T20" i="20" s="1"/>
  <c r="R20" i="20"/>
  <c r="S20" i="20" a="1"/>
  <c r="S20" i="20" s="1"/>
  <c r="V20" i="20"/>
  <c r="Z20" i="20"/>
  <c r="AA20" i="20"/>
  <c r="AB20" i="20"/>
  <c r="AC20" i="20"/>
  <c r="AD20" i="20"/>
  <c r="AD22" i="20"/>
  <c r="T22" i="20" a="1"/>
  <c r="T22" i="20" s="1"/>
  <c r="R22" i="20"/>
  <c r="V22" i="20"/>
  <c r="Z22" i="20"/>
  <c r="AA22" i="20"/>
  <c r="AB22" i="20"/>
  <c r="AC22" i="20"/>
  <c r="AE22" i="20"/>
  <c r="AD23" i="20"/>
  <c r="T23" i="20" a="1"/>
  <c r="T23" i="20" s="1"/>
  <c r="R23" i="20"/>
  <c r="V23" i="20"/>
  <c r="Z23" i="20"/>
  <c r="AA23" i="20"/>
  <c r="AB23" i="20"/>
  <c r="AC23" i="20"/>
  <c r="AE24" i="20"/>
  <c r="AD24" i="20"/>
  <c r="T24" i="20" a="1"/>
  <c r="T24" i="20" s="1"/>
  <c r="R24" i="20"/>
  <c r="V24" i="20"/>
  <c r="Z24" i="20"/>
  <c r="AA24" i="20"/>
  <c r="AB24" i="20"/>
  <c r="AC24" i="20"/>
  <c r="AE25" i="20"/>
  <c r="T25" i="20" a="1"/>
  <c r="T25" i="20" s="1"/>
  <c r="R25" i="20"/>
  <c r="S25" i="20" a="1"/>
  <c r="S25" i="20" s="1"/>
  <c r="V25" i="20"/>
  <c r="Z25" i="20"/>
  <c r="AA25" i="20"/>
  <c r="AB25" i="20"/>
  <c r="AC25" i="20"/>
  <c r="AE26" i="20"/>
  <c r="AD26" i="20"/>
  <c r="T26" i="20" a="1"/>
  <c r="T26" i="20" s="1"/>
  <c r="R26" i="20"/>
  <c r="S26" i="20" a="1"/>
  <c r="S26" i="20" s="1"/>
  <c r="V26" i="20"/>
  <c r="Z26" i="20"/>
  <c r="AA26" i="20"/>
  <c r="AB26" i="20"/>
  <c r="AC26" i="20"/>
  <c r="AD27" i="20"/>
  <c r="T27" i="20" a="1"/>
  <c r="T27" i="20" s="1"/>
  <c r="R27" i="20"/>
  <c r="S27" i="20" a="1"/>
  <c r="S27" i="20" s="1"/>
  <c r="V27" i="20"/>
  <c r="Z27" i="20"/>
  <c r="AA27" i="20"/>
  <c r="AB27" i="20"/>
  <c r="AC27" i="20"/>
  <c r="AE27" i="20"/>
  <c r="T28" i="20" a="1"/>
  <c r="T28" i="20" s="1"/>
  <c r="R28" i="20"/>
  <c r="S28" i="20" a="1"/>
  <c r="S28" i="20" s="1"/>
  <c r="V28" i="20"/>
  <c r="Z28" i="20"/>
  <c r="AA28" i="20"/>
  <c r="AB28" i="20"/>
  <c r="AC28" i="20"/>
  <c r="AD28" i="20"/>
  <c r="AE28" i="20"/>
  <c r="T29" i="20" a="1"/>
  <c r="T29" i="20" s="1"/>
  <c r="R29" i="20"/>
  <c r="S29" i="20" a="1"/>
  <c r="S29" i="20" s="1"/>
  <c r="V29" i="20"/>
  <c r="Z29" i="20"/>
  <c r="AA29" i="20"/>
  <c r="AB29" i="20"/>
  <c r="AC29" i="20"/>
  <c r="AD29" i="20"/>
  <c r="AE29" i="20"/>
  <c r="T30" i="20" a="1"/>
  <c r="T30" i="20" s="1"/>
  <c r="R30" i="20"/>
  <c r="S30" i="20" a="1"/>
  <c r="S30" i="20" s="1"/>
  <c r="V30" i="20"/>
  <c r="Z30" i="20"/>
  <c r="AA30" i="20"/>
  <c r="AB30" i="20"/>
  <c r="AC30" i="20"/>
  <c r="AD30" i="20"/>
  <c r="AE30" i="20"/>
  <c r="T31" i="20" a="1"/>
  <c r="T31" i="20" s="1"/>
  <c r="R31" i="20"/>
  <c r="S31" i="20" a="1"/>
  <c r="S31" i="20" s="1"/>
  <c r="V31" i="20"/>
  <c r="Z31" i="20"/>
  <c r="AA31" i="20"/>
  <c r="AB31" i="20"/>
  <c r="AC31" i="20"/>
  <c r="AD31" i="20"/>
  <c r="AE31" i="20"/>
  <c r="T32" i="20" a="1"/>
  <c r="T32" i="20" s="1"/>
  <c r="R32" i="20"/>
  <c r="S32" i="20" a="1"/>
  <c r="S32" i="20" s="1"/>
  <c r="V32" i="20"/>
  <c r="Z32" i="20"/>
  <c r="AA32" i="20"/>
  <c r="AB32" i="20"/>
  <c r="AC32" i="20"/>
  <c r="AD32" i="20"/>
  <c r="AE32" i="20"/>
  <c r="T33" i="20" a="1"/>
  <c r="T33" i="20" s="1"/>
  <c r="R33" i="20"/>
  <c r="S33" i="20" a="1"/>
  <c r="S33" i="20" s="1"/>
  <c r="V33" i="20"/>
  <c r="Z33" i="20"/>
  <c r="AA33" i="20"/>
  <c r="AB33" i="20"/>
  <c r="AC33" i="20"/>
  <c r="AD33" i="20"/>
  <c r="AE33" i="20"/>
  <c r="AG34" i="20"/>
  <c r="T34" i="20" a="1"/>
  <c r="T34" i="20" s="1"/>
  <c r="R34" i="20"/>
  <c r="S34" i="20" a="1"/>
  <c r="S34" i="20" s="1"/>
  <c r="V34" i="20"/>
  <c r="Z34" i="20"/>
  <c r="AA34" i="20"/>
  <c r="AB34" i="20"/>
  <c r="AC34" i="20"/>
  <c r="AD34" i="20"/>
  <c r="AE34" i="20"/>
  <c r="AF34" i="20"/>
  <c r="AG35" i="20"/>
  <c r="T35" i="20" a="1"/>
  <c r="T35" i="20" s="1"/>
  <c r="R35" i="20"/>
  <c r="S35" i="20" a="1"/>
  <c r="S35" i="20" s="1"/>
  <c r="V35" i="20"/>
  <c r="Z35" i="20"/>
  <c r="AA35" i="20"/>
  <c r="AB35" i="20"/>
  <c r="AC35" i="20"/>
  <c r="AD35" i="20"/>
  <c r="AE35" i="20"/>
  <c r="AF35" i="20"/>
  <c r="AG36" i="20"/>
  <c r="T36" i="20" a="1"/>
  <c r="T36" i="20" s="1"/>
  <c r="R36" i="20"/>
  <c r="S36" i="20" a="1"/>
  <c r="S36" i="20" s="1"/>
  <c r="V36" i="20"/>
  <c r="Z36" i="20"/>
  <c r="AA36" i="20"/>
  <c r="AB36" i="20"/>
  <c r="AC36" i="20"/>
  <c r="AD36" i="20"/>
  <c r="AE36" i="20"/>
  <c r="AF36" i="20"/>
  <c r="T37" i="20" a="1"/>
  <c r="T37" i="20" s="1"/>
  <c r="R37" i="20"/>
  <c r="S37" i="20" a="1"/>
  <c r="S37" i="20" s="1"/>
  <c r="V37" i="20"/>
  <c r="Z37" i="20"/>
  <c r="AA37" i="20"/>
  <c r="AB37" i="20"/>
  <c r="AC37" i="20"/>
  <c r="AD37" i="20"/>
  <c r="AE37" i="20"/>
  <c r="AF37" i="20"/>
  <c r="AG37" i="20"/>
  <c r="T38" i="20" a="1"/>
  <c r="T38" i="20" s="1"/>
  <c r="R38" i="20"/>
  <c r="S38" i="20" a="1"/>
  <c r="S38" i="20" s="1"/>
  <c r="V38" i="20"/>
  <c r="Z38" i="20"/>
  <c r="AA38" i="20"/>
  <c r="AB38" i="20"/>
  <c r="AC38" i="20"/>
  <c r="AD38" i="20"/>
  <c r="AE38" i="20"/>
  <c r="AF38" i="20"/>
  <c r="AG38" i="20"/>
  <c r="T39" i="20" a="1"/>
  <c r="T39" i="20" s="1"/>
  <c r="R39" i="20"/>
  <c r="S39" i="20" a="1"/>
  <c r="S39" i="20" s="1"/>
  <c r="V39" i="20"/>
  <c r="Z39" i="20"/>
  <c r="AA39" i="20"/>
  <c r="AB39" i="20"/>
  <c r="AC39" i="20"/>
  <c r="AD39" i="20"/>
  <c r="AE39" i="20"/>
  <c r="AF39" i="20"/>
  <c r="AG39" i="20"/>
  <c r="T40" i="20" a="1"/>
  <c r="T40" i="20" s="1"/>
  <c r="R40" i="20"/>
  <c r="S40" i="20" a="1"/>
  <c r="S40" i="20" s="1"/>
  <c r="V40" i="20"/>
  <c r="Z40" i="20"/>
  <c r="AA40" i="20"/>
  <c r="AB40" i="20"/>
  <c r="AC40" i="20"/>
  <c r="AD40" i="20"/>
  <c r="AE40" i="20"/>
  <c r="AF40" i="20"/>
  <c r="AG40" i="20"/>
  <c r="T41" i="20" a="1"/>
  <c r="T41" i="20" s="1"/>
  <c r="R41" i="20"/>
  <c r="S41" i="20" a="1"/>
  <c r="S41" i="20" s="1"/>
  <c r="V41" i="20"/>
  <c r="Z41" i="20"/>
  <c r="AA41" i="20"/>
  <c r="AB41" i="20"/>
  <c r="AC41" i="20"/>
  <c r="AD41" i="20"/>
  <c r="AE41" i="20"/>
  <c r="AF41" i="20"/>
  <c r="AG41" i="20"/>
  <c r="T42" i="20" a="1"/>
  <c r="T42" i="20" s="1"/>
  <c r="R42" i="20"/>
  <c r="S42" i="20" a="1"/>
  <c r="S42" i="20" s="1"/>
  <c r="V42" i="20"/>
  <c r="Z42" i="20"/>
  <c r="AA42" i="20"/>
  <c r="AB42" i="20"/>
  <c r="AC42" i="20"/>
  <c r="AD42" i="20"/>
  <c r="AE42" i="20"/>
  <c r="AF42" i="20"/>
  <c r="AG42" i="20"/>
  <c r="T43" i="20" a="1"/>
  <c r="T43" i="20" s="1"/>
  <c r="R43" i="20"/>
  <c r="S43" i="20" a="1"/>
  <c r="S43" i="20" s="1"/>
  <c r="V43" i="20"/>
  <c r="Z43" i="20"/>
  <c r="AA43" i="20"/>
  <c r="AB43" i="20"/>
  <c r="AC43" i="20"/>
  <c r="AD43" i="20"/>
  <c r="AE43" i="20"/>
  <c r="AF43" i="20"/>
  <c r="AG43" i="20"/>
  <c r="T44" i="20" a="1"/>
  <c r="T44" i="20" s="1"/>
  <c r="R44" i="20"/>
  <c r="S44" i="20" a="1"/>
  <c r="S44" i="20" s="1"/>
  <c r="V44" i="20"/>
  <c r="Z44" i="20"/>
  <c r="AA44" i="20"/>
  <c r="AB44" i="20"/>
  <c r="AC44" i="20"/>
  <c r="AD44" i="20"/>
  <c r="AE44" i="20"/>
  <c r="AF44" i="20"/>
  <c r="AG44" i="20"/>
  <c r="T45" i="20" a="1"/>
  <c r="T45" i="20" s="1"/>
  <c r="R45" i="20"/>
  <c r="S45" i="20" a="1"/>
  <c r="S45" i="20" s="1"/>
  <c r="V45" i="20"/>
  <c r="Z45" i="20"/>
  <c r="AA45" i="20"/>
  <c r="AB45" i="20"/>
  <c r="AC45" i="20"/>
  <c r="AD45" i="20"/>
  <c r="AE45" i="20"/>
  <c r="AF45" i="20"/>
  <c r="AG45" i="20"/>
  <c r="T46" i="20" a="1"/>
  <c r="T46" i="20" s="1"/>
  <c r="R46" i="20"/>
  <c r="S46" i="20" a="1"/>
  <c r="S46" i="20" s="1"/>
  <c r="V46" i="20"/>
  <c r="Z46" i="20"/>
  <c r="AA46" i="20"/>
  <c r="AB46" i="20"/>
  <c r="AC46" i="20"/>
  <c r="AD46" i="20"/>
  <c r="AE46" i="20"/>
  <c r="AF46" i="20"/>
  <c r="AG46" i="20"/>
  <c r="T47" i="20" a="1"/>
  <c r="T47" i="20" s="1"/>
  <c r="R47" i="20"/>
  <c r="S47" i="20" a="1"/>
  <c r="S47" i="20" s="1"/>
  <c r="V47" i="20"/>
  <c r="Z47" i="20"/>
  <c r="AA47" i="20"/>
  <c r="AB47" i="20"/>
  <c r="AC47" i="20"/>
  <c r="AD47" i="20"/>
  <c r="AE47" i="20"/>
  <c r="AF47" i="20"/>
  <c r="AG47" i="20"/>
  <c r="T48" i="20" a="1"/>
  <c r="T48" i="20" s="1"/>
  <c r="R48" i="20"/>
  <c r="S48" i="20" a="1"/>
  <c r="S48" i="20" s="1"/>
  <c r="V48" i="20"/>
  <c r="Z48" i="20"/>
  <c r="AA48" i="20"/>
  <c r="AB48" i="20"/>
  <c r="AC48" i="20"/>
  <c r="AD48" i="20"/>
  <c r="AE48" i="20"/>
  <c r="AF48" i="20"/>
  <c r="AG48" i="20"/>
  <c r="T49" i="20" a="1"/>
  <c r="T49" i="20" s="1"/>
  <c r="R49" i="20"/>
  <c r="S49" i="20" a="1"/>
  <c r="S49" i="20" s="1"/>
  <c r="V49" i="20"/>
  <c r="Z49" i="20"/>
  <c r="AA49" i="20"/>
  <c r="AB49" i="20"/>
  <c r="AC49" i="20"/>
  <c r="AD49" i="20"/>
  <c r="AE49" i="20"/>
  <c r="AF49" i="20"/>
  <c r="AG49" i="20"/>
  <c r="T50" i="20" a="1"/>
  <c r="T50" i="20" s="1"/>
  <c r="R50" i="20"/>
  <c r="S50" i="20" a="1"/>
  <c r="S50" i="20" s="1"/>
  <c r="V50" i="20"/>
  <c r="Z50" i="20"/>
  <c r="AA50" i="20"/>
  <c r="AB50" i="20"/>
  <c r="AC50" i="20"/>
  <c r="AD50" i="20"/>
  <c r="AE50" i="20"/>
  <c r="AF50" i="20"/>
  <c r="AG50" i="20"/>
  <c r="T51" i="20" a="1"/>
  <c r="T51" i="20" s="1"/>
  <c r="R51" i="20"/>
  <c r="S51" i="20" a="1"/>
  <c r="S51" i="20" s="1"/>
  <c r="V51" i="20"/>
  <c r="Z51" i="20"/>
  <c r="AA51" i="20"/>
  <c r="AB51" i="20"/>
  <c r="AC51" i="20"/>
  <c r="AD51" i="20"/>
  <c r="AE51" i="20"/>
  <c r="AF51" i="20"/>
  <c r="AG51" i="20"/>
  <c r="T52" i="20" a="1"/>
  <c r="T52" i="20" s="1"/>
  <c r="R52" i="20"/>
  <c r="S52" i="20" a="1"/>
  <c r="S52" i="20" s="1"/>
  <c r="V52" i="20"/>
  <c r="Z52" i="20"/>
  <c r="AA52" i="20"/>
  <c r="AB52" i="20"/>
  <c r="AC52" i="20"/>
  <c r="AD52" i="20"/>
  <c r="AE52" i="20"/>
  <c r="AF52" i="20"/>
  <c r="AG52" i="20"/>
  <c r="T53" i="20" a="1"/>
  <c r="T53" i="20" s="1"/>
  <c r="R53" i="20"/>
  <c r="S53" i="20" a="1"/>
  <c r="S53" i="20" s="1"/>
  <c r="V53" i="20"/>
  <c r="Z53" i="20"/>
  <c r="AA53" i="20"/>
  <c r="AB53" i="20"/>
  <c r="AC53" i="20"/>
  <c r="AD53" i="20"/>
  <c r="AE53" i="20"/>
  <c r="AF53" i="20"/>
  <c r="AG53" i="20"/>
  <c r="T54" i="20" a="1"/>
  <c r="T54" i="20" s="1"/>
  <c r="R54" i="20"/>
  <c r="S54" i="20" a="1"/>
  <c r="S54" i="20" s="1"/>
  <c r="V54" i="20"/>
  <c r="Z54" i="20"/>
  <c r="AA54" i="20"/>
  <c r="AB54" i="20"/>
  <c r="AC54" i="20"/>
  <c r="AD54" i="20"/>
  <c r="AE54" i="20"/>
  <c r="AF54" i="20"/>
  <c r="AG54" i="20"/>
  <c r="T55" i="20" a="1"/>
  <c r="T55" i="20" s="1"/>
  <c r="R55" i="20"/>
  <c r="S55" i="20" a="1"/>
  <c r="S55" i="20" s="1"/>
  <c r="V55" i="20"/>
  <c r="Z55" i="20"/>
  <c r="AA55" i="20"/>
  <c r="AB55" i="20"/>
  <c r="AC55" i="20"/>
  <c r="AD55" i="20"/>
  <c r="AE55" i="20"/>
  <c r="AF55" i="20"/>
  <c r="AG55" i="20"/>
  <c r="T56" i="20" a="1"/>
  <c r="T56" i="20" s="1"/>
  <c r="R56" i="20"/>
  <c r="S56" i="20" a="1"/>
  <c r="S56" i="20" s="1"/>
  <c r="V56" i="20"/>
  <c r="Z56" i="20"/>
  <c r="AA56" i="20"/>
  <c r="AB56" i="20"/>
  <c r="AC56" i="20"/>
  <c r="AD56" i="20"/>
  <c r="AE56" i="20"/>
  <c r="AF56" i="20"/>
  <c r="AG56" i="20"/>
  <c r="T57" i="20" a="1"/>
  <c r="T57" i="20" s="1"/>
  <c r="R57" i="20"/>
  <c r="S57" i="20" a="1"/>
  <c r="S57" i="20" s="1"/>
  <c r="V57" i="20"/>
  <c r="Z57" i="20"/>
  <c r="AA57" i="20"/>
  <c r="AB57" i="20"/>
  <c r="AC57" i="20"/>
  <c r="AD57" i="20"/>
  <c r="AE57" i="20"/>
  <c r="AF57" i="20"/>
  <c r="AG57" i="20"/>
  <c r="T58" i="20" a="1"/>
  <c r="T58" i="20" s="1"/>
  <c r="R58" i="20"/>
  <c r="S58" i="20" a="1"/>
  <c r="S58" i="20" s="1"/>
  <c r="V58" i="20"/>
  <c r="Z58" i="20"/>
  <c r="AA58" i="20"/>
  <c r="AB58" i="20"/>
  <c r="AC58" i="20"/>
  <c r="AD58" i="20"/>
  <c r="AE58" i="20"/>
  <c r="AF58" i="20"/>
  <c r="AG58" i="20"/>
  <c r="T59" i="20" a="1"/>
  <c r="T59" i="20" s="1"/>
  <c r="R59" i="20"/>
  <c r="S59" i="20" a="1"/>
  <c r="S59" i="20" s="1"/>
  <c r="V59" i="20"/>
  <c r="Z59" i="20"/>
  <c r="AA59" i="20"/>
  <c r="AB59" i="20"/>
  <c r="AC59" i="20"/>
  <c r="AD59" i="20"/>
  <c r="AE59" i="20"/>
  <c r="AF59" i="20"/>
  <c r="AG59" i="20"/>
  <c r="T60" i="20" a="1"/>
  <c r="T60" i="20" s="1"/>
  <c r="R60" i="20"/>
  <c r="S60" i="20" a="1"/>
  <c r="S60" i="20" s="1"/>
  <c r="V60" i="20"/>
  <c r="Z60" i="20"/>
  <c r="AA60" i="20"/>
  <c r="AB60" i="20"/>
  <c r="AC60" i="20"/>
  <c r="AD60" i="20"/>
  <c r="AE60" i="20"/>
  <c r="AF60" i="20"/>
  <c r="AG60" i="20"/>
  <c r="T61" i="20" a="1"/>
  <c r="T61" i="20" s="1"/>
  <c r="R61" i="20"/>
  <c r="S61" i="20" a="1"/>
  <c r="S61" i="20" s="1"/>
  <c r="V61" i="20"/>
  <c r="Z61" i="20"/>
  <c r="AA61" i="20"/>
  <c r="AB61" i="20"/>
  <c r="AC61" i="20"/>
  <c r="AD61" i="20"/>
  <c r="AE61" i="20"/>
  <c r="AF61" i="20"/>
  <c r="AG61" i="20"/>
  <c r="T62" i="20" a="1"/>
  <c r="T62" i="20" s="1"/>
  <c r="R62" i="20"/>
  <c r="S62" i="20" a="1"/>
  <c r="S62" i="20" s="1"/>
  <c r="V62" i="20"/>
  <c r="Z62" i="20"/>
  <c r="AA62" i="20"/>
  <c r="AB62" i="20"/>
  <c r="AC62" i="20"/>
  <c r="AD62" i="20"/>
  <c r="AE62" i="20"/>
  <c r="AF62" i="20"/>
  <c r="AG62" i="20"/>
  <c r="T63" i="20" a="1"/>
  <c r="T63" i="20" s="1"/>
  <c r="R63" i="20"/>
  <c r="S63" i="20" a="1"/>
  <c r="S63" i="20" s="1"/>
  <c r="V63" i="20"/>
  <c r="Z63" i="20"/>
  <c r="AA63" i="20"/>
  <c r="AB63" i="20"/>
  <c r="AC63" i="20"/>
  <c r="AD63" i="20"/>
  <c r="AE63" i="20"/>
  <c r="AF63" i="20"/>
  <c r="AG63" i="20"/>
  <c r="T64" i="20" a="1"/>
  <c r="T64" i="20" s="1"/>
  <c r="R64" i="20"/>
  <c r="S64" i="20" a="1"/>
  <c r="S64" i="20" s="1"/>
  <c r="V64" i="20"/>
  <c r="Z64" i="20"/>
  <c r="AA64" i="20"/>
  <c r="AB64" i="20"/>
  <c r="AC64" i="20"/>
  <c r="AD64" i="20"/>
  <c r="AE64" i="20"/>
  <c r="AF64" i="20"/>
  <c r="AG64" i="20"/>
  <c r="T65" i="20" a="1"/>
  <c r="T65" i="20" s="1"/>
  <c r="R65" i="20"/>
  <c r="S65" i="20" a="1"/>
  <c r="S65" i="20" s="1"/>
  <c r="V65" i="20"/>
  <c r="Z65" i="20"/>
  <c r="AA65" i="20"/>
  <c r="AB65" i="20"/>
  <c r="AC65" i="20"/>
  <c r="AD65" i="20"/>
  <c r="AE65" i="20"/>
  <c r="AF65" i="20"/>
  <c r="AG65" i="20"/>
  <c r="T66" i="20" a="1"/>
  <c r="T66" i="20" s="1"/>
  <c r="R66" i="20"/>
  <c r="S66" i="20" a="1"/>
  <c r="S66" i="20" s="1"/>
  <c r="V66" i="20"/>
  <c r="Z66" i="20"/>
  <c r="AA66" i="20"/>
  <c r="AB66" i="20"/>
  <c r="AC66" i="20"/>
  <c r="AD66" i="20"/>
  <c r="AE66" i="20"/>
  <c r="AF66" i="20"/>
  <c r="AG66" i="20"/>
  <c r="T67" i="20" a="1"/>
  <c r="T67" i="20" s="1"/>
  <c r="R67" i="20"/>
  <c r="S67" i="20" a="1"/>
  <c r="S67" i="20" s="1"/>
  <c r="V67" i="20"/>
  <c r="Z67" i="20"/>
  <c r="AA67" i="20"/>
  <c r="AB67" i="20"/>
  <c r="AC67" i="20"/>
  <c r="AD67" i="20"/>
  <c r="AE67" i="20"/>
  <c r="AF67" i="20"/>
  <c r="AG67" i="20"/>
  <c r="T68" i="20" a="1"/>
  <c r="T68" i="20" s="1"/>
  <c r="R68" i="20"/>
  <c r="S68" i="20" a="1"/>
  <c r="S68" i="20" s="1"/>
  <c r="V68" i="20"/>
  <c r="Z68" i="20"/>
  <c r="AA68" i="20"/>
  <c r="AB68" i="20"/>
  <c r="AC68" i="20"/>
  <c r="AD68" i="20"/>
  <c r="AE68" i="20"/>
  <c r="AF68" i="20"/>
  <c r="AG68" i="20"/>
  <c r="T69" i="20" a="1"/>
  <c r="T69" i="20" s="1"/>
  <c r="R69" i="20"/>
  <c r="S69" i="20" a="1"/>
  <c r="S69" i="20" s="1"/>
  <c r="V69" i="20"/>
  <c r="Z69" i="20"/>
  <c r="AA69" i="20"/>
  <c r="AB69" i="20"/>
  <c r="AC69" i="20"/>
  <c r="AD69" i="20"/>
  <c r="AE69" i="20"/>
  <c r="AF69" i="20"/>
  <c r="AG69" i="20"/>
  <c r="T70" i="20" a="1"/>
  <c r="T70" i="20" s="1"/>
  <c r="R70" i="20"/>
  <c r="S70" i="20" a="1"/>
  <c r="S70" i="20" s="1"/>
  <c r="V70" i="20"/>
  <c r="Z70" i="20"/>
  <c r="AA70" i="20"/>
  <c r="AB70" i="20"/>
  <c r="AC70" i="20"/>
  <c r="AD70" i="20"/>
  <c r="AE70" i="20"/>
  <c r="AF70" i="20"/>
  <c r="AG70" i="20"/>
  <c r="T71" i="20" a="1"/>
  <c r="T71" i="20" s="1"/>
  <c r="R71" i="20"/>
  <c r="S71" i="20" a="1"/>
  <c r="S71" i="20" s="1"/>
  <c r="V71" i="20"/>
  <c r="Z71" i="20"/>
  <c r="AA71" i="20"/>
  <c r="AB71" i="20"/>
  <c r="AC71" i="20"/>
  <c r="AD71" i="20"/>
  <c r="AE71" i="20"/>
  <c r="AF71" i="20"/>
  <c r="AG71" i="20"/>
  <c r="T72" i="20" a="1"/>
  <c r="T72" i="20" s="1"/>
  <c r="R72" i="20"/>
  <c r="S72" i="20" a="1"/>
  <c r="S72" i="20" s="1"/>
  <c r="V72" i="20"/>
  <c r="Z72" i="20"/>
  <c r="AA72" i="20"/>
  <c r="AB72" i="20"/>
  <c r="AC72" i="20"/>
  <c r="AD72" i="20"/>
  <c r="AE72" i="20"/>
  <c r="AF72" i="20"/>
  <c r="AG72" i="20"/>
  <c r="T73" i="20" a="1"/>
  <c r="T73" i="20" s="1"/>
  <c r="R73" i="20"/>
  <c r="S73" i="20" a="1"/>
  <c r="S73" i="20" s="1"/>
  <c r="V73" i="20"/>
  <c r="Z73" i="20"/>
  <c r="AA73" i="20"/>
  <c r="AB73" i="20"/>
  <c r="AC73" i="20"/>
  <c r="AD73" i="20"/>
  <c r="AE73" i="20"/>
  <c r="AF73" i="20"/>
  <c r="AG73" i="20"/>
  <c r="T74" i="20" a="1"/>
  <c r="T74" i="20" s="1"/>
  <c r="R74" i="20"/>
  <c r="S74" i="20" a="1"/>
  <c r="S74" i="20" s="1"/>
  <c r="V74" i="20"/>
  <c r="Z74" i="20"/>
  <c r="AA74" i="20"/>
  <c r="AB74" i="20"/>
  <c r="AC74" i="20"/>
  <c r="AD74" i="20"/>
  <c r="AE74" i="20"/>
  <c r="AF74" i="20"/>
  <c r="AG74" i="20"/>
  <c r="T75" i="20" a="1"/>
  <c r="T75" i="20" s="1"/>
  <c r="R75" i="20"/>
  <c r="S75" i="20" a="1"/>
  <c r="S75" i="20" s="1"/>
  <c r="V75" i="20"/>
  <c r="Z75" i="20"/>
  <c r="AA75" i="20"/>
  <c r="AB75" i="20"/>
  <c r="AC75" i="20"/>
  <c r="AD75" i="20"/>
  <c r="AE75" i="20"/>
  <c r="AF75" i="20"/>
  <c r="AG75" i="20"/>
  <c r="T76" i="20" a="1"/>
  <c r="T76" i="20" s="1"/>
  <c r="R76" i="20"/>
  <c r="S76" i="20" a="1"/>
  <c r="S76" i="20" s="1"/>
  <c r="V76" i="20"/>
  <c r="Z76" i="20"/>
  <c r="AA76" i="20"/>
  <c r="AB76" i="20"/>
  <c r="AC76" i="20"/>
  <c r="AD76" i="20"/>
  <c r="AE76" i="20"/>
  <c r="AF76" i="20"/>
  <c r="AG76" i="20"/>
  <c r="T77" i="20" a="1"/>
  <c r="T77" i="20" s="1"/>
  <c r="R77" i="20"/>
  <c r="S77" i="20" a="1"/>
  <c r="S77" i="20" s="1"/>
  <c r="V77" i="20"/>
  <c r="Z77" i="20"/>
  <c r="AA77" i="20"/>
  <c r="AB77" i="20"/>
  <c r="AC77" i="20"/>
  <c r="AD77" i="20"/>
  <c r="AE77" i="20"/>
  <c r="AF77" i="20"/>
  <c r="AG77" i="20"/>
  <c r="T78" i="20" a="1"/>
  <c r="T78" i="20" s="1"/>
  <c r="R78" i="20"/>
  <c r="S78" i="20" a="1"/>
  <c r="S78" i="20" s="1"/>
  <c r="V78" i="20"/>
  <c r="Z78" i="20"/>
  <c r="AA78" i="20"/>
  <c r="AB78" i="20"/>
  <c r="AC78" i="20"/>
  <c r="AD78" i="20"/>
  <c r="AE78" i="20"/>
  <c r="AF78" i="20"/>
  <c r="AG78" i="20"/>
  <c r="T79" i="20" a="1"/>
  <c r="T79" i="20" s="1"/>
  <c r="R79" i="20"/>
  <c r="S79" i="20" a="1"/>
  <c r="S79" i="20" s="1"/>
  <c r="V79" i="20"/>
  <c r="Z79" i="20"/>
  <c r="AA79" i="20"/>
  <c r="AB79" i="20"/>
  <c r="AC79" i="20"/>
  <c r="AD79" i="20"/>
  <c r="AE79" i="20"/>
  <c r="AF79" i="20"/>
  <c r="AG79" i="20"/>
  <c r="T80" i="20" a="1"/>
  <c r="T80" i="20" s="1"/>
  <c r="R80" i="20"/>
  <c r="S80" i="20" a="1"/>
  <c r="S80" i="20" s="1"/>
  <c r="V80" i="20"/>
  <c r="Z80" i="20"/>
  <c r="AA80" i="20"/>
  <c r="AB80" i="20"/>
  <c r="AC80" i="20"/>
  <c r="AD80" i="20"/>
  <c r="AE80" i="20"/>
  <c r="AF80" i="20"/>
  <c r="AG80" i="20"/>
  <c r="T81" i="20" a="1"/>
  <c r="T81" i="20" s="1"/>
  <c r="R81" i="20"/>
  <c r="S81" i="20" a="1"/>
  <c r="S81" i="20" s="1"/>
  <c r="V81" i="20"/>
  <c r="Z81" i="20"/>
  <c r="AA81" i="20"/>
  <c r="AB81" i="20"/>
  <c r="AC81" i="20"/>
  <c r="AD81" i="20"/>
  <c r="AE81" i="20"/>
  <c r="AF81" i="20"/>
  <c r="AG81" i="20"/>
  <c r="T82" i="20" a="1"/>
  <c r="T82" i="20" s="1"/>
  <c r="R82" i="20"/>
  <c r="S82" i="20" a="1"/>
  <c r="S82" i="20" s="1"/>
  <c r="V82" i="20"/>
  <c r="Z82" i="20"/>
  <c r="AA82" i="20"/>
  <c r="AB82" i="20"/>
  <c r="AC82" i="20"/>
  <c r="AD82" i="20"/>
  <c r="AE82" i="20"/>
  <c r="AF82" i="20"/>
  <c r="AG82" i="20"/>
  <c r="T83" i="20" a="1"/>
  <c r="T83" i="20" s="1"/>
  <c r="R83" i="20"/>
  <c r="S83" i="20" a="1"/>
  <c r="S83" i="20" s="1"/>
  <c r="V83" i="20"/>
  <c r="Z83" i="20"/>
  <c r="AA83" i="20"/>
  <c r="AB83" i="20"/>
  <c r="AC83" i="20"/>
  <c r="AD83" i="20"/>
  <c r="AE83" i="20"/>
  <c r="AF83" i="20"/>
  <c r="AG83" i="20"/>
  <c r="T84" i="20" a="1"/>
  <c r="T84" i="20" s="1"/>
  <c r="R84" i="20"/>
  <c r="S84" i="20" a="1"/>
  <c r="S84" i="20" s="1"/>
  <c r="V84" i="20"/>
  <c r="Z84" i="20"/>
  <c r="AA84" i="20"/>
  <c r="AB84" i="20"/>
  <c r="AC84" i="20"/>
  <c r="AD84" i="20"/>
  <c r="AE84" i="20"/>
  <c r="AF84" i="20"/>
  <c r="AG84" i="20"/>
  <c r="T85" i="20" a="1"/>
  <c r="T85" i="20" s="1"/>
  <c r="R85" i="20"/>
  <c r="S85" i="20" a="1"/>
  <c r="S85" i="20" s="1"/>
  <c r="V85" i="20"/>
  <c r="Z85" i="20"/>
  <c r="AA85" i="20"/>
  <c r="AB85" i="20"/>
  <c r="AC85" i="20"/>
  <c r="AD85" i="20"/>
  <c r="AE85" i="20"/>
  <c r="AF85" i="20"/>
  <c r="AG85" i="20"/>
  <c r="T86" i="20" a="1"/>
  <c r="T86" i="20" s="1"/>
  <c r="R86" i="20"/>
  <c r="S86" i="20" a="1"/>
  <c r="S86" i="20" s="1"/>
  <c r="V86" i="20"/>
  <c r="Z86" i="20"/>
  <c r="AA86" i="20"/>
  <c r="AB86" i="20"/>
  <c r="AC86" i="20"/>
  <c r="AD86" i="20"/>
  <c r="AE86" i="20"/>
  <c r="AF86" i="20"/>
  <c r="AG86" i="20"/>
  <c r="T87" i="20" a="1"/>
  <c r="T87" i="20" s="1"/>
  <c r="R87" i="20"/>
  <c r="S87" i="20" a="1"/>
  <c r="S87" i="20" s="1"/>
  <c r="V87" i="20"/>
  <c r="Z87" i="20"/>
  <c r="AA87" i="20"/>
  <c r="AB87" i="20"/>
  <c r="AC87" i="20"/>
  <c r="AD87" i="20"/>
  <c r="AE87" i="20"/>
  <c r="AF87" i="20"/>
  <c r="AG87" i="20"/>
  <c r="T88" i="20" a="1"/>
  <c r="T88" i="20" s="1"/>
  <c r="R88" i="20"/>
  <c r="S88" i="20" a="1"/>
  <c r="S88" i="20" s="1"/>
  <c r="V88" i="20"/>
  <c r="Z88" i="20"/>
  <c r="AA88" i="20"/>
  <c r="AB88" i="20"/>
  <c r="AC88" i="20"/>
  <c r="AD88" i="20"/>
  <c r="AE88" i="20"/>
  <c r="AF88" i="20"/>
  <c r="AG88" i="20"/>
  <c r="T89" i="20" a="1"/>
  <c r="T89" i="20" s="1"/>
  <c r="R89" i="20"/>
  <c r="S89" i="20" a="1"/>
  <c r="S89" i="20" s="1"/>
  <c r="V89" i="20"/>
  <c r="Z89" i="20"/>
  <c r="AA89" i="20"/>
  <c r="AB89" i="20"/>
  <c r="AC89" i="20"/>
  <c r="AD89" i="20"/>
  <c r="AE89" i="20"/>
  <c r="AF89" i="20"/>
  <c r="AG89" i="20"/>
  <c r="T90" i="20" a="1"/>
  <c r="T90" i="20" s="1"/>
  <c r="R90" i="20"/>
  <c r="S90" i="20" a="1"/>
  <c r="S90" i="20" s="1"/>
  <c r="V90" i="20"/>
  <c r="Z90" i="20"/>
  <c r="AA90" i="20"/>
  <c r="AB90" i="20"/>
  <c r="AC90" i="20"/>
  <c r="AD90" i="20"/>
  <c r="AE90" i="20"/>
  <c r="AF90" i="20"/>
  <c r="AG90" i="20"/>
  <c r="T91" i="20" a="1"/>
  <c r="T91" i="20" s="1"/>
  <c r="R91" i="20"/>
  <c r="S91" i="20" a="1"/>
  <c r="S91" i="20" s="1"/>
  <c r="V91" i="20"/>
  <c r="Z91" i="20"/>
  <c r="AA91" i="20"/>
  <c r="AB91" i="20"/>
  <c r="AC91" i="20"/>
  <c r="AD91" i="20"/>
  <c r="AE91" i="20"/>
  <c r="AF91" i="20"/>
  <c r="AG91" i="20"/>
  <c r="T92" i="20" a="1"/>
  <c r="T92" i="20" s="1"/>
  <c r="R92" i="20"/>
  <c r="S92" i="20" a="1"/>
  <c r="S92" i="20" s="1"/>
  <c r="V92" i="20"/>
  <c r="Z92" i="20"/>
  <c r="AA92" i="20"/>
  <c r="AB92" i="20"/>
  <c r="AC92" i="20"/>
  <c r="AD92" i="20"/>
  <c r="AE92" i="20"/>
  <c r="AF92" i="20"/>
  <c r="AG92" i="20"/>
  <c r="T93" i="20" a="1"/>
  <c r="T93" i="20" s="1"/>
  <c r="R93" i="20"/>
  <c r="S93" i="20" a="1"/>
  <c r="S93" i="20" s="1"/>
  <c r="V93" i="20"/>
  <c r="Z93" i="20"/>
  <c r="AA93" i="20"/>
  <c r="AB93" i="20"/>
  <c r="AC93" i="20"/>
  <c r="AD93" i="20"/>
  <c r="AE93" i="20"/>
  <c r="AF93" i="20"/>
  <c r="AG93" i="20"/>
  <c r="T94" i="20" a="1"/>
  <c r="T94" i="20" s="1"/>
  <c r="R94" i="20"/>
  <c r="S94" i="20" a="1"/>
  <c r="S94" i="20" s="1"/>
  <c r="V94" i="20"/>
  <c r="Z94" i="20"/>
  <c r="AA94" i="20"/>
  <c r="AB94" i="20"/>
  <c r="AC94" i="20"/>
  <c r="AD94" i="20"/>
  <c r="AE94" i="20"/>
  <c r="AF94" i="20"/>
  <c r="AG94" i="20"/>
  <c r="T95" i="20" a="1"/>
  <c r="T95" i="20" s="1"/>
  <c r="R95" i="20"/>
  <c r="S95" i="20" a="1"/>
  <c r="S95" i="20" s="1"/>
  <c r="V95" i="20"/>
  <c r="Z95" i="20"/>
  <c r="AA95" i="20"/>
  <c r="AB95" i="20"/>
  <c r="AC95" i="20"/>
  <c r="AD95" i="20"/>
  <c r="AE95" i="20"/>
  <c r="AF95" i="20"/>
  <c r="AG95" i="20"/>
  <c r="T96" i="20" a="1"/>
  <c r="T96" i="20" s="1"/>
  <c r="R96" i="20"/>
  <c r="S96" i="20" a="1"/>
  <c r="S96" i="20" s="1"/>
  <c r="V96" i="20"/>
  <c r="Z96" i="20"/>
  <c r="AA96" i="20"/>
  <c r="AB96" i="20"/>
  <c r="AC96" i="20"/>
  <c r="AD96" i="20"/>
  <c r="AE96" i="20"/>
  <c r="AF96" i="20"/>
  <c r="AG96" i="20"/>
  <c r="T97" i="20" a="1"/>
  <c r="T97" i="20" s="1"/>
  <c r="R97" i="20"/>
  <c r="S97" i="20" a="1"/>
  <c r="S97" i="20" s="1"/>
  <c r="V97" i="20"/>
  <c r="Z97" i="20"/>
  <c r="AA97" i="20"/>
  <c r="AB97" i="20"/>
  <c r="AC97" i="20"/>
  <c r="AD97" i="20"/>
  <c r="AE97" i="20"/>
  <c r="AF97" i="20"/>
  <c r="AG97" i="20"/>
  <c r="T98" i="20" a="1"/>
  <c r="T98" i="20" s="1"/>
  <c r="R98" i="20"/>
  <c r="S98" i="20" a="1"/>
  <c r="S98" i="20" s="1"/>
  <c r="V98" i="20"/>
  <c r="Z98" i="20"/>
  <c r="AA98" i="20"/>
  <c r="AB98" i="20"/>
  <c r="AC98" i="20"/>
  <c r="AD98" i="20"/>
  <c r="AE98" i="20"/>
  <c r="AF98" i="20"/>
  <c r="AG98" i="20"/>
  <c r="T99" i="20" a="1"/>
  <c r="T99" i="20" s="1"/>
  <c r="R99" i="20"/>
  <c r="S99" i="20" a="1"/>
  <c r="S99" i="20" s="1"/>
  <c r="V99" i="20"/>
  <c r="Z99" i="20"/>
  <c r="AA99" i="20"/>
  <c r="AB99" i="20"/>
  <c r="AC99" i="20"/>
  <c r="AD99" i="20"/>
  <c r="AE99" i="20"/>
  <c r="AF99" i="20"/>
  <c r="AG99" i="20"/>
  <c r="T100" i="20" a="1"/>
  <c r="T100" i="20" s="1"/>
  <c r="R100" i="20"/>
  <c r="S100" i="20" a="1"/>
  <c r="S100" i="20" s="1"/>
  <c r="V100" i="20"/>
  <c r="Z100" i="20"/>
  <c r="AA100" i="20"/>
  <c r="AB100" i="20"/>
  <c r="AC100" i="20"/>
  <c r="AD100" i="20"/>
  <c r="AE100" i="20"/>
  <c r="AF100" i="20"/>
  <c r="AG100" i="20"/>
  <c r="T101" i="20" a="1"/>
  <c r="T101" i="20" s="1"/>
  <c r="R101" i="20"/>
  <c r="S101" i="20" a="1"/>
  <c r="S101" i="20" s="1"/>
  <c r="V101" i="20"/>
  <c r="Z101" i="20"/>
  <c r="AA101" i="20"/>
  <c r="AB101" i="20"/>
  <c r="AC101" i="20"/>
  <c r="AD101" i="20"/>
  <c r="AE101" i="20"/>
  <c r="AF101" i="20"/>
  <c r="AG101" i="20"/>
  <c r="T102" i="20" a="1"/>
  <c r="T102" i="20" s="1"/>
  <c r="R102" i="20"/>
  <c r="S102" i="20" a="1"/>
  <c r="S102" i="20" s="1"/>
  <c r="V102" i="20"/>
  <c r="Z102" i="20"/>
  <c r="AA102" i="20"/>
  <c r="AB102" i="20"/>
  <c r="AC102" i="20"/>
  <c r="AD102" i="20"/>
  <c r="AE102" i="20"/>
  <c r="AF102" i="20"/>
  <c r="AG102" i="20"/>
  <c r="T103" i="20" a="1"/>
  <c r="T103" i="20" s="1"/>
  <c r="R103" i="20"/>
  <c r="S103" i="20" a="1"/>
  <c r="S103" i="20" s="1"/>
  <c r="V103" i="20"/>
  <c r="Z103" i="20"/>
  <c r="AA103" i="20"/>
  <c r="AB103" i="20"/>
  <c r="AC103" i="20"/>
  <c r="AD103" i="20"/>
  <c r="AE103" i="20"/>
  <c r="AF103" i="20"/>
  <c r="AG103" i="20"/>
  <c r="T104" i="20" a="1"/>
  <c r="T104" i="20" s="1"/>
  <c r="R104" i="20"/>
  <c r="S104" i="20" a="1"/>
  <c r="S104" i="20" s="1"/>
  <c r="V104" i="20"/>
  <c r="Z104" i="20"/>
  <c r="AA104" i="20"/>
  <c r="AB104" i="20"/>
  <c r="AC104" i="20"/>
  <c r="AD104" i="20"/>
  <c r="AE104" i="20"/>
  <c r="AF104" i="20"/>
  <c r="AG104" i="20"/>
  <c r="T105" i="20" a="1"/>
  <c r="T105" i="20" s="1"/>
  <c r="R105" i="20"/>
  <c r="S105" i="20" a="1"/>
  <c r="S105" i="20" s="1"/>
  <c r="V105" i="20"/>
  <c r="Z105" i="20"/>
  <c r="AA105" i="20"/>
  <c r="AB105" i="20"/>
  <c r="AC105" i="20"/>
  <c r="AD105" i="20"/>
  <c r="AE105" i="20"/>
  <c r="AF105" i="20"/>
  <c r="AG105" i="20"/>
  <c r="T106" i="20" a="1"/>
  <c r="T106" i="20" s="1"/>
  <c r="R106" i="20"/>
  <c r="S106" i="20" a="1"/>
  <c r="S106" i="20" s="1"/>
  <c r="V106" i="20"/>
  <c r="Z106" i="20"/>
  <c r="AA106" i="20"/>
  <c r="AB106" i="20"/>
  <c r="AC106" i="20"/>
  <c r="AD106" i="20"/>
  <c r="AE106" i="20"/>
  <c r="AF106" i="20"/>
  <c r="AG106" i="20"/>
  <c r="T107" i="20" a="1"/>
  <c r="T107" i="20" s="1"/>
  <c r="R107" i="20"/>
  <c r="S107" i="20" a="1"/>
  <c r="S107" i="20" s="1"/>
  <c r="V107" i="20"/>
  <c r="Z107" i="20"/>
  <c r="AA107" i="20"/>
  <c r="AB107" i="20"/>
  <c r="AC107" i="20"/>
  <c r="AD107" i="20"/>
  <c r="AE107" i="20"/>
  <c r="AF107" i="20"/>
  <c r="AG107" i="20"/>
  <c r="T108" i="20" a="1"/>
  <c r="T108" i="20" s="1"/>
  <c r="R108" i="20"/>
  <c r="S108" i="20" a="1"/>
  <c r="S108" i="20" s="1"/>
  <c r="V108" i="20"/>
  <c r="Z108" i="20"/>
  <c r="AA108" i="20"/>
  <c r="AB108" i="20"/>
  <c r="AC108" i="20"/>
  <c r="AD108" i="20"/>
  <c r="AE108" i="20"/>
  <c r="AF108" i="20"/>
  <c r="AG108" i="20"/>
  <c r="T109" i="20" a="1"/>
  <c r="T109" i="20" s="1"/>
  <c r="R109" i="20"/>
  <c r="S109" i="20" a="1"/>
  <c r="S109" i="20" s="1"/>
  <c r="V109" i="20"/>
  <c r="Z109" i="20"/>
  <c r="AA109" i="20"/>
  <c r="AB109" i="20"/>
  <c r="AC109" i="20"/>
  <c r="AD109" i="20"/>
  <c r="AE109" i="20"/>
  <c r="AF109" i="20"/>
  <c r="AG109" i="20"/>
  <c r="T110" i="20" a="1"/>
  <c r="T110" i="20" s="1"/>
  <c r="R110" i="20"/>
  <c r="S110" i="20" a="1"/>
  <c r="S110" i="20" s="1"/>
  <c r="V110" i="20"/>
  <c r="Z110" i="20"/>
  <c r="AA110" i="20"/>
  <c r="AB110" i="20"/>
  <c r="AC110" i="20"/>
  <c r="AD110" i="20"/>
  <c r="AE110" i="20"/>
  <c r="AF110" i="20"/>
  <c r="AG110" i="20"/>
  <c r="T111" i="20" a="1"/>
  <c r="T111" i="20" s="1"/>
  <c r="R111" i="20"/>
  <c r="S111" i="20" a="1"/>
  <c r="S111" i="20" s="1"/>
  <c r="V111" i="20"/>
  <c r="Z111" i="20"/>
  <c r="AA111" i="20"/>
  <c r="AB111" i="20"/>
  <c r="AC111" i="20"/>
  <c r="AD111" i="20"/>
  <c r="AE111" i="20"/>
  <c r="AF111" i="20"/>
  <c r="AG111" i="20"/>
  <c r="T112" i="20" a="1"/>
  <c r="T112" i="20" s="1"/>
  <c r="R112" i="20"/>
  <c r="S112" i="20" a="1"/>
  <c r="S112" i="20" s="1"/>
  <c r="V112" i="20"/>
  <c r="Z112" i="20"/>
  <c r="AA112" i="20"/>
  <c r="AB112" i="20"/>
  <c r="AC112" i="20"/>
  <c r="AD112" i="20"/>
  <c r="AE112" i="20"/>
  <c r="AF112" i="20"/>
  <c r="AG112" i="20"/>
  <c r="T113" i="20" a="1"/>
  <c r="T113" i="20" s="1"/>
  <c r="R113" i="20"/>
  <c r="S113" i="20" a="1"/>
  <c r="S113" i="20" s="1"/>
  <c r="V113" i="20"/>
  <c r="Z113" i="20"/>
  <c r="AA113" i="20"/>
  <c r="AB113" i="20"/>
  <c r="AC113" i="20"/>
  <c r="AD113" i="20"/>
  <c r="AE113" i="20"/>
  <c r="AF113" i="20"/>
  <c r="AG113" i="20"/>
  <c r="V114" i="20"/>
  <c r="T115" i="20" a="1"/>
  <c r="T115" i="20" s="1"/>
  <c r="R115" i="20"/>
  <c r="S115" i="20" a="1"/>
  <c r="S115" i="20" s="1"/>
  <c r="V115" i="20"/>
  <c r="Z115" i="20"/>
  <c r="AA115" i="20"/>
  <c r="AB115" i="20"/>
  <c r="AC115" i="20"/>
  <c r="AD115" i="20"/>
  <c r="AE115" i="20"/>
  <c r="AF115" i="20"/>
  <c r="AG115" i="20"/>
  <c r="T116" i="20" a="1"/>
  <c r="T116" i="20" s="1"/>
  <c r="R116" i="20"/>
  <c r="S116" i="20" a="1"/>
  <c r="S116" i="20" s="1"/>
  <c r="V116" i="20"/>
  <c r="Z116" i="20"/>
  <c r="AA116" i="20"/>
  <c r="AB116" i="20"/>
  <c r="AC116" i="20"/>
  <c r="AD116" i="20"/>
  <c r="AE116" i="20"/>
  <c r="AF116" i="20"/>
  <c r="AG116" i="20"/>
  <c r="T117" i="20" a="1"/>
  <c r="T117" i="20" s="1"/>
  <c r="R117" i="20"/>
  <c r="S117" i="20" a="1"/>
  <c r="S117" i="20" s="1"/>
  <c r="V117" i="20"/>
  <c r="Z117" i="20"/>
  <c r="AA117" i="20"/>
  <c r="AB117" i="20"/>
  <c r="AC117" i="20"/>
  <c r="AD117" i="20"/>
  <c r="AE117" i="20"/>
  <c r="AF117" i="20"/>
  <c r="AG117" i="20"/>
  <c r="T118" i="20" a="1"/>
  <c r="T118" i="20" s="1"/>
  <c r="R118" i="20"/>
  <c r="S118" i="20" a="1"/>
  <c r="S118" i="20" s="1"/>
  <c r="V118" i="20"/>
  <c r="Z118" i="20"/>
  <c r="AA118" i="20"/>
  <c r="AB118" i="20"/>
  <c r="AC118" i="20"/>
  <c r="AD118" i="20"/>
  <c r="AE118" i="20"/>
  <c r="AF118" i="20"/>
  <c r="AG118" i="20"/>
  <c r="T119" i="20" a="1"/>
  <c r="T119" i="20" s="1"/>
  <c r="R119" i="20"/>
  <c r="S119" i="20" a="1"/>
  <c r="S119" i="20" s="1"/>
  <c r="V119" i="20"/>
  <c r="Z119" i="20"/>
  <c r="AA119" i="20"/>
  <c r="AB119" i="20"/>
  <c r="AC119" i="20"/>
  <c r="AD119" i="20"/>
  <c r="AE119" i="20"/>
  <c r="AF119" i="20"/>
  <c r="AG119" i="20"/>
  <c r="T120" i="20" a="1"/>
  <c r="T120" i="20" s="1"/>
  <c r="R120" i="20"/>
  <c r="S120" i="20" a="1"/>
  <c r="S120" i="20" s="1"/>
  <c r="V120" i="20"/>
  <c r="Z120" i="20"/>
  <c r="AA120" i="20"/>
  <c r="AB120" i="20"/>
  <c r="AC120" i="20"/>
  <c r="AD120" i="20"/>
  <c r="AE120" i="20"/>
  <c r="AF120" i="20"/>
  <c r="AG120" i="20"/>
  <c r="T121" i="20" a="1"/>
  <c r="T121" i="20" s="1"/>
  <c r="R121" i="20"/>
  <c r="S121" i="20" a="1"/>
  <c r="S121" i="20" s="1"/>
  <c r="V121" i="20"/>
  <c r="Z121" i="20"/>
  <c r="AA121" i="20"/>
  <c r="AB121" i="20"/>
  <c r="AC121" i="20"/>
  <c r="AD121" i="20"/>
  <c r="AE121" i="20"/>
  <c r="AF121" i="20"/>
  <c r="AG121" i="20"/>
  <c r="T122" i="20" a="1"/>
  <c r="T122" i="20" s="1"/>
  <c r="R122" i="20"/>
  <c r="S122" i="20" a="1"/>
  <c r="S122" i="20" s="1"/>
  <c r="V122" i="20"/>
  <c r="Z122" i="20"/>
  <c r="AA122" i="20"/>
  <c r="AB122" i="20"/>
  <c r="AC122" i="20"/>
  <c r="AD122" i="20"/>
  <c r="AE122" i="20"/>
  <c r="AF122" i="20"/>
  <c r="AG122" i="20"/>
  <c r="T123" i="20" a="1"/>
  <c r="T123" i="20" s="1"/>
  <c r="R123" i="20"/>
  <c r="S123" i="20" a="1"/>
  <c r="S123" i="20" s="1"/>
  <c r="V123" i="20"/>
  <c r="Z123" i="20"/>
  <c r="AA123" i="20"/>
  <c r="AB123" i="20"/>
  <c r="AC123" i="20"/>
  <c r="AD123" i="20"/>
  <c r="AE123" i="20"/>
  <c r="AF123" i="20"/>
  <c r="AG123" i="20"/>
  <c r="T124" i="20" a="1"/>
  <c r="T124" i="20" s="1"/>
  <c r="R124" i="20"/>
  <c r="S124" i="20" a="1"/>
  <c r="S124" i="20" s="1"/>
  <c r="V124" i="20"/>
  <c r="Z124" i="20"/>
  <c r="AA124" i="20"/>
  <c r="AB124" i="20"/>
  <c r="AC124" i="20"/>
  <c r="AD124" i="20"/>
  <c r="AE124" i="20"/>
  <c r="AF124" i="20"/>
  <c r="AG124" i="20"/>
  <c r="T125" i="20" a="1"/>
  <c r="T125" i="20" s="1"/>
  <c r="R125" i="20"/>
  <c r="S125" i="20" a="1"/>
  <c r="S125" i="20" s="1"/>
  <c r="V125" i="20"/>
  <c r="Z125" i="20"/>
  <c r="AA125" i="20"/>
  <c r="AB125" i="20"/>
  <c r="AC125" i="20"/>
  <c r="AD125" i="20"/>
  <c r="AE125" i="20"/>
  <c r="AF125" i="20"/>
  <c r="AG125" i="20"/>
  <c r="T126" i="20" a="1"/>
  <c r="T126" i="20" s="1"/>
  <c r="R126" i="20"/>
  <c r="S126" i="20" a="1"/>
  <c r="S126" i="20" s="1"/>
  <c r="V126" i="20"/>
  <c r="Z126" i="20"/>
  <c r="AA126" i="20"/>
  <c r="AB126" i="20"/>
  <c r="AC126" i="20"/>
  <c r="AD126" i="20"/>
  <c r="AE126" i="20"/>
  <c r="AF126" i="20"/>
  <c r="AG126" i="20"/>
  <c r="T127" i="20" a="1"/>
  <c r="T127" i="20" s="1"/>
  <c r="R127" i="20"/>
  <c r="S127" i="20" a="1"/>
  <c r="S127" i="20" s="1"/>
  <c r="V127" i="20"/>
  <c r="Z127" i="20"/>
  <c r="AA127" i="20"/>
  <c r="AB127" i="20"/>
  <c r="AC127" i="20"/>
  <c r="AD127" i="20"/>
  <c r="AE127" i="20"/>
  <c r="AF127" i="20"/>
  <c r="AG127" i="20"/>
  <c r="T128" i="20" a="1"/>
  <c r="T128" i="20" s="1"/>
  <c r="R128" i="20"/>
  <c r="S128" i="20" a="1"/>
  <c r="S128" i="20" s="1"/>
  <c r="V128" i="20"/>
  <c r="Z128" i="20"/>
  <c r="AA128" i="20"/>
  <c r="AB128" i="20"/>
  <c r="AC128" i="20"/>
  <c r="AD128" i="20"/>
  <c r="AE128" i="20"/>
  <c r="AF128" i="20"/>
  <c r="AG128" i="20"/>
  <c r="T129" i="20" a="1"/>
  <c r="T129" i="20" s="1"/>
  <c r="R129" i="20"/>
  <c r="S129" i="20" a="1"/>
  <c r="S129" i="20" s="1"/>
  <c r="V129" i="20"/>
  <c r="Z129" i="20"/>
  <c r="AA129" i="20"/>
  <c r="AB129" i="20"/>
  <c r="AC129" i="20"/>
  <c r="AD129" i="20"/>
  <c r="AE129" i="20"/>
  <c r="AF129" i="20"/>
  <c r="AG129" i="20"/>
  <c r="T130" i="20" a="1"/>
  <c r="T130" i="20" s="1"/>
  <c r="R130" i="20"/>
  <c r="S130" i="20" a="1"/>
  <c r="S130" i="20" s="1"/>
  <c r="V130" i="20"/>
  <c r="Z130" i="20"/>
  <c r="AA130" i="20"/>
  <c r="AB130" i="20"/>
  <c r="AC130" i="20"/>
  <c r="AD130" i="20"/>
  <c r="AE130" i="20"/>
  <c r="AF130" i="20"/>
  <c r="AG130" i="20"/>
  <c r="T131" i="20" a="1"/>
  <c r="T131" i="20" s="1"/>
  <c r="R131" i="20"/>
  <c r="S131" i="20" a="1"/>
  <c r="S131" i="20" s="1"/>
  <c r="V131" i="20"/>
  <c r="Z131" i="20"/>
  <c r="AA131" i="20"/>
  <c r="AB131" i="20"/>
  <c r="AC131" i="20"/>
  <c r="AD131" i="20"/>
  <c r="AE131" i="20"/>
  <c r="AF131" i="20"/>
  <c r="AG131" i="20"/>
  <c r="T132" i="20" a="1"/>
  <c r="T132" i="20" s="1"/>
  <c r="R132" i="20"/>
  <c r="S132" i="20" a="1"/>
  <c r="S132" i="20" s="1"/>
  <c r="V132" i="20"/>
  <c r="Z132" i="20"/>
  <c r="AA132" i="20"/>
  <c r="AB132" i="20"/>
  <c r="AC132" i="20"/>
  <c r="AD132" i="20"/>
  <c r="AE132" i="20"/>
  <c r="AF132" i="20"/>
  <c r="AG132" i="20"/>
  <c r="T133" i="20" a="1"/>
  <c r="T133" i="20" s="1"/>
  <c r="R133" i="20"/>
  <c r="S133" i="20" a="1"/>
  <c r="S133" i="20" s="1"/>
  <c r="V133" i="20"/>
  <c r="Z133" i="20"/>
  <c r="AA133" i="20"/>
  <c r="AB133" i="20"/>
  <c r="AC133" i="20"/>
  <c r="AD133" i="20"/>
  <c r="AE133" i="20"/>
  <c r="AF133" i="20"/>
  <c r="AG133" i="20"/>
  <c r="T134" i="20" a="1"/>
  <c r="T134" i="20" s="1"/>
  <c r="R134" i="20"/>
  <c r="S134" i="20" a="1"/>
  <c r="S134" i="20" s="1"/>
  <c r="V134" i="20"/>
  <c r="Z134" i="20"/>
  <c r="AA134" i="20"/>
  <c r="AB134" i="20"/>
  <c r="AC134" i="20"/>
  <c r="AD134" i="20"/>
  <c r="AE134" i="20"/>
  <c r="AF134" i="20"/>
  <c r="AG134" i="20"/>
  <c r="T135" i="20" a="1"/>
  <c r="T135" i="20" s="1"/>
  <c r="R135" i="20"/>
  <c r="S135" i="20" a="1"/>
  <c r="S135" i="20" s="1"/>
  <c r="V135" i="20"/>
  <c r="Z135" i="20"/>
  <c r="AA135" i="20"/>
  <c r="AB135" i="20"/>
  <c r="AC135" i="20"/>
  <c r="AD135" i="20"/>
  <c r="AE135" i="20"/>
  <c r="AF135" i="20"/>
  <c r="AG135" i="20"/>
  <c r="T136" i="20" a="1"/>
  <c r="T136" i="20" s="1"/>
  <c r="R136" i="20"/>
  <c r="S136" i="20" a="1"/>
  <c r="S136" i="20" s="1"/>
  <c r="V136" i="20"/>
  <c r="Z136" i="20"/>
  <c r="AA136" i="20"/>
  <c r="AB136" i="20"/>
  <c r="AC136" i="20"/>
  <c r="AD136" i="20"/>
  <c r="AE136" i="20"/>
  <c r="AF136" i="20"/>
  <c r="AG136" i="20"/>
  <c r="T137" i="20" a="1"/>
  <c r="T137" i="20" s="1"/>
  <c r="R137" i="20"/>
  <c r="S137" i="20" a="1"/>
  <c r="S137" i="20" s="1"/>
  <c r="V137" i="20"/>
  <c r="Z137" i="20"/>
  <c r="AA137" i="20"/>
  <c r="AB137" i="20"/>
  <c r="AC137" i="20"/>
  <c r="AD137" i="20"/>
  <c r="AE137" i="20"/>
  <c r="AF137" i="20"/>
  <c r="AG137" i="20"/>
  <c r="T138" i="20" a="1"/>
  <c r="T138" i="20" s="1"/>
  <c r="R138" i="20"/>
  <c r="S138" i="20" a="1"/>
  <c r="S138" i="20" s="1"/>
  <c r="V138" i="20"/>
  <c r="Z138" i="20"/>
  <c r="AA138" i="20"/>
  <c r="AB138" i="20"/>
  <c r="AC138" i="20"/>
  <c r="AD138" i="20"/>
  <c r="AE138" i="20"/>
  <c r="AF138" i="20"/>
  <c r="AG138" i="20"/>
  <c r="T139" i="20" a="1"/>
  <c r="T139" i="20" s="1"/>
  <c r="R139" i="20"/>
  <c r="S139" i="20" a="1"/>
  <c r="S139" i="20" s="1"/>
  <c r="V139" i="20"/>
  <c r="Z139" i="20"/>
  <c r="AA139" i="20"/>
  <c r="AB139" i="20"/>
  <c r="AC139" i="20"/>
  <c r="AD139" i="20"/>
  <c r="AE139" i="20"/>
  <c r="AF139" i="20"/>
  <c r="AG139" i="20"/>
  <c r="T140" i="20" a="1"/>
  <c r="T140" i="20" s="1"/>
  <c r="R140" i="20"/>
  <c r="S140" i="20" a="1"/>
  <c r="S140" i="20" s="1"/>
  <c r="V140" i="20"/>
  <c r="Z140" i="20"/>
  <c r="AA140" i="20"/>
  <c r="AB140" i="20"/>
  <c r="AC140" i="20"/>
  <c r="AD140" i="20"/>
  <c r="AE140" i="20"/>
  <c r="AF140" i="20"/>
  <c r="AG140" i="20"/>
  <c r="T141" i="20" a="1"/>
  <c r="T141" i="20" s="1"/>
  <c r="R141" i="20"/>
  <c r="S141" i="20" a="1"/>
  <c r="S141" i="20" s="1"/>
  <c r="V141" i="20"/>
  <c r="Z141" i="20"/>
  <c r="AA141" i="20"/>
  <c r="AB141" i="20"/>
  <c r="AC141" i="20"/>
  <c r="AD141" i="20"/>
  <c r="AE141" i="20"/>
  <c r="AF141" i="20"/>
  <c r="AG141" i="20"/>
  <c r="T142" i="20" a="1"/>
  <c r="T142" i="20" s="1"/>
  <c r="R142" i="20"/>
  <c r="S142" i="20" a="1"/>
  <c r="S142" i="20" s="1"/>
  <c r="V142" i="20"/>
  <c r="Z142" i="20"/>
  <c r="AA142" i="20"/>
  <c r="AB142" i="20"/>
  <c r="AC142" i="20"/>
  <c r="AD142" i="20"/>
  <c r="AE142" i="20"/>
  <c r="AF142" i="20"/>
  <c r="AG142" i="20"/>
  <c r="T143" i="20" a="1"/>
  <c r="T143" i="20" s="1"/>
  <c r="R143" i="20"/>
  <c r="S143" i="20" a="1"/>
  <c r="S143" i="20" s="1"/>
  <c r="V143" i="20"/>
  <c r="Z143" i="20"/>
  <c r="AA143" i="20"/>
  <c r="AB143" i="20"/>
  <c r="AC143" i="20"/>
  <c r="AD143" i="20"/>
  <c r="AE143" i="20"/>
  <c r="AF143" i="20"/>
  <c r="AG143" i="20"/>
  <c r="T144" i="20" a="1"/>
  <c r="T144" i="20" s="1"/>
  <c r="R144" i="20"/>
  <c r="S144" i="20" a="1"/>
  <c r="S144" i="20" s="1"/>
  <c r="V144" i="20"/>
  <c r="Z144" i="20"/>
  <c r="AA144" i="20"/>
  <c r="AB144" i="20"/>
  <c r="AC144" i="20"/>
  <c r="AD144" i="20"/>
  <c r="AE144" i="20"/>
  <c r="AF144" i="20"/>
  <c r="AG144" i="20"/>
  <c r="T145" i="20" a="1"/>
  <c r="T145" i="20" s="1"/>
  <c r="R145" i="20"/>
  <c r="S145" i="20" a="1"/>
  <c r="S145" i="20" s="1"/>
  <c r="V145" i="20"/>
  <c r="Z145" i="20"/>
  <c r="AA145" i="20"/>
  <c r="AB145" i="20"/>
  <c r="AC145" i="20"/>
  <c r="AD145" i="20"/>
  <c r="AE145" i="20"/>
  <c r="AF145" i="20"/>
  <c r="AG145" i="20"/>
  <c r="T146" i="20" a="1"/>
  <c r="T146" i="20" s="1"/>
  <c r="R146" i="20"/>
  <c r="S146" i="20" a="1"/>
  <c r="S146" i="20" s="1"/>
  <c r="V146" i="20"/>
  <c r="Z146" i="20"/>
  <c r="AA146" i="20"/>
  <c r="AB146" i="20"/>
  <c r="AC146" i="20"/>
  <c r="AD146" i="20"/>
  <c r="AE146" i="20"/>
  <c r="AF146" i="20"/>
  <c r="AG146" i="20"/>
  <c r="T147" i="20" a="1"/>
  <c r="T147" i="20" s="1"/>
  <c r="R147" i="20"/>
  <c r="S147" i="20" a="1"/>
  <c r="S147" i="20" s="1"/>
  <c r="V147" i="20"/>
  <c r="Z147" i="20"/>
  <c r="AA147" i="20"/>
  <c r="AB147" i="20"/>
  <c r="AC147" i="20"/>
  <c r="AD147" i="20"/>
  <c r="AE147" i="20"/>
  <c r="AF147" i="20"/>
  <c r="AG147" i="20"/>
  <c r="T148" i="20" a="1"/>
  <c r="T148" i="20" s="1"/>
  <c r="R148" i="20"/>
  <c r="S148" i="20" a="1"/>
  <c r="S148" i="20" s="1"/>
  <c r="V148" i="20"/>
  <c r="Z148" i="20"/>
  <c r="AA148" i="20"/>
  <c r="AB148" i="20"/>
  <c r="AC148" i="20"/>
  <c r="AD148" i="20"/>
  <c r="AE148" i="20"/>
  <c r="AF148" i="20"/>
  <c r="AG148" i="20"/>
  <c r="T149" i="20" a="1"/>
  <c r="T149" i="20" s="1"/>
  <c r="R149" i="20"/>
  <c r="S149" i="20" a="1"/>
  <c r="S149" i="20" s="1"/>
  <c r="V149" i="20"/>
  <c r="Z149" i="20"/>
  <c r="AA149" i="20"/>
  <c r="AB149" i="20"/>
  <c r="AC149" i="20"/>
  <c r="AD149" i="20"/>
  <c r="AE149" i="20"/>
  <c r="AF149" i="20"/>
  <c r="AG149" i="20"/>
  <c r="T150" i="20" a="1"/>
  <c r="T150" i="20" s="1"/>
  <c r="R150" i="20"/>
  <c r="S150" i="20" a="1"/>
  <c r="S150" i="20" s="1"/>
  <c r="V150" i="20"/>
  <c r="Z150" i="20"/>
  <c r="AA150" i="20"/>
  <c r="AB150" i="20"/>
  <c r="AC150" i="20"/>
  <c r="AD150" i="20"/>
  <c r="AE150" i="20"/>
  <c r="AF150" i="20"/>
  <c r="AG150" i="20"/>
  <c r="T151" i="20" a="1"/>
  <c r="T151" i="20" s="1"/>
  <c r="R151" i="20"/>
  <c r="S151" i="20" a="1"/>
  <c r="S151" i="20" s="1"/>
  <c r="V151" i="20"/>
  <c r="Z151" i="20"/>
  <c r="AA151" i="20"/>
  <c r="AB151" i="20"/>
  <c r="AC151" i="20"/>
  <c r="AD151" i="20"/>
  <c r="AE151" i="20"/>
  <c r="AF151" i="20"/>
  <c r="AG151" i="20"/>
  <c r="T152" i="20" a="1"/>
  <c r="T152" i="20" s="1"/>
  <c r="R152" i="20"/>
  <c r="S152" i="20" a="1"/>
  <c r="S152" i="20" s="1"/>
  <c r="V152" i="20"/>
  <c r="Z152" i="20"/>
  <c r="AA152" i="20"/>
  <c r="AB152" i="20"/>
  <c r="AC152" i="20"/>
  <c r="AD152" i="20"/>
  <c r="AE152" i="20"/>
  <c r="AF152" i="20"/>
  <c r="AG152" i="20"/>
  <c r="T153" i="20" a="1"/>
  <c r="T153" i="20" s="1"/>
  <c r="R153" i="20"/>
  <c r="S153" i="20" a="1"/>
  <c r="S153" i="20" s="1"/>
  <c r="V153" i="20"/>
  <c r="Z153" i="20"/>
  <c r="AA153" i="20"/>
  <c r="AB153" i="20"/>
  <c r="AC153" i="20"/>
  <c r="AD153" i="20"/>
  <c r="AE153" i="20"/>
  <c r="AF153" i="20"/>
  <c r="AG153" i="20"/>
  <c r="T154" i="20" a="1"/>
  <c r="T154" i="20" s="1"/>
  <c r="R154" i="20"/>
  <c r="S154" i="20" a="1"/>
  <c r="S154" i="20" s="1"/>
  <c r="V154" i="20"/>
  <c r="Z154" i="20"/>
  <c r="AA154" i="20"/>
  <c r="AB154" i="20"/>
  <c r="AC154" i="20"/>
  <c r="AD154" i="20"/>
  <c r="AE154" i="20"/>
  <c r="AF154" i="20"/>
  <c r="AG154" i="20"/>
  <c r="T155" i="20" a="1"/>
  <c r="T155" i="20" s="1"/>
  <c r="R155" i="20"/>
  <c r="S155" i="20" a="1"/>
  <c r="S155" i="20" s="1"/>
  <c r="V155" i="20"/>
  <c r="Z155" i="20"/>
  <c r="AA155" i="20"/>
  <c r="AB155" i="20"/>
  <c r="AC155" i="20"/>
  <c r="AD155" i="20"/>
  <c r="AE155" i="20"/>
  <c r="AF155" i="20"/>
  <c r="AG155" i="20"/>
  <c r="T156" i="20" a="1"/>
  <c r="T156" i="20" s="1"/>
  <c r="R156" i="20"/>
  <c r="S156" i="20" a="1"/>
  <c r="S156" i="20" s="1"/>
  <c r="V156" i="20"/>
  <c r="Z156" i="20"/>
  <c r="AA156" i="20"/>
  <c r="AB156" i="20"/>
  <c r="AC156" i="20"/>
  <c r="AD156" i="20"/>
  <c r="AE156" i="20"/>
  <c r="AF156" i="20"/>
  <c r="AG156" i="20"/>
  <c r="T157" i="20" a="1"/>
  <c r="T157" i="20" s="1"/>
  <c r="R157" i="20"/>
  <c r="S157" i="20" a="1"/>
  <c r="S157" i="20" s="1"/>
  <c r="V157" i="20"/>
  <c r="Z157" i="20"/>
  <c r="AA157" i="20"/>
  <c r="AB157" i="20"/>
  <c r="AC157" i="20"/>
  <c r="AD157" i="20"/>
  <c r="AE157" i="20"/>
  <c r="AF157" i="20"/>
  <c r="AG157" i="20"/>
  <c r="T158" i="20" a="1"/>
  <c r="T158" i="20" s="1"/>
  <c r="R158" i="20"/>
  <c r="S158" i="20" a="1"/>
  <c r="S158" i="20" s="1"/>
  <c r="V158" i="20"/>
  <c r="Z158" i="20"/>
  <c r="AA158" i="20"/>
  <c r="AB158" i="20"/>
  <c r="AC158" i="20"/>
  <c r="AD158" i="20"/>
  <c r="AE158" i="20"/>
  <c r="AF158" i="20"/>
  <c r="AG158" i="20"/>
  <c r="T159" i="20" a="1"/>
  <c r="T159" i="20" s="1"/>
  <c r="R159" i="20"/>
  <c r="S159" i="20" a="1"/>
  <c r="S159" i="20" s="1"/>
  <c r="V159" i="20"/>
  <c r="Z159" i="20"/>
  <c r="AA159" i="20"/>
  <c r="AB159" i="20"/>
  <c r="AC159" i="20"/>
  <c r="AD159" i="20"/>
  <c r="AE159" i="20"/>
  <c r="AF159" i="20"/>
  <c r="AG159" i="20"/>
  <c r="T160" i="20" a="1"/>
  <c r="T160" i="20" s="1"/>
  <c r="R160" i="20"/>
  <c r="S160" i="20" a="1"/>
  <c r="S160" i="20" s="1"/>
  <c r="V160" i="20"/>
  <c r="Z160" i="20"/>
  <c r="AA160" i="20"/>
  <c r="AB160" i="20"/>
  <c r="AC160" i="20"/>
  <c r="AD160" i="20"/>
  <c r="AE160" i="20"/>
  <c r="AF160" i="20"/>
  <c r="AG160" i="20"/>
  <c r="T161" i="20" a="1"/>
  <c r="T161" i="20" s="1"/>
  <c r="R161" i="20"/>
  <c r="S161" i="20" a="1"/>
  <c r="S161" i="20" s="1"/>
  <c r="V161" i="20"/>
  <c r="Z161" i="20"/>
  <c r="AA161" i="20"/>
  <c r="AB161" i="20"/>
  <c r="AC161" i="20"/>
  <c r="AD161" i="20"/>
  <c r="AE161" i="20"/>
  <c r="AF161" i="20"/>
  <c r="AG161" i="20"/>
  <c r="T162" i="20" a="1"/>
  <c r="T162" i="20" s="1"/>
  <c r="R162" i="20"/>
  <c r="S162" i="20" a="1"/>
  <c r="S162" i="20" s="1"/>
  <c r="V162" i="20"/>
  <c r="Z162" i="20"/>
  <c r="AA162" i="20"/>
  <c r="AB162" i="20"/>
  <c r="AC162" i="20"/>
  <c r="AD162" i="20"/>
  <c r="AE162" i="20"/>
  <c r="AF162" i="20"/>
  <c r="AG162" i="20"/>
  <c r="T163" i="20" a="1"/>
  <c r="T163" i="20" s="1"/>
  <c r="R163" i="20"/>
  <c r="S163" i="20" a="1"/>
  <c r="S163" i="20" s="1"/>
  <c r="V163" i="20"/>
  <c r="Z163" i="20"/>
  <c r="AA163" i="20"/>
  <c r="AB163" i="20"/>
  <c r="AC163" i="20"/>
  <c r="AD163" i="20"/>
  <c r="AE163" i="20"/>
  <c r="AF163" i="20"/>
  <c r="AG163" i="20"/>
  <c r="T164" i="20" a="1"/>
  <c r="T164" i="20" s="1"/>
  <c r="R164" i="20"/>
  <c r="S164" i="20" a="1"/>
  <c r="S164" i="20" s="1"/>
  <c r="V164" i="20"/>
  <c r="Z164" i="20"/>
  <c r="AA164" i="20"/>
  <c r="AB164" i="20"/>
  <c r="AC164" i="20"/>
  <c r="AD164" i="20"/>
  <c r="AE164" i="20"/>
  <c r="AF164" i="20"/>
  <c r="AG164" i="20"/>
  <c r="T165" i="20" a="1"/>
  <c r="T165" i="20" s="1"/>
  <c r="R165" i="20"/>
  <c r="S165" i="20" a="1"/>
  <c r="S165" i="20" s="1"/>
  <c r="V165" i="20"/>
  <c r="Z165" i="20"/>
  <c r="AA165" i="20"/>
  <c r="AB165" i="20"/>
  <c r="AC165" i="20"/>
  <c r="AD165" i="20"/>
  <c r="AE165" i="20"/>
  <c r="AF165" i="20"/>
  <c r="AG165" i="20"/>
  <c r="T166" i="20" a="1"/>
  <c r="T166" i="20" s="1"/>
  <c r="R166" i="20"/>
  <c r="S166" i="20" a="1"/>
  <c r="S166" i="20" s="1"/>
  <c r="V166" i="20"/>
  <c r="Z166" i="20"/>
  <c r="AA166" i="20"/>
  <c r="AB166" i="20"/>
  <c r="AC166" i="20"/>
  <c r="AD166" i="20"/>
  <c r="AE166" i="20"/>
  <c r="AF166" i="20"/>
  <c r="AG166" i="20"/>
  <c r="T167" i="20" a="1"/>
  <c r="T167" i="20" s="1"/>
  <c r="R167" i="20"/>
  <c r="S167" i="20" a="1"/>
  <c r="S167" i="20" s="1"/>
  <c r="V167" i="20"/>
  <c r="Z167" i="20"/>
  <c r="AA167" i="20"/>
  <c r="AB167" i="20"/>
  <c r="AC167" i="20"/>
  <c r="AD167" i="20"/>
  <c r="AE167" i="20"/>
  <c r="AF167" i="20"/>
  <c r="AG167" i="20"/>
  <c r="T168" i="20" a="1"/>
  <c r="T168" i="20" s="1"/>
  <c r="R168" i="20"/>
  <c r="S168" i="20" a="1"/>
  <c r="S168" i="20" s="1"/>
  <c r="V168" i="20"/>
  <c r="Z168" i="20"/>
  <c r="AA168" i="20"/>
  <c r="AB168" i="20"/>
  <c r="AC168" i="20"/>
  <c r="AD168" i="20"/>
  <c r="AE168" i="20"/>
  <c r="AF168" i="20"/>
  <c r="AG168" i="20"/>
  <c r="T169" i="20" a="1"/>
  <c r="T169" i="20" s="1"/>
  <c r="R169" i="20"/>
  <c r="S169" i="20" a="1"/>
  <c r="S169" i="20" s="1"/>
  <c r="V169" i="20"/>
  <c r="Z169" i="20"/>
  <c r="AA169" i="20"/>
  <c r="AB169" i="20"/>
  <c r="AC169" i="20"/>
  <c r="AD169" i="20"/>
  <c r="AE169" i="20"/>
  <c r="AF169" i="20"/>
  <c r="AG169" i="20"/>
  <c r="T170" i="20" a="1"/>
  <c r="T170" i="20" s="1"/>
  <c r="R170" i="20"/>
  <c r="S170" i="20" a="1"/>
  <c r="S170" i="20" s="1"/>
  <c r="V170" i="20"/>
  <c r="Z170" i="20"/>
  <c r="AA170" i="20"/>
  <c r="AB170" i="20"/>
  <c r="AC170" i="20"/>
  <c r="AD170" i="20"/>
  <c r="AE170" i="20"/>
  <c r="AF170" i="20"/>
  <c r="AG170" i="20"/>
  <c r="T171" i="20" a="1"/>
  <c r="T171" i="20" s="1"/>
  <c r="R171" i="20"/>
  <c r="S171" i="20" a="1"/>
  <c r="S171" i="20" s="1"/>
  <c r="V171" i="20"/>
  <c r="Z171" i="20"/>
  <c r="AA171" i="20"/>
  <c r="AB171" i="20"/>
  <c r="AC171" i="20"/>
  <c r="AD171" i="20"/>
  <c r="AE171" i="20"/>
  <c r="AF171" i="20"/>
  <c r="AG171" i="20"/>
  <c r="T172" i="20" a="1"/>
  <c r="T172" i="20" s="1"/>
  <c r="R172" i="20"/>
  <c r="S172" i="20" a="1"/>
  <c r="S172" i="20" s="1"/>
  <c r="V172" i="20"/>
  <c r="Z172" i="20"/>
  <c r="AA172" i="20"/>
  <c r="AB172" i="20"/>
  <c r="AC172" i="20"/>
  <c r="AD172" i="20"/>
  <c r="AE172" i="20"/>
  <c r="AF172" i="20"/>
  <c r="AG172" i="20"/>
  <c r="T173" i="20" a="1"/>
  <c r="T173" i="20" s="1"/>
  <c r="R173" i="20"/>
  <c r="S173" i="20" a="1"/>
  <c r="S173" i="20" s="1"/>
  <c r="V173" i="20"/>
  <c r="Z173" i="20"/>
  <c r="AA173" i="20"/>
  <c r="AB173" i="20"/>
  <c r="AC173" i="20"/>
  <c r="AD173" i="20"/>
  <c r="AE173" i="20"/>
  <c r="AF173" i="20"/>
  <c r="AG173" i="20"/>
  <c r="T174" i="20" a="1"/>
  <c r="T174" i="20" s="1"/>
  <c r="R174" i="20"/>
  <c r="S174" i="20" a="1"/>
  <c r="S174" i="20" s="1"/>
  <c r="V174" i="20"/>
  <c r="Z174" i="20"/>
  <c r="AA174" i="20"/>
  <c r="AB174" i="20"/>
  <c r="AC174" i="20"/>
  <c r="AD174" i="20"/>
  <c r="AE174" i="20"/>
  <c r="AF174" i="20"/>
  <c r="AG174" i="20"/>
  <c r="T175" i="20" a="1"/>
  <c r="T175" i="20" s="1"/>
  <c r="R175" i="20"/>
  <c r="S175" i="20" a="1"/>
  <c r="S175" i="20" s="1"/>
  <c r="V175" i="20"/>
  <c r="Z175" i="20"/>
  <c r="AA175" i="20"/>
  <c r="AB175" i="20"/>
  <c r="AC175" i="20"/>
  <c r="AD175" i="20"/>
  <c r="AE175" i="20"/>
  <c r="AF175" i="20"/>
  <c r="AG175" i="20"/>
  <c r="T176" i="20" a="1"/>
  <c r="T176" i="20" s="1"/>
  <c r="R176" i="20"/>
  <c r="S176" i="20" a="1"/>
  <c r="S176" i="20" s="1"/>
  <c r="V176" i="20"/>
  <c r="Z176" i="20"/>
  <c r="AA176" i="20"/>
  <c r="AB176" i="20"/>
  <c r="AC176" i="20"/>
  <c r="AD176" i="20"/>
  <c r="AE176" i="20"/>
  <c r="AF176" i="20"/>
  <c r="AG176" i="20"/>
  <c r="T177" i="20" a="1"/>
  <c r="T177" i="20" s="1"/>
  <c r="R177" i="20"/>
  <c r="S177" i="20" a="1"/>
  <c r="S177" i="20" s="1"/>
  <c r="V177" i="20"/>
  <c r="Z177" i="20"/>
  <c r="AA177" i="20"/>
  <c r="AB177" i="20"/>
  <c r="AC177" i="20"/>
  <c r="AD177" i="20"/>
  <c r="AE177" i="20"/>
  <c r="AF177" i="20"/>
  <c r="AG177" i="20"/>
  <c r="T178" i="20" a="1"/>
  <c r="T178" i="20" s="1"/>
  <c r="R178" i="20"/>
  <c r="S178" i="20" a="1"/>
  <c r="S178" i="20" s="1"/>
  <c r="V178" i="20"/>
  <c r="Z178" i="20"/>
  <c r="AA178" i="20"/>
  <c r="AB178" i="20"/>
  <c r="AC178" i="20"/>
  <c r="AD178" i="20"/>
  <c r="AE178" i="20"/>
  <c r="AF178" i="20"/>
  <c r="AG178" i="20"/>
  <c r="T179" i="20" a="1"/>
  <c r="T179" i="20" s="1"/>
  <c r="R179" i="20"/>
  <c r="S179" i="20" a="1"/>
  <c r="S179" i="20" s="1"/>
  <c r="V179" i="20"/>
  <c r="Z179" i="20"/>
  <c r="AA179" i="20"/>
  <c r="AB179" i="20"/>
  <c r="AC179" i="20"/>
  <c r="AD179" i="20"/>
  <c r="AE179" i="20"/>
  <c r="AF179" i="20"/>
  <c r="AG179" i="20"/>
  <c r="T180" i="20" a="1"/>
  <c r="T180" i="20" s="1"/>
  <c r="R180" i="20"/>
  <c r="S180" i="20" a="1"/>
  <c r="S180" i="20" s="1"/>
  <c r="V180" i="20"/>
  <c r="Z180" i="20"/>
  <c r="AA180" i="20"/>
  <c r="AB180" i="20"/>
  <c r="AC180" i="20"/>
  <c r="AD180" i="20"/>
  <c r="AE180" i="20"/>
  <c r="AF180" i="20"/>
  <c r="AG180" i="20"/>
  <c r="T181" i="20" a="1"/>
  <c r="T181" i="20" s="1"/>
  <c r="R181" i="20"/>
  <c r="S181" i="20" a="1"/>
  <c r="S181" i="20" s="1"/>
  <c r="V181" i="20"/>
  <c r="Z181" i="20"/>
  <c r="AA181" i="20"/>
  <c r="AB181" i="20"/>
  <c r="AC181" i="20"/>
  <c r="AD181" i="20"/>
  <c r="AE181" i="20"/>
  <c r="AF181" i="20"/>
  <c r="AG181" i="20"/>
  <c r="T182" i="20" a="1"/>
  <c r="T182" i="20" s="1"/>
  <c r="R182" i="20"/>
  <c r="S182" i="20" a="1"/>
  <c r="S182" i="20" s="1"/>
  <c r="V182" i="20"/>
  <c r="Z182" i="20"/>
  <c r="AA182" i="20"/>
  <c r="AB182" i="20"/>
  <c r="AC182" i="20"/>
  <c r="AD182" i="20"/>
  <c r="AE182" i="20"/>
  <c r="AF182" i="20"/>
  <c r="AG182" i="20"/>
  <c r="T183" i="20" a="1"/>
  <c r="T183" i="20" s="1"/>
  <c r="R183" i="20"/>
  <c r="S183" i="20" a="1"/>
  <c r="S183" i="20" s="1"/>
  <c r="V183" i="20"/>
  <c r="Z183" i="20"/>
  <c r="AA183" i="20"/>
  <c r="AB183" i="20"/>
  <c r="AC183" i="20"/>
  <c r="AD183" i="20"/>
  <c r="AE183" i="20"/>
  <c r="AF183" i="20"/>
  <c r="AG183" i="20"/>
  <c r="T184" i="20" a="1"/>
  <c r="T184" i="20" s="1"/>
  <c r="R184" i="20"/>
  <c r="S184" i="20" a="1"/>
  <c r="S184" i="20" s="1"/>
  <c r="V184" i="20"/>
  <c r="Z184" i="20"/>
  <c r="AA184" i="20"/>
  <c r="AB184" i="20"/>
  <c r="AC184" i="20"/>
  <c r="AD184" i="20"/>
  <c r="AE184" i="20"/>
  <c r="AF184" i="20"/>
  <c r="AG184" i="20"/>
  <c r="T185" i="20" a="1"/>
  <c r="T185" i="20" s="1"/>
  <c r="R185" i="20"/>
  <c r="S185" i="20" a="1"/>
  <c r="S185" i="20" s="1"/>
  <c r="V185" i="20"/>
  <c r="Z185" i="20"/>
  <c r="AA185" i="20"/>
  <c r="AB185" i="20"/>
  <c r="AC185" i="20"/>
  <c r="AD185" i="20"/>
  <c r="AE185" i="20"/>
  <c r="AF185" i="20"/>
  <c r="AG185" i="20"/>
  <c r="T186" i="20" a="1"/>
  <c r="T186" i="20" s="1"/>
  <c r="R186" i="20"/>
  <c r="S186" i="20" a="1"/>
  <c r="S186" i="20" s="1"/>
  <c r="V186" i="20"/>
  <c r="Z186" i="20"/>
  <c r="AA186" i="20"/>
  <c r="AB186" i="20"/>
  <c r="AC186" i="20"/>
  <c r="AD186" i="20"/>
  <c r="AE186" i="20"/>
  <c r="AF186" i="20"/>
  <c r="AG186" i="20"/>
  <c r="T187" i="20" a="1"/>
  <c r="T187" i="20" s="1"/>
  <c r="R187" i="20"/>
  <c r="S187" i="20" a="1"/>
  <c r="S187" i="20" s="1"/>
  <c r="V187" i="20"/>
  <c r="Z187" i="20"/>
  <c r="AA187" i="20"/>
  <c r="AB187" i="20"/>
  <c r="AC187" i="20"/>
  <c r="AD187" i="20"/>
  <c r="AE187" i="20"/>
  <c r="AF187" i="20"/>
  <c r="AG187" i="20"/>
  <c r="T188" i="20" a="1"/>
  <c r="T188" i="20" s="1"/>
  <c r="R188" i="20"/>
  <c r="S188" i="20" a="1"/>
  <c r="S188" i="20" s="1"/>
  <c r="V188" i="20"/>
  <c r="Z188" i="20"/>
  <c r="AA188" i="20"/>
  <c r="AB188" i="20"/>
  <c r="AC188" i="20"/>
  <c r="AD188" i="20"/>
  <c r="AE188" i="20"/>
  <c r="AF188" i="20"/>
  <c r="AG188" i="20"/>
  <c r="T189" i="20" a="1"/>
  <c r="T189" i="20" s="1"/>
  <c r="R189" i="20"/>
  <c r="S189" i="20" a="1"/>
  <c r="S189" i="20" s="1"/>
  <c r="V189" i="20"/>
  <c r="Z189" i="20"/>
  <c r="AA189" i="20"/>
  <c r="AB189" i="20"/>
  <c r="AC189" i="20"/>
  <c r="AD189" i="20"/>
  <c r="AE189" i="20"/>
  <c r="AF189" i="20"/>
  <c r="AG189" i="20"/>
  <c r="T190" i="20" a="1"/>
  <c r="T190" i="20" s="1"/>
  <c r="R190" i="20"/>
  <c r="S190" i="20" a="1"/>
  <c r="S190" i="20" s="1"/>
  <c r="V190" i="20"/>
  <c r="Z190" i="20"/>
  <c r="AA190" i="20"/>
  <c r="AB190" i="20"/>
  <c r="AC190" i="20"/>
  <c r="AD190" i="20"/>
  <c r="AE190" i="20"/>
  <c r="AF190" i="20"/>
  <c r="AG190" i="20"/>
  <c r="T191" i="20" a="1"/>
  <c r="T191" i="20" s="1"/>
  <c r="R191" i="20"/>
  <c r="S191" i="20" a="1"/>
  <c r="S191" i="20" s="1"/>
  <c r="V191" i="20"/>
  <c r="Z191" i="20"/>
  <c r="AA191" i="20"/>
  <c r="AB191" i="20"/>
  <c r="AC191" i="20"/>
  <c r="AD191" i="20"/>
  <c r="AE191" i="20"/>
  <c r="AF191" i="20"/>
  <c r="AG191" i="20"/>
  <c r="T192" i="20" a="1"/>
  <c r="T192" i="20" s="1"/>
  <c r="R192" i="20"/>
  <c r="S192" i="20" a="1"/>
  <c r="S192" i="20" s="1"/>
  <c r="V192" i="20"/>
  <c r="Z192" i="20"/>
  <c r="AA192" i="20"/>
  <c r="AB192" i="20"/>
  <c r="AC192" i="20"/>
  <c r="AD192" i="20"/>
  <c r="AE192" i="20"/>
  <c r="AF192" i="20"/>
  <c r="AG192" i="20"/>
  <c r="T193" i="20" a="1"/>
  <c r="T193" i="20" s="1"/>
  <c r="R193" i="20"/>
  <c r="S193" i="20" a="1"/>
  <c r="S193" i="20" s="1"/>
  <c r="V193" i="20"/>
  <c r="Z193" i="20"/>
  <c r="AA193" i="20"/>
  <c r="AB193" i="20"/>
  <c r="AC193" i="20"/>
  <c r="AD193" i="20"/>
  <c r="AE193" i="20"/>
  <c r="AF193" i="20"/>
  <c r="AG193" i="20"/>
  <c r="T194" i="20" a="1"/>
  <c r="T194" i="20" s="1"/>
  <c r="R194" i="20"/>
  <c r="S194" i="20" a="1"/>
  <c r="S194" i="20" s="1"/>
  <c r="V194" i="20"/>
  <c r="Z194" i="20"/>
  <c r="AA194" i="20"/>
  <c r="AB194" i="20"/>
  <c r="AC194" i="20"/>
  <c r="AD194" i="20"/>
  <c r="AE194" i="20"/>
  <c r="AF194" i="20"/>
  <c r="AG194" i="20"/>
  <c r="T195" i="20" a="1"/>
  <c r="T195" i="20" s="1"/>
  <c r="R195" i="20"/>
  <c r="S195" i="20" a="1"/>
  <c r="S195" i="20" s="1"/>
  <c r="V195" i="20"/>
  <c r="Z195" i="20"/>
  <c r="AA195" i="20"/>
  <c r="AB195" i="20"/>
  <c r="AC195" i="20"/>
  <c r="AD195" i="20"/>
  <c r="AE195" i="20"/>
  <c r="AF195" i="20"/>
  <c r="AG195" i="20"/>
  <c r="T196" i="20" a="1"/>
  <c r="T196" i="20" s="1"/>
  <c r="R196" i="20"/>
  <c r="S196" i="20" a="1"/>
  <c r="S196" i="20" s="1"/>
  <c r="V196" i="20"/>
  <c r="Z196" i="20"/>
  <c r="AA196" i="20"/>
  <c r="AB196" i="20"/>
  <c r="AC196" i="20"/>
  <c r="AD196" i="20"/>
  <c r="AE196" i="20"/>
  <c r="AF196" i="20"/>
  <c r="AG196" i="20"/>
  <c r="T197" i="20" a="1"/>
  <c r="T197" i="20" s="1"/>
  <c r="R197" i="20"/>
  <c r="S197" i="20" a="1"/>
  <c r="S197" i="20" s="1"/>
  <c r="V197" i="20"/>
  <c r="Z197" i="20"/>
  <c r="AA197" i="20"/>
  <c r="AB197" i="20"/>
  <c r="AC197" i="20"/>
  <c r="AD197" i="20"/>
  <c r="AE197" i="20"/>
  <c r="AF197" i="20"/>
  <c r="AG197" i="20"/>
  <c r="T198" i="20" a="1"/>
  <c r="T198" i="20" s="1"/>
  <c r="R198" i="20"/>
  <c r="S198" i="20" a="1"/>
  <c r="S198" i="20" s="1"/>
  <c r="V198" i="20"/>
  <c r="Z198" i="20"/>
  <c r="AA198" i="20"/>
  <c r="AB198" i="20"/>
  <c r="AC198" i="20"/>
  <c r="AD198" i="20"/>
  <c r="AE198" i="20"/>
  <c r="AF198" i="20"/>
  <c r="AG198" i="20"/>
  <c r="T199" i="20" a="1"/>
  <c r="T199" i="20" s="1"/>
  <c r="R199" i="20"/>
  <c r="S199" i="20" a="1"/>
  <c r="S199" i="20" s="1"/>
  <c r="V199" i="20"/>
  <c r="Z199" i="20"/>
  <c r="AA199" i="20"/>
  <c r="AB199" i="20"/>
  <c r="AC199" i="20"/>
  <c r="AD199" i="20"/>
  <c r="AE199" i="20"/>
  <c r="AF199" i="20"/>
  <c r="AG199" i="20"/>
  <c r="T200" i="20" a="1"/>
  <c r="T200" i="20" s="1"/>
  <c r="R200" i="20"/>
  <c r="S200" i="20" a="1"/>
  <c r="S200" i="20" s="1"/>
  <c r="V200" i="20"/>
  <c r="Z200" i="20"/>
  <c r="AA200" i="20"/>
  <c r="AB200" i="20"/>
  <c r="AC200" i="20"/>
  <c r="AD200" i="20"/>
  <c r="AE200" i="20"/>
  <c r="AF200" i="20"/>
  <c r="AG200" i="20"/>
  <c r="T201" i="20" a="1"/>
  <c r="T201" i="20" s="1"/>
  <c r="R201" i="20"/>
  <c r="S201" i="20" a="1"/>
  <c r="S201" i="20" s="1"/>
  <c r="V201" i="20"/>
  <c r="Z201" i="20"/>
  <c r="AA201" i="20"/>
  <c r="AB201" i="20"/>
  <c r="AC201" i="20"/>
  <c r="AD201" i="20"/>
  <c r="AE201" i="20"/>
  <c r="AF201" i="20"/>
  <c r="AG201" i="20"/>
  <c r="T202" i="20" a="1"/>
  <c r="T202" i="20" s="1"/>
  <c r="R202" i="20"/>
  <c r="S202" i="20" a="1"/>
  <c r="S202" i="20" s="1"/>
  <c r="V202" i="20"/>
  <c r="Z202" i="20"/>
  <c r="AA202" i="20"/>
  <c r="AB202" i="20"/>
  <c r="AC202" i="20"/>
  <c r="AD202" i="20"/>
  <c r="AE202" i="20"/>
  <c r="AF202" i="20"/>
  <c r="AG202" i="20"/>
  <c r="T203" i="20" a="1"/>
  <c r="T203" i="20" s="1"/>
  <c r="R203" i="20"/>
  <c r="S203" i="20" a="1"/>
  <c r="S203" i="20" s="1"/>
  <c r="V203" i="20"/>
  <c r="Z203" i="20"/>
  <c r="AA203" i="20"/>
  <c r="AB203" i="20"/>
  <c r="AC203" i="20"/>
  <c r="AD203" i="20"/>
  <c r="AE203" i="20"/>
  <c r="AF203" i="20"/>
  <c r="AG203" i="20"/>
  <c r="T204" i="20" a="1"/>
  <c r="T204" i="20" s="1"/>
  <c r="R204" i="20"/>
  <c r="S204" i="20" a="1"/>
  <c r="S204" i="20" s="1"/>
  <c r="V204" i="20"/>
  <c r="Z204" i="20"/>
  <c r="AA204" i="20"/>
  <c r="AB204" i="20"/>
  <c r="AC204" i="20"/>
  <c r="AD204" i="20"/>
  <c r="AE204" i="20"/>
  <c r="AF204" i="20"/>
  <c r="AG204" i="20"/>
  <c r="T205" i="20" a="1"/>
  <c r="T205" i="20" s="1"/>
  <c r="R205" i="20"/>
  <c r="S205" i="20" a="1"/>
  <c r="S205" i="20" s="1"/>
  <c r="V205" i="20"/>
  <c r="Z205" i="20"/>
  <c r="AA205" i="20"/>
  <c r="AB205" i="20"/>
  <c r="AC205" i="20"/>
  <c r="AD205" i="20"/>
  <c r="AE205" i="20"/>
  <c r="AF205" i="20"/>
  <c r="AG205" i="20"/>
  <c r="T206" i="20" a="1"/>
  <c r="T206" i="20" s="1"/>
  <c r="R206" i="20"/>
  <c r="S206" i="20" a="1"/>
  <c r="S206" i="20" s="1"/>
  <c r="V206" i="20"/>
  <c r="Z206" i="20"/>
  <c r="AA206" i="20"/>
  <c r="AB206" i="20"/>
  <c r="AC206" i="20"/>
  <c r="AD206" i="20"/>
  <c r="AE206" i="20"/>
  <c r="AF206" i="20"/>
  <c r="AG206" i="20"/>
  <c r="T207" i="20" a="1"/>
  <c r="T207" i="20" s="1"/>
  <c r="R207" i="20"/>
  <c r="S207" i="20" a="1"/>
  <c r="S207" i="20" s="1"/>
  <c r="V207" i="20"/>
  <c r="Z207" i="20"/>
  <c r="AA207" i="20"/>
  <c r="AB207" i="20"/>
  <c r="AC207" i="20"/>
  <c r="AD207" i="20"/>
  <c r="AE207" i="20"/>
  <c r="AF207" i="20"/>
  <c r="AG207" i="20"/>
  <c r="T208" i="20" a="1"/>
  <c r="T208" i="20" s="1"/>
  <c r="R208" i="20"/>
  <c r="S208" i="20" a="1"/>
  <c r="S208" i="20" s="1"/>
  <c r="V208" i="20"/>
  <c r="Z208" i="20"/>
  <c r="AA208" i="20"/>
  <c r="AB208" i="20"/>
  <c r="AC208" i="20"/>
  <c r="AD208" i="20"/>
  <c r="AE208" i="20"/>
  <c r="AF208" i="20"/>
  <c r="AG208" i="20"/>
  <c r="T209" i="20" a="1"/>
  <c r="T209" i="20" s="1"/>
  <c r="R209" i="20"/>
  <c r="S209" i="20" a="1"/>
  <c r="S209" i="20" s="1"/>
  <c r="V209" i="20"/>
  <c r="Z209" i="20"/>
  <c r="AA209" i="20"/>
  <c r="AB209" i="20"/>
  <c r="AC209" i="20"/>
  <c r="AD209" i="20"/>
  <c r="AE209" i="20"/>
  <c r="AF209" i="20"/>
  <c r="AG209" i="20"/>
  <c r="T210" i="20" a="1"/>
  <c r="T210" i="20" s="1"/>
  <c r="R210" i="20"/>
  <c r="S210" i="20" a="1"/>
  <c r="S210" i="20" s="1"/>
  <c r="V210" i="20"/>
  <c r="Z210" i="20"/>
  <c r="AA210" i="20"/>
  <c r="AB210" i="20"/>
  <c r="AC210" i="20"/>
  <c r="AD210" i="20"/>
  <c r="AE210" i="20"/>
  <c r="AF210" i="20"/>
  <c r="AG210" i="20"/>
  <c r="T211" i="20" a="1"/>
  <c r="T211" i="20" s="1"/>
  <c r="R211" i="20"/>
  <c r="S211" i="20" a="1"/>
  <c r="S211" i="20" s="1"/>
  <c r="V211" i="20"/>
  <c r="Z211" i="20"/>
  <c r="AA211" i="20"/>
  <c r="AB211" i="20"/>
  <c r="AC211" i="20"/>
  <c r="AD211" i="20"/>
  <c r="AE211" i="20"/>
  <c r="AF211" i="20"/>
  <c r="AG211" i="20"/>
  <c r="V212" i="20"/>
  <c r="V213" i="20"/>
  <c r="V214" i="20"/>
  <c r="V215" i="20"/>
  <c r="V216" i="20"/>
  <c r="V217" i="20"/>
  <c r="V218" i="20"/>
  <c r="V219" i="20"/>
  <c r="V220" i="20"/>
  <c r="V221" i="20"/>
  <c r="T222" i="20" a="1"/>
  <c r="T222" i="20" s="1"/>
  <c r="R222" i="20"/>
  <c r="S222" i="20" a="1"/>
  <c r="S222" i="20" s="1"/>
  <c r="V222" i="20"/>
  <c r="Z222" i="20"/>
  <c r="AA222" i="20"/>
  <c r="AB222" i="20"/>
  <c r="AC222" i="20"/>
  <c r="AD222" i="20"/>
  <c r="AE222" i="20"/>
  <c r="AF222" i="20"/>
  <c r="AG222" i="20"/>
  <c r="T223" i="20" a="1"/>
  <c r="T223" i="20" s="1"/>
  <c r="R223" i="20"/>
  <c r="S223" i="20" a="1"/>
  <c r="S223" i="20" s="1"/>
  <c r="V223" i="20"/>
  <c r="Z223" i="20"/>
  <c r="AA223" i="20"/>
  <c r="AB223" i="20"/>
  <c r="AC223" i="20"/>
  <c r="AD223" i="20"/>
  <c r="AE223" i="20"/>
  <c r="AF223" i="20"/>
  <c r="AG223" i="20"/>
  <c r="T224" i="20" a="1"/>
  <c r="T224" i="20" s="1"/>
  <c r="R224" i="20"/>
  <c r="S224" i="20" a="1"/>
  <c r="S224" i="20" s="1"/>
  <c r="V224" i="20"/>
  <c r="Z224" i="20"/>
  <c r="AA224" i="20"/>
  <c r="AB224" i="20"/>
  <c r="AC224" i="20"/>
  <c r="AD224" i="20"/>
  <c r="AE224" i="20"/>
  <c r="AF224" i="20"/>
  <c r="AG224" i="20"/>
  <c r="T225" i="20" a="1"/>
  <c r="T225" i="20" s="1"/>
  <c r="R225" i="20"/>
  <c r="S225" i="20" a="1"/>
  <c r="S225" i="20" s="1"/>
  <c r="V225" i="20"/>
  <c r="Z225" i="20"/>
  <c r="AA225" i="20"/>
  <c r="AB225" i="20"/>
  <c r="AC225" i="20"/>
  <c r="AD225" i="20"/>
  <c r="AE225" i="20"/>
  <c r="AF225" i="20"/>
  <c r="AG225" i="20"/>
  <c r="T226" i="20" a="1"/>
  <c r="T226" i="20" s="1"/>
  <c r="R226" i="20"/>
  <c r="S226" i="20" a="1"/>
  <c r="S226" i="20" s="1"/>
  <c r="V226" i="20"/>
  <c r="Z226" i="20"/>
  <c r="AA226" i="20"/>
  <c r="AB226" i="20"/>
  <c r="AC226" i="20"/>
  <c r="AD226" i="20"/>
  <c r="AE226" i="20"/>
  <c r="AF226" i="20"/>
  <c r="AG226" i="20"/>
  <c r="T227" i="20" a="1"/>
  <c r="T227" i="20" s="1"/>
  <c r="R227" i="20"/>
  <c r="S227" i="20" a="1"/>
  <c r="S227" i="20" s="1"/>
  <c r="V227" i="20"/>
  <c r="Z227" i="20"/>
  <c r="AA227" i="20"/>
  <c r="AB227" i="20"/>
  <c r="AC227" i="20"/>
  <c r="AD227" i="20"/>
  <c r="AE227" i="20"/>
  <c r="AF227" i="20"/>
  <c r="AG227" i="20"/>
  <c r="T228" i="20" a="1"/>
  <c r="T228" i="20" s="1"/>
  <c r="R228" i="20"/>
  <c r="S228" i="20" a="1"/>
  <c r="S228" i="20" s="1"/>
  <c r="V228" i="20"/>
  <c r="Z228" i="20"/>
  <c r="AA228" i="20"/>
  <c r="AB228" i="20"/>
  <c r="AC228" i="20"/>
  <c r="AD228" i="20"/>
  <c r="AE228" i="20"/>
  <c r="AF228" i="20"/>
  <c r="AG228" i="20"/>
  <c r="T229" i="20" a="1"/>
  <c r="T229" i="20" s="1"/>
  <c r="R229" i="20"/>
  <c r="S229" i="20" a="1"/>
  <c r="S229" i="20" s="1"/>
  <c r="V229" i="20"/>
  <c r="Z229" i="20"/>
  <c r="AA229" i="20"/>
  <c r="AB229" i="20"/>
  <c r="AC229" i="20"/>
  <c r="AD229" i="20"/>
  <c r="AE229" i="20"/>
  <c r="AF229" i="20"/>
  <c r="AG229" i="20"/>
  <c r="T230" i="20" a="1"/>
  <c r="T230" i="20" s="1"/>
  <c r="R230" i="20"/>
  <c r="S230" i="20" a="1"/>
  <c r="S230" i="20" s="1"/>
  <c r="V230" i="20"/>
  <c r="Z230" i="20"/>
  <c r="AA230" i="20"/>
  <c r="AB230" i="20"/>
  <c r="AC230" i="20"/>
  <c r="AD230" i="20"/>
  <c r="AE230" i="20"/>
  <c r="AF230" i="20"/>
  <c r="AG230" i="20"/>
  <c r="T231" i="20" a="1"/>
  <c r="T231" i="20" s="1"/>
  <c r="R231" i="20"/>
  <c r="S231" i="20" a="1"/>
  <c r="S231" i="20" s="1"/>
  <c r="V231" i="20"/>
  <c r="Z231" i="20"/>
  <c r="AA231" i="20"/>
  <c r="AB231" i="20"/>
  <c r="AC231" i="20"/>
  <c r="AD231" i="20"/>
  <c r="AE231" i="20"/>
  <c r="AF231" i="20"/>
  <c r="AG231" i="20"/>
  <c r="T232" i="20" a="1"/>
  <c r="T232" i="20" s="1"/>
  <c r="R232" i="20"/>
  <c r="S232" i="20" a="1"/>
  <c r="S232" i="20" s="1"/>
  <c r="V232" i="20"/>
  <c r="Z232" i="20"/>
  <c r="AA232" i="20"/>
  <c r="AB232" i="20"/>
  <c r="AC232" i="20"/>
  <c r="AD232" i="20"/>
  <c r="AE232" i="20"/>
  <c r="AF232" i="20"/>
  <c r="AG232" i="20"/>
  <c r="T233" i="20" a="1"/>
  <c r="T233" i="20" s="1"/>
  <c r="R233" i="20"/>
  <c r="S233" i="20" a="1"/>
  <c r="S233" i="20" s="1"/>
  <c r="V233" i="20"/>
  <c r="Z233" i="20"/>
  <c r="AA233" i="20"/>
  <c r="AB233" i="20"/>
  <c r="AC233" i="20"/>
  <c r="AD233" i="20"/>
  <c r="AE233" i="20"/>
  <c r="AF233" i="20"/>
  <c r="AG233" i="20"/>
  <c r="T234" i="20" a="1"/>
  <c r="T234" i="20" s="1"/>
  <c r="R234" i="20"/>
  <c r="S234" i="20" a="1"/>
  <c r="S234" i="20" s="1"/>
  <c r="V234" i="20"/>
  <c r="Z234" i="20"/>
  <c r="AA234" i="20"/>
  <c r="AB234" i="20"/>
  <c r="AC234" i="20"/>
  <c r="AD234" i="20"/>
  <c r="AE234" i="20"/>
  <c r="AF234" i="20"/>
  <c r="AG234" i="20"/>
  <c r="T235" i="20" a="1"/>
  <c r="T235" i="20" s="1"/>
  <c r="R235" i="20"/>
  <c r="S235" i="20" a="1"/>
  <c r="S235" i="20" s="1"/>
  <c r="V235" i="20"/>
  <c r="Z235" i="20"/>
  <c r="AA235" i="20"/>
  <c r="AB235" i="20"/>
  <c r="AC235" i="20"/>
  <c r="AD235" i="20"/>
  <c r="AE235" i="20"/>
  <c r="AF235" i="20"/>
  <c r="AG235" i="20"/>
  <c r="T236" i="20" a="1"/>
  <c r="T236" i="20" s="1"/>
  <c r="R236" i="20"/>
  <c r="S236" i="20" a="1"/>
  <c r="S236" i="20" s="1"/>
  <c r="V236" i="20"/>
  <c r="Z236" i="20"/>
  <c r="AA236" i="20"/>
  <c r="AB236" i="20"/>
  <c r="AC236" i="20"/>
  <c r="AD236" i="20"/>
  <c r="AE236" i="20"/>
  <c r="AF236" i="20"/>
  <c r="AG236" i="20"/>
  <c r="T237" i="20" a="1"/>
  <c r="T237" i="20" s="1"/>
  <c r="R237" i="20"/>
  <c r="S237" i="20" a="1"/>
  <c r="S237" i="20" s="1"/>
  <c r="V237" i="20"/>
  <c r="Z237" i="20"/>
  <c r="AA237" i="20"/>
  <c r="AB237" i="20"/>
  <c r="AC237" i="20"/>
  <c r="AD237" i="20"/>
  <c r="AE237" i="20"/>
  <c r="AF237" i="20"/>
  <c r="AG237" i="20"/>
  <c r="T238" i="20" a="1"/>
  <c r="T238" i="20" s="1"/>
  <c r="R238" i="20"/>
  <c r="S238" i="20" a="1"/>
  <c r="S238" i="20" s="1"/>
  <c r="V238" i="20"/>
  <c r="Z238" i="20"/>
  <c r="AA238" i="20"/>
  <c r="AB238" i="20"/>
  <c r="AC238" i="20"/>
  <c r="AD238" i="20"/>
  <c r="AE238" i="20"/>
  <c r="AF238" i="20"/>
  <c r="AG238" i="20"/>
  <c r="T239" i="20" a="1"/>
  <c r="T239" i="20" s="1"/>
  <c r="R239" i="20"/>
  <c r="S239" i="20" a="1"/>
  <c r="S239" i="20" s="1"/>
  <c r="V239" i="20"/>
  <c r="Z239" i="20"/>
  <c r="AA239" i="20"/>
  <c r="AB239" i="20"/>
  <c r="AC239" i="20"/>
  <c r="AD239" i="20"/>
  <c r="AE239" i="20"/>
  <c r="AF239" i="20"/>
  <c r="AG239" i="20"/>
  <c r="T240" i="20" a="1"/>
  <c r="T240" i="20" s="1"/>
  <c r="R240" i="20"/>
  <c r="S240" i="20" a="1"/>
  <c r="S240" i="20" s="1"/>
  <c r="V240" i="20"/>
  <c r="Z240" i="20"/>
  <c r="AA240" i="20"/>
  <c r="AB240" i="20"/>
  <c r="AC240" i="20"/>
  <c r="AD240" i="20"/>
  <c r="AE240" i="20"/>
  <c r="AF240" i="20"/>
  <c r="AG240" i="20"/>
  <c r="T241" i="20" a="1"/>
  <c r="T241" i="20" s="1"/>
  <c r="R241" i="20"/>
  <c r="S241" i="20" a="1"/>
  <c r="S241" i="20" s="1"/>
  <c r="V241" i="20"/>
  <c r="Z241" i="20"/>
  <c r="AA241" i="20"/>
  <c r="AB241" i="20"/>
  <c r="AC241" i="20"/>
  <c r="AD241" i="20"/>
  <c r="AE241" i="20"/>
  <c r="AF241" i="20"/>
  <c r="AG241" i="20"/>
  <c r="T242" i="20" a="1"/>
  <c r="T242" i="20" s="1"/>
  <c r="R242" i="20"/>
  <c r="S242" i="20" a="1"/>
  <c r="S242" i="20" s="1"/>
  <c r="V242" i="20"/>
  <c r="Z242" i="20"/>
  <c r="AA242" i="20"/>
  <c r="AB242" i="20"/>
  <c r="AC242" i="20"/>
  <c r="AD242" i="20"/>
  <c r="AE242" i="20"/>
  <c r="AF242" i="20"/>
  <c r="AG242" i="20"/>
  <c r="T243" i="20" a="1"/>
  <c r="T243" i="20" s="1"/>
  <c r="R243" i="20"/>
  <c r="S243" i="20" a="1"/>
  <c r="S243" i="20" s="1"/>
  <c r="V243" i="20"/>
  <c r="Z243" i="20"/>
  <c r="AA243" i="20"/>
  <c r="AB243" i="20"/>
  <c r="AC243" i="20"/>
  <c r="AD243" i="20"/>
  <c r="AE243" i="20"/>
  <c r="AF243" i="20"/>
  <c r="AG243" i="20"/>
  <c r="T244" i="20" a="1"/>
  <c r="T244" i="20" s="1"/>
  <c r="R244" i="20"/>
  <c r="S244" i="20" a="1"/>
  <c r="S244" i="20" s="1"/>
  <c r="V244" i="20"/>
  <c r="Z244" i="20"/>
  <c r="AA244" i="20"/>
  <c r="AB244" i="20"/>
  <c r="AC244" i="20"/>
  <c r="AD244" i="20"/>
  <c r="AE244" i="20"/>
  <c r="AF244" i="20"/>
  <c r="AG244" i="20"/>
  <c r="T245" i="20" a="1"/>
  <c r="T245" i="20" s="1"/>
  <c r="R245" i="20"/>
  <c r="S245" i="20" a="1"/>
  <c r="S245" i="20" s="1"/>
  <c r="V245" i="20"/>
  <c r="Z245" i="20"/>
  <c r="AA245" i="20"/>
  <c r="AB245" i="20"/>
  <c r="AC245" i="20"/>
  <c r="AD245" i="20"/>
  <c r="AE245" i="20"/>
  <c r="AF245" i="20"/>
  <c r="AG245" i="20"/>
  <c r="T246" i="20" a="1"/>
  <c r="T246" i="20" s="1"/>
  <c r="R246" i="20"/>
  <c r="S246" i="20" a="1"/>
  <c r="S246" i="20" s="1"/>
  <c r="V246" i="20"/>
  <c r="Z246" i="20"/>
  <c r="AA246" i="20"/>
  <c r="AB246" i="20"/>
  <c r="AC246" i="20"/>
  <c r="AD246" i="20"/>
  <c r="AE246" i="20"/>
  <c r="AF246" i="20"/>
  <c r="AG246" i="20"/>
  <c r="T247" i="20" a="1"/>
  <c r="T247" i="20" s="1"/>
  <c r="R247" i="20"/>
  <c r="S247" i="20" a="1"/>
  <c r="S247" i="20" s="1"/>
  <c r="V247" i="20"/>
  <c r="Z247" i="20"/>
  <c r="AA247" i="20"/>
  <c r="AB247" i="20"/>
  <c r="AC247" i="20"/>
  <c r="AD247" i="20"/>
  <c r="AE247" i="20"/>
  <c r="AF247" i="20"/>
  <c r="AG247" i="20"/>
  <c r="T248" i="20" a="1"/>
  <c r="T248" i="20" s="1"/>
  <c r="R248" i="20"/>
  <c r="S248" i="20" a="1"/>
  <c r="S248" i="20" s="1"/>
  <c r="V248" i="20"/>
  <c r="Z248" i="20"/>
  <c r="AA248" i="20"/>
  <c r="AB248" i="20"/>
  <c r="AC248" i="20"/>
  <c r="AD248" i="20"/>
  <c r="AE248" i="20"/>
  <c r="AF248" i="20"/>
  <c r="AG248" i="20"/>
  <c r="T249" i="20" a="1"/>
  <c r="T249" i="20" s="1"/>
  <c r="R249" i="20"/>
  <c r="S249" i="20" a="1"/>
  <c r="S249" i="20" s="1"/>
  <c r="V249" i="20"/>
  <c r="Z249" i="20"/>
  <c r="AA249" i="20"/>
  <c r="AB249" i="20"/>
  <c r="AC249" i="20"/>
  <c r="AD249" i="20"/>
  <c r="AE249" i="20"/>
  <c r="AF249" i="20"/>
  <c r="AG249" i="20"/>
  <c r="T250" i="20" a="1"/>
  <c r="T250" i="20" s="1"/>
  <c r="R250" i="20"/>
  <c r="S250" i="20" a="1"/>
  <c r="S250" i="20" s="1"/>
  <c r="V250" i="20"/>
  <c r="Z250" i="20"/>
  <c r="AA250" i="20"/>
  <c r="AB250" i="20"/>
  <c r="AC250" i="20"/>
  <c r="AD250" i="20"/>
  <c r="AE250" i="20"/>
  <c r="AF250" i="20"/>
  <c r="AG250" i="20"/>
  <c r="T251" i="20" a="1"/>
  <c r="T251" i="20" s="1"/>
  <c r="R251" i="20"/>
  <c r="S251" i="20" a="1"/>
  <c r="S251" i="20" s="1"/>
  <c r="V251" i="20"/>
  <c r="Z251" i="20"/>
  <c r="AA251" i="20"/>
  <c r="AB251" i="20"/>
  <c r="AC251" i="20"/>
  <c r="AD251" i="20"/>
  <c r="AE251" i="20"/>
  <c r="AF251" i="20"/>
  <c r="AG251" i="20"/>
  <c r="T252" i="20" a="1"/>
  <c r="T252" i="20" s="1"/>
  <c r="R252" i="20"/>
  <c r="S252" i="20" a="1"/>
  <c r="S252" i="20" s="1"/>
  <c r="V252" i="20"/>
  <c r="Z252" i="20"/>
  <c r="AA252" i="20"/>
  <c r="AB252" i="20"/>
  <c r="AC252" i="20"/>
  <c r="AD252" i="20"/>
  <c r="AE252" i="20"/>
  <c r="AF252" i="20"/>
  <c r="AG252" i="20"/>
  <c r="T253" i="20" a="1"/>
  <c r="T253" i="20" s="1"/>
  <c r="R253" i="20"/>
  <c r="S253" i="20" a="1"/>
  <c r="S253" i="20" s="1"/>
  <c r="V253" i="20"/>
  <c r="Z253" i="20"/>
  <c r="AA253" i="20"/>
  <c r="AB253" i="20"/>
  <c r="AC253" i="20"/>
  <c r="AD253" i="20"/>
  <c r="AE253" i="20"/>
  <c r="AF253" i="20"/>
  <c r="AG253" i="20"/>
  <c r="T254" i="20" a="1"/>
  <c r="T254" i="20" s="1"/>
  <c r="R254" i="20"/>
  <c r="S254" i="20" a="1"/>
  <c r="S254" i="20" s="1"/>
  <c r="V254" i="20"/>
  <c r="Z254" i="20"/>
  <c r="AA254" i="20"/>
  <c r="AB254" i="20"/>
  <c r="AC254" i="20"/>
  <c r="AD254" i="20"/>
  <c r="AE254" i="20"/>
  <c r="AF254" i="20"/>
  <c r="AG254" i="20"/>
  <c r="T255" i="20" a="1"/>
  <c r="T255" i="20" s="1"/>
  <c r="R255" i="20"/>
  <c r="S255" i="20" a="1"/>
  <c r="S255" i="20" s="1"/>
  <c r="V255" i="20"/>
  <c r="Z255" i="20"/>
  <c r="AA255" i="20"/>
  <c r="AB255" i="20"/>
  <c r="AC255" i="20"/>
  <c r="AD255" i="20"/>
  <c r="AE255" i="20"/>
  <c r="AF255" i="20"/>
  <c r="AG255" i="20"/>
  <c r="T256" i="20" a="1"/>
  <c r="T256" i="20" s="1"/>
  <c r="R256" i="20"/>
  <c r="S256" i="20" a="1"/>
  <c r="S256" i="20" s="1"/>
  <c r="V256" i="20"/>
  <c r="Z256" i="20"/>
  <c r="AA256" i="20"/>
  <c r="AB256" i="20"/>
  <c r="AC256" i="20"/>
  <c r="AD256" i="20"/>
  <c r="AE256" i="20"/>
  <c r="AF256" i="20"/>
  <c r="AG256" i="20"/>
  <c r="T257" i="20" a="1"/>
  <c r="T257" i="20" s="1"/>
  <c r="R257" i="20"/>
  <c r="S257" i="20" a="1"/>
  <c r="S257" i="20" s="1"/>
  <c r="V257" i="20"/>
  <c r="Z257" i="20"/>
  <c r="AA257" i="20"/>
  <c r="AB257" i="20"/>
  <c r="AC257" i="20"/>
  <c r="AD257" i="20"/>
  <c r="AE257" i="20"/>
  <c r="AF257" i="20"/>
  <c r="AG257" i="20"/>
  <c r="T258" i="20" a="1"/>
  <c r="T258" i="20" s="1"/>
  <c r="R258" i="20"/>
  <c r="S258" i="20" a="1"/>
  <c r="S258" i="20" s="1"/>
  <c r="V258" i="20"/>
  <c r="Z258" i="20"/>
  <c r="AA258" i="20"/>
  <c r="AB258" i="20"/>
  <c r="AC258" i="20"/>
  <c r="AD258" i="20"/>
  <c r="AE258" i="20"/>
  <c r="AF258" i="20"/>
  <c r="AG258" i="20"/>
  <c r="T259" i="20" a="1"/>
  <c r="T259" i="20" s="1"/>
  <c r="R259" i="20"/>
  <c r="S259" i="20" a="1"/>
  <c r="S259" i="20" s="1"/>
  <c r="V259" i="20"/>
  <c r="Z259" i="20"/>
  <c r="AA259" i="20"/>
  <c r="AB259" i="20"/>
  <c r="AC259" i="20"/>
  <c r="AD259" i="20"/>
  <c r="AE259" i="20"/>
  <c r="AF259" i="20"/>
  <c r="AG259" i="20"/>
  <c r="T260" i="20" a="1"/>
  <c r="T260" i="20" s="1"/>
  <c r="R260" i="20"/>
  <c r="S260" i="20" a="1"/>
  <c r="S260" i="20" s="1"/>
  <c r="V260" i="20"/>
  <c r="Z260" i="20"/>
  <c r="AA260" i="20"/>
  <c r="AB260" i="20"/>
  <c r="AC260" i="20"/>
  <c r="AD260" i="20"/>
  <c r="AE260" i="20"/>
  <c r="AF260" i="20"/>
  <c r="AG260" i="20"/>
  <c r="T261" i="20" a="1"/>
  <c r="T261" i="20" s="1"/>
  <c r="R261" i="20"/>
  <c r="S261" i="20" a="1"/>
  <c r="S261" i="20" s="1"/>
  <c r="V261" i="20"/>
  <c r="Z261" i="20"/>
  <c r="AA261" i="20"/>
  <c r="AB261" i="20"/>
  <c r="AC261" i="20"/>
  <c r="AD261" i="20"/>
  <c r="AE261" i="20"/>
  <c r="AF261" i="20"/>
  <c r="AG261" i="20"/>
  <c r="T262" i="20" a="1"/>
  <c r="T262" i="20" s="1"/>
  <c r="R262" i="20"/>
  <c r="S262" i="20" a="1"/>
  <c r="S262" i="20" s="1"/>
  <c r="V262" i="20"/>
  <c r="Z262" i="20"/>
  <c r="AA262" i="20"/>
  <c r="AB262" i="20"/>
  <c r="AC262" i="20"/>
  <c r="AD262" i="20"/>
  <c r="AE262" i="20"/>
  <c r="AF262" i="20"/>
  <c r="AG262" i="20"/>
  <c r="T263" i="20" a="1"/>
  <c r="T263" i="20" s="1"/>
  <c r="R263" i="20"/>
  <c r="S263" i="20" a="1"/>
  <c r="S263" i="20" s="1"/>
  <c r="V263" i="20"/>
  <c r="Z263" i="20"/>
  <c r="AA263" i="20"/>
  <c r="AB263" i="20"/>
  <c r="AC263" i="20"/>
  <c r="AD263" i="20"/>
  <c r="AE263" i="20"/>
  <c r="AF263" i="20"/>
  <c r="AG263" i="20"/>
  <c r="T264" i="20" a="1"/>
  <c r="T264" i="20" s="1"/>
  <c r="R264" i="20"/>
  <c r="S264" i="20" a="1"/>
  <c r="S264" i="20" s="1"/>
  <c r="V264" i="20"/>
  <c r="Z264" i="20"/>
  <c r="AA264" i="20"/>
  <c r="AB264" i="20"/>
  <c r="AC264" i="20"/>
  <c r="AD264" i="20"/>
  <c r="AE264" i="20"/>
  <c r="AF264" i="20"/>
  <c r="AG264" i="20"/>
  <c r="T265" i="20" a="1"/>
  <c r="T265" i="20" s="1"/>
  <c r="R265" i="20"/>
  <c r="S265" i="20" a="1"/>
  <c r="S265" i="20" s="1"/>
  <c r="V265" i="20"/>
  <c r="Z265" i="20"/>
  <c r="AA265" i="20"/>
  <c r="AB265" i="20"/>
  <c r="AC265" i="20"/>
  <c r="AD265" i="20"/>
  <c r="AE265" i="20"/>
  <c r="AF265" i="20"/>
  <c r="AG265" i="20"/>
  <c r="T266" i="20" a="1"/>
  <c r="T266" i="20" s="1"/>
  <c r="R266" i="20"/>
  <c r="S266" i="20" a="1"/>
  <c r="S266" i="20" s="1"/>
  <c r="V266" i="20"/>
  <c r="Z266" i="20"/>
  <c r="AA266" i="20"/>
  <c r="AB266" i="20"/>
  <c r="AC266" i="20"/>
  <c r="AD266" i="20"/>
  <c r="AE266" i="20"/>
  <c r="AF266" i="20"/>
  <c r="AG266" i="20"/>
  <c r="T267" i="20" a="1"/>
  <c r="T267" i="20" s="1"/>
  <c r="R267" i="20"/>
  <c r="S267" i="20" a="1"/>
  <c r="S267" i="20" s="1"/>
  <c r="V267" i="20"/>
  <c r="Z267" i="20"/>
  <c r="AA267" i="20"/>
  <c r="AB267" i="20"/>
  <c r="AC267" i="20"/>
  <c r="AD267" i="20"/>
  <c r="AE267" i="20"/>
  <c r="AF267" i="20"/>
  <c r="AG267" i="20"/>
  <c r="T268" i="20" a="1"/>
  <c r="T268" i="20" s="1"/>
  <c r="R268" i="20"/>
  <c r="S268" i="20" a="1"/>
  <c r="S268" i="20" s="1"/>
  <c r="V268" i="20"/>
  <c r="Z268" i="20"/>
  <c r="AA268" i="20"/>
  <c r="AB268" i="20"/>
  <c r="AC268" i="20"/>
  <c r="AD268" i="20"/>
  <c r="AE268" i="20"/>
  <c r="AF268" i="20"/>
  <c r="AG268" i="20"/>
  <c r="T269" i="20" a="1"/>
  <c r="T269" i="20" s="1"/>
  <c r="R269" i="20"/>
  <c r="S269" i="20" a="1"/>
  <c r="S269" i="20" s="1"/>
  <c r="V269" i="20"/>
  <c r="Z269" i="20"/>
  <c r="AA269" i="20"/>
  <c r="AB269" i="20"/>
  <c r="AC269" i="20"/>
  <c r="AD269" i="20"/>
  <c r="AE269" i="20"/>
  <c r="AF269" i="20"/>
  <c r="AG269" i="20"/>
  <c r="T270" i="20" a="1"/>
  <c r="T270" i="20" s="1"/>
  <c r="R270" i="20"/>
  <c r="S270" i="20" a="1"/>
  <c r="S270" i="20" s="1"/>
  <c r="V270" i="20"/>
  <c r="Z270" i="20"/>
  <c r="AA270" i="20"/>
  <c r="AB270" i="20"/>
  <c r="AC270" i="20"/>
  <c r="AD270" i="20"/>
  <c r="AE270" i="20"/>
  <c r="AF270" i="20"/>
  <c r="AG270" i="20"/>
  <c r="T271" i="20" a="1"/>
  <c r="T271" i="20" s="1"/>
  <c r="R271" i="20"/>
  <c r="S271" i="20" a="1"/>
  <c r="S271" i="20" s="1"/>
  <c r="V271" i="20"/>
  <c r="Z271" i="20"/>
  <c r="AA271" i="20"/>
  <c r="AB271" i="20"/>
  <c r="AC271" i="20"/>
  <c r="AD271" i="20"/>
  <c r="AE271" i="20"/>
  <c r="AF271" i="20"/>
  <c r="AG271" i="20"/>
  <c r="T272" i="20" a="1"/>
  <c r="T272" i="20" s="1"/>
  <c r="R272" i="20"/>
  <c r="S272" i="20" a="1"/>
  <c r="S272" i="20" s="1"/>
  <c r="V272" i="20"/>
  <c r="Z272" i="20"/>
  <c r="AA272" i="20"/>
  <c r="AB272" i="20"/>
  <c r="AC272" i="20"/>
  <c r="AD272" i="20"/>
  <c r="AE272" i="20"/>
  <c r="AF272" i="20"/>
  <c r="AG272" i="20"/>
  <c r="T273" i="20" a="1"/>
  <c r="T273" i="20" s="1"/>
  <c r="R273" i="20"/>
  <c r="S273" i="20" a="1"/>
  <c r="S273" i="20" s="1"/>
  <c r="V273" i="20"/>
  <c r="Z273" i="20"/>
  <c r="AA273" i="20"/>
  <c r="AB273" i="20"/>
  <c r="AC273" i="20"/>
  <c r="AD273" i="20"/>
  <c r="AE273" i="20"/>
  <c r="AF273" i="20"/>
  <c r="AG273" i="20"/>
  <c r="T274" i="20" a="1"/>
  <c r="T274" i="20" s="1"/>
  <c r="R274" i="20"/>
  <c r="S274" i="20" a="1"/>
  <c r="S274" i="20" s="1"/>
  <c r="V274" i="20"/>
  <c r="Z274" i="20"/>
  <c r="AA274" i="20"/>
  <c r="AB274" i="20"/>
  <c r="AC274" i="20"/>
  <c r="AD274" i="20"/>
  <c r="AE274" i="20"/>
  <c r="AF274" i="20"/>
  <c r="AG274" i="20"/>
  <c r="T275" i="20" a="1"/>
  <c r="T275" i="20" s="1"/>
  <c r="R275" i="20"/>
  <c r="S275" i="20" a="1"/>
  <c r="S275" i="20" s="1"/>
  <c r="V275" i="20"/>
  <c r="Z275" i="20"/>
  <c r="AA275" i="20"/>
  <c r="AB275" i="20"/>
  <c r="AC275" i="20"/>
  <c r="AD275" i="20"/>
  <c r="AE275" i="20"/>
  <c r="AF275" i="20"/>
  <c r="AG275" i="20"/>
  <c r="T276" i="20" a="1"/>
  <c r="T276" i="20" s="1"/>
  <c r="R276" i="20"/>
  <c r="S276" i="20" a="1"/>
  <c r="S276" i="20" s="1"/>
  <c r="V276" i="20"/>
  <c r="Z276" i="20"/>
  <c r="AA276" i="20"/>
  <c r="AB276" i="20"/>
  <c r="AC276" i="20"/>
  <c r="AD276" i="20"/>
  <c r="AE276" i="20"/>
  <c r="AF276" i="20"/>
  <c r="AG276" i="20"/>
  <c r="T277" i="20" a="1"/>
  <c r="T277" i="20" s="1"/>
  <c r="R277" i="20"/>
  <c r="S277" i="20" a="1"/>
  <c r="S277" i="20" s="1"/>
  <c r="V277" i="20"/>
  <c r="Z277" i="20"/>
  <c r="AA277" i="20"/>
  <c r="AB277" i="20"/>
  <c r="AC277" i="20"/>
  <c r="AD277" i="20"/>
  <c r="AE277" i="20"/>
  <c r="AF277" i="20"/>
  <c r="AG277" i="20"/>
  <c r="T278" i="20" a="1"/>
  <c r="T278" i="20" s="1"/>
  <c r="R278" i="20"/>
  <c r="S278" i="20" a="1"/>
  <c r="S278" i="20" s="1"/>
  <c r="V278" i="20"/>
  <c r="Z278" i="20"/>
  <c r="AA278" i="20"/>
  <c r="AB278" i="20"/>
  <c r="AC278" i="20"/>
  <c r="AD278" i="20"/>
  <c r="AE278" i="20"/>
  <c r="AF278" i="20"/>
  <c r="AG278" i="20"/>
  <c r="T279" i="20" a="1"/>
  <c r="T279" i="20" s="1"/>
  <c r="R279" i="20"/>
  <c r="S279" i="20" a="1"/>
  <c r="S279" i="20" s="1"/>
  <c r="V279" i="20"/>
  <c r="Z279" i="20"/>
  <c r="AA279" i="20"/>
  <c r="AB279" i="20"/>
  <c r="AC279" i="20"/>
  <c r="AD279" i="20"/>
  <c r="AE279" i="20"/>
  <c r="AF279" i="20"/>
  <c r="AG279" i="20"/>
  <c r="T280" i="20" a="1"/>
  <c r="T280" i="20" s="1"/>
  <c r="R280" i="20"/>
  <c r="S280" i="20" a="1"/>
  <c r="S280" i="20" s="1"/>
  <c r="V280" i="20"/>
  <c r="Z280" i="20"/>
  <c r="AA280" i="20"/>
  <c r="AB280" i="20"/>
  <c r="AC280" i="20"/>
  <c r="AD280" i="20"/>
  <c r="AE280" i="20"/>
  <c r="AF280" i="20"/>
  <c r="AG280" i="20"/>
  <c r="T281" i="20" a="1"/>
  <c r="T281" i="20" s="1"/>
  <c r="R281" i="20"/>
  <c r="S281" i="20" a="1"/>
  <c r="S281" i="20" s="1"/>
  <c r="V281" i="20"/>
  <c r="Z281" i="20"/>
  <c r="AA281" i="20"/>
  <c r="AB281" i="20"/>
  <c r="AC281" i="20"/>
  <c r="AD281" i="20"/>
  <c r="AE281" i="20"/>
  <c r="AF281" i="20"/>
  <c r="AG281" i="20"/>
  <c r="T282" i="20" a="1"/>
  <c r="T282" i="20" s="1"/>
  <c r="R282" i="20"/>
  <c r="S282" i="20" a="1"/>
  <c r="S282" i="20" s="1"/>
  <c r="V282" i="20"/>
  <c r="Z282" i="20"/>
  <c r="AA282" i="20"/>
  <c r="AB282" i="20"/>
  <c r="AC282" i="20"/>
  <c r="AD282" i="20"/>
  <c r="AE282" i="20"/>
  <c r="AF282" i="20"/>
  <c r="AG282" i="20"/>
  <c r="T283" i="20" a="1"/>
  <c r="T283" i="20" s="1"/>
  <c r="R283" i="20"/>
  <c r="S283" i="20" a="1"/>
  <c r="S283" i="20" s="1"/>
  <c r="V283" i="20"/>
  <c r="Z283" i="20"/>
  <c r="AA283" i="20"/>
  <c r="AB283" i="20"/>
  <c r="AC283" i="20"/>
  <c r="AD283" i="20"/>
  <c r="AE283" i="20"/>
  <c r="AF283" i="20"/>
  <c r="AG283" i="20"/>
  <c r="T284" i="20" a="1"/>
  <c r="T284" i="20" s="1"/>
  <c r="R284" i="20"/>
  <c r="S284" i="20" a="1"/>
  <c r="S284" i="20" s="1"/>
  <c r="V284" i="20"/>
  <c r="Z284" i="20"/>
  <c r="AA284" i="20"/>
  <c r="AB284" i="20"/>
  <c r="AC284" i="20"/>
  <c r="AD284" i="20"/>
  <c r="AE284" i="20"/>
  <c r="AF284" i="20"/>
  <c r="AG284" i="20"/>
  <c r="T285" i="20" a="1"/>
  <c r="T285" i="20" s="1"/>
  <c r="R285" i="20"/>
  <c r="S285" i="20" a="1"/>
  <c r="S285" i="20" s="1"/>
  <c r="V285" i="20"/>
  <c r="Z285" i="20"/>
  <c r="AA285" i="20"/>
  <c r="AB285" i="20"/>
  <c r="AC285" i="20"/>
  <c r="AD285" i="20"/>
  <c r="AE285" i="20"/>
  <c r="AF285" i="20"/>
  <c r="AG285" i="20"/>
  <c r="T286" i="20" a="1"/>
  <c r="T286" i="20" s="1"/>
  <c r="R286" i="20"/>
  <c r="S286" i="20" a="1"/>
  <c r="S286" i="20" s="1"/>
  <c r="V286" i="20"/>
  <c r="Z286" i="20"/>
  <c r="AA286" i="20"/>
  <c r="AB286" i="20"/>
  <c r="AC286" i="20"/>
  <c r="AD286" i="20"/>
  <c r="AE286" i="20"/>
  <c r="AF286" i="20"/>
  <c r="AG286" i="20"/>
  <c r="T287" i="20" a="1"/>
  <c r="T287" i="20" s="1"/>
  <c r="R287" i="20"/>
  <c r="S287" i="20" a="1"/>
  <c r="S287" i="20" s="1"/>
  <c r="V287" i="20"/>
  <c r="Z287" i="20"/>
  <c r="AA287" i="20"/>
  <c r="AB287" i="20"/>
  <c r="AC287" i="20"/>
  <c r="AD287" i="20"/>
  <c r="AE287" i="20"/>
  <c r="AF287" i="20"/>
  <c r="AG287" i="20"/>
  <c r="T288" i="20" a="1"/>
  <c r="T288" i="20" s="1"/>
  <c r="R288" i="20"/>
  <c r="S288" i="20" a="1"/>
  <c r="S288" i="20" s="1"/>
  <c r="V288" i="20"/>
  <c r="Z288" i="20"/>
  <c r="AA288" i="20"/>
  <c r="AB288" i="20"/>
  <c r="AC288" i="20"/>
  <c r="AD288" i="20"/>
  <c r="AE288" i="20"/>
  <c r="AF288" i="20"/>
  <c r="AG288" i="20"/>
  <c r="T289" i="20" a="1"/>
  <c r="T289" i="20" s="1"/>
  <c r="R289" i="20"/>
  <c r="S289" i="20" a="1"/>
  <c r="S289" i="20" s="1"/>
  <c r="V289" i="20"/>
  <c r="Z289" i="20"/>
  <c r="AA289" i="20"/>
  <c r="AB289" i="20"/>
  <c r="AC289" i="20"/>
  <c r="AD289" i="20"/>
  <c r="AE289" i="20"/>
  <c r="AF289" i="20"/>
  <c r="AG289" i="20"/>
  <c r="T290" i="20" a="1"/>
  <c r="T290" i="20" s="1"/>
  <c r="R290" i="20"/>
  <c r="S290" i="20" a="1"/>
  <c r="S290" i="20" s="1"/>
  <c r="V290" i="20"/>
  <c r="Z290" i="20"/>
  <c r="AA290" i="20"/>
  <c r="AB290" i="20"/>
  <c r="AC290" i="20"/>
  <c r="AD290" i="20"/>
  <c r="AE290" i="20"/>
  <c r="AF290" i="20"/>
  <c r="AG290" i="20"/>
  <c r="T291" i="20" a="1"/>
  <c r="T291" i="20" s="1"/>
  <c r="R291" i="20"/>
  <c r="S291" i="20" a="1"/>
  <c r="S291" i="20" s="1"/>
  <c r="V291" i="20"/>
  <c r="Z291" i="20"/>
  <c r="AA291" i="20"/>
  <c r="AB291" i="20"/>
  <c r="AC291" i="20"/>
  <c r="AD291" i="20"/>
  <c r="AE291" i="20"/>
  <c r="AF291" i="20"/>
  <c r="AG291" i="20"/>
  <c r="T292" i="20" a="1"/>
  <c r="T292" i="20" s="1"/>
  <c r="R292" i="20"/>
  <c r="S292" i="20" a="1"/>
  <c r="S292" i="20" s="1"/>
  <c r="V292" i="20"/>
  <c r="Z292" i="20"/>
  <c r="AA292" i="20"/>
  <c r="AB292" i="20"/>
  <c r="AC292" i="20"/>
  <c r="AD292" i="20"/>
  <c r="AE292" i="20"/>
  <c r="AF292" i="20"/>
  <c r="AG292" i="20"/>
  <c r="T293" i="20" a="1"/>
  <c r="T293" i="20" s="1"/>
  <c r="S293" i="20" a="1"/>
  <c r="S293" i="20" s="1"/>
  <c r="R293" i="20"/>
  <c r="V293" i="20"/>
  <c r="Z293" i="20"/>
  <c r="AA293" i="20"/>
  <c r="AB293" i="20"/>
  <c r="AC293" i="20"/>
  <c r="AD293" i="20"/>
  <c r="AE293" i="20"/>
  <c r="AF293" i="20"/>
  <c r="AG293" i="20"/>
  <c r="T294" i="20" a="1"/>
  <c r="T294" i="20" s="1"/>
  <c r="R294" i="20"/>
  <c r="S294" i="20" a="1"/>
  <c r="S294" i="20" s="1"/>
  <c r="V294" i="20"/>
  <c r="Z294" i="20"/>
  <c r="AA294" i="20"/>
  <c r="AB294" i="20"/>
  <c r="AC294" i="20"/>
  <c r="AD294" i="20"/>
  <c r="AE294" i="20"/>
  <c r="AF294" i="20"/>
  <c r="AG294" i="20"/>
  <c r="T295" i="20" a="1"/>
  <c r="T295" i="20" s="1"/>
  <c r="R295" i="20"/>
  <c r="S295" i="20" a="1"/>
  <c r="S295" i="20" s="1"/>
  <c r="V295" i="20"/>
  <c r="Z295" i="20"/>
  <c r="AA295" i="20"/>
  <c r="AB295" i="20"/>
  <c r="AC295" i="20"/>
  <c r="AD295" i="20"/>
  <c r="AE295" i="20"/>
  <c r="AF295" i="20"/>
  <c r="AG295" i="20"/>
  <c r="T296" i="20" a="1"/>
  <c r="T296" i="20" s="1"/>
  <c r="R296" i="20"/>
  <c r="S296" i="20" a="1"/>
  <c r="S296" i="20" s="1"/>
  <c r="V296" i="20"/>
  <c r="Z296" i="20"/>
  <c r="AA296" i="20"/>
  <c r="AB296" i="20"/>
  <c r="AC296" i="20"/>
  <c r="AD296" i="20"/>
  <c r="AE296" i="20"/>
  <c r="AF296" i="20"/>
  <c r="AG296" i="20"/>
  <c r="T297" i="20" a="1"/>
  <c r="T297" i="20" s="1"/>
  <c r="R297" i="20"/>
  <c r="S297" i="20" a="1"/>
  <c r="S297" i="20" s="1"/>
  <c r="V297" i="20"/>
  <c r="Z297" i="20"/>
  <c r="AA297" i="20"/>
  <c r="AB297" i="20"/>
  <c r="AC297" i="20"/>
  <c r="AD297" i="20"/>
  <c r="AE297" i="20"/>
  <c r="AF297" i="20"/>
  <c r="AG297" i="20"/>
  <c r="T298" i="20" a="1"/>
  <c r="T298" i="20" s="1"/>
  <c r="R298" i="20"/>
  <c r="S298" i="20" a="1"/>
  <c r="S298" i="20" s="1"/>
  <c r="V298" i="20"/>
  <c r="Z298" i="20"/>
  <c r="AA298" i="20"/>
  <c r="AB298" i="20"/>
  <c r="AC298" i="20"/>
  <c r="AD298" i="20"/>
  <c r="AE298" i="20"/>
  <c r="AF298" i="20"/>
  <c r="AG298" i="20"/>
  <c r="T299" i="20" a="1"/>
  <c r="T299" i="20" s="1"/>
  <c r="R299" i="20"/>
  <c r="S299" i="20" a="1"/>
  <c r="S299" i="20" s="1"/>
  <c r="V299" i="20"/>
  <c r="Z299" i="20"/>
  <c r="AA299" i="20"/>
  <c r="AB299" i="20"/>
  <c r="AC299" i="20"/>
  <c r="AD299" i="20"/>
  <c r="AE299" i="20"/>
  <c r="AF299" i="20"/>
  <c r="AG299" i="20"/>
  <c r="T300" i="20" a="1"/>
  <c r="T300" i="20" s="1"/>
  <c r="R300" i="20"/>
  <c r="S300" i="20" a="1"/>
  <c r="S300" i="20" s="1"/>
  <c r="V300" i="20"/>
  <c r="Z300" i="20"/>
  <c r="AA300" i="20"/>
  <c r="AB300" i="20"/>
  <c r="AC300" i="20"/>
  <c r="AD300" i="20"/>
  <c r="AE300" i="20"/>
  <c r="AF300" i="20"/>
  <c r="AG300" i="20"/>
  <c r="T301" i="20" a="1"/>
  <c r="T301" i="20" s="1"/>
  <c r="R301" i="20"/>
  <c r="S301" i="20" a="1"/>
  <c r="S301" i="20" s="1"/>
  <c r="V301" i="20"/>
  <c r="Z301" i="20"/>
  <c r="AA301" i="20"/>
  <c r="AB301" i="20"/>
  <c r="AC301" i="20"/>
  <c r="AD301" i="20"/>
  <c r="AE301" i="20"/>
  <c r="AF301" i="20"/>
  <c r="AG301" i="20"/>
  <c r="T302" i="20" a="1"/>
  <c r="T302" i="20" s="1"/>
  <c r="R302" i="20"/>
  <c r="S302" i="20" a="1"/>
  <c r="S302" i="20" s="1"/>
  <c r="V302" i="20"/>
  <c r="Z302" i="20"/>
  <c r="AA302" i="20"/>
  <c r="AB302" i="20"/>
  <c r="AC302" i="20"/>
  <c r="AD302" i="20"/>
  <c r="AE302" i="20"/>
  <c r="AF302" i="20"/>
  <c r="AG302" i="20"/>
  <c r="T303" i="20" a="1"/>
  <c r="T303" i="20" s="1"/>
  <c r="R303" i="20"/>
  <c r="S303" i="20" a="1"/>
  <c r="S303" i="20" s="1"/>
  <c r="V303" i="20"/>
  <c r="Z303" i="20"/>
  <c r="AA303" i="20"/>
  <c r="AB303" i="20"/>
  <c r="AC303" i="20"/>
  <c r="AD303" i="20"/>
  <c r="AE303" i="20"/>
  <c r="AF303" i="20"/>
  <c r="AG303" i="20"/>
  <c r="T304" i="20" a="1"/>
  <c r="T304" i="20" s="1"/>
  <c r="R304" i="20"/>
  <c r="S304" i="20" a="1"/>
  <c r="S304" i="20" s="1"/>
  <c r="V304" i="20"/>
  <c r="Z304" i="20"/>
  <c r="AA304" i="20"/>
  <c r="AB304" i="20"/>
  <c r="AC304" i="20"/>
  <c r="AD304" i="20"/>
  <c r="AE304" i="20"/>
  <c r="AF304" i="20"/>
  <c r="AG304" i="20"/>
  <c r="T305" i="20" a="1"/>
  <c r="T305" i="20" s="1"/>
  <c r="R305" i="20"/>
  <c r="S305" i="20" a="1"/>
  <c r="S305" i="20" s="1"/>
  <c r="V305" i="20"/>
  <c r="Z305" i="20"/>
  <c r="AA305" i="20"/>
  <c r="AB305" i="20"/>
  <c r="AC305" i="20"/>
  <c r="AD305" i="20"/>
  <c r="AE305" i="20"/>
  <c r="AF305" i="20"/>
  <c r="AG305" i="20"/>
  <c r="T306" i="20" a="1"/>
  <c r="T306" i="20" s="1"/>
  <c r="R306" i="20"/>
  <c r="S306" i="20" a="1"/>
  <c r="S306" i="20" s="1"/>
  <c r="V306" i="20"/>
  <c r="Z306" i="20"/>
  <c r="AA306" i="20"/>
  <c r="AB306" i="20"/>
  <c r="AC306" i="20"/>
  <c r="AD306" i="20"/>
  <c r="AE306" i="20"/>
  <c r="AF306" i="20"/>
  <c r="AG306" i="20"/>
  <c r="T307" i="20" a="1"/>
  <c r="T307" i="20" s="1"/>
  <c r="R307" i="20"/>
  <c r="S307" i="20" a="1"/>
  <c r="S307" i="20" s="1"/>
  <c r="V307" i="20"/>
  <c r="Z307" i="20"/>
  <c r="AA307" i="20"/>
  <c r="AB307" i="20"/>
  <c r="AC307" i="20"/>
  <c r="AD307" i="20"/>
  <c r="AE307" i="20"/>
  <c r="AF307" i="20"/>
  <c r="AG307" i="20"/>
  <c r="T308" i="20" a="1"/>
  <c r="T308" i="20" s="1"/>
  <c r="R308" i="20"/>
  <c r="S308" i="20" a="1"/>
  <c r="S308" i="20" s="1"/>
  <c r="V308" i="20"/>
  <c r="Z308" i="20"/>
  <c r="AA308" i="20"/>
  <c r="AB308" i="20"/>
  <c r="AC308" i="20"/>
  <c r="AD308" i="20"/>
  <c r="AE308" i="20"/>
  <c r="AF308" i="20"/>
  <c r="AG308" i="20"/>
  <c r="T309" i="20" a="1"/>
  <c r="T309" i="20" s="1"/>
  <c r="R309" i="20"/>
  <c r="S309" i="20" a="1"/>
  <c r="S309" i="20" s="1"/>
  <c r="V309" i="20"/>
  <c r="Z309" i="20"/>
  <c r="AA309" i="20"/>
  <c r="AB309" i="20"/>
  <c r="AC309" i="20"/>
  <c r="AD309" i="20"/>
  <c r="AE309" i="20"/>
  <c r="AF309" i="20"/>
  <c r="AG309" i="20"/>
  <c r="T310" i="20" a="1"/>
  <c r="T310" i="20" s="1"/>
  <c r="R310" i="20"/>
  <c r="S310" i="20" a="1"/>
  <c r="S310" i="20" s="1"/>
  <c r="V310" i="20"/>
  <c r="Z310" i="20"/>
  <c r="AA310" i="20"/>
  <c r="AB310" i="20"/>
  <c r="AC310" i="20"/>
  <c r="AD310" i="20"/>
  <c r="AE310" i="20"/>
  <c r="AF310" i="20"/>
  <c r="AG310" i="20"/>
  <c r="T311" i="20" a="1"/>
  <c r="T311" i="20" s="1"/>
  <c r="R311" i="20"/>
  <c r="S311" i="20" a="1"/>
  <c r="S311" i="20" s="1"/>
  <c r="V311" i="20"/>
  <c r="Z311" i="20"/>
  <c r="AA311" i="20"/>
  <c r="AB311" i="20"/>
  <c r="AC311" i="20"/>
  <c r="AD311" i="20"/>
  <c r="AE311" i="20"/>
  <c r="AF311" i="20"/>
  <c r="AG311" i="20"/>
  <c r="T312" i="20" a="1"/>
  <c r="T312" i="20" s="1"/>
  <c r="R312" i="20"/>
  <c r="S312" i="20" a="1"/>
  <c r="S312" i="20" s="1"/>
  <c r="V312" i="20"/>
  <c r="Z312" i="20"/>
  <c r="AA312" i="20"/>
  <c r="AB312" i="20"/>
  <c r="AC312" i="20"/>
  <c r="AD312" i="20"/>
  <c r="AE312" i="20"/>
  <c r="AF312" i="20"/>
  <c r="AG312" i="20"/>
  <c r="T313" i="20" a="1"/>
  <c r="T313" i="20" s="1"/>
  <c r="R313" i="20"/>
  <c r="S313" i="20" a="1"/>
  <c r="S313" i="20" s="1"/>
  <c r="V313" i="20"/>
  <c r="Z313" i="20"/>
  <c r="AA313" i="20"/>
  <c r="AB313" i="20"/>
  <c r="AC313" i="20"/>
  <c r="AD313" i="20"/>
  <c r="AE313" i="20"/>
  <c r="AF313" i="20"/>
  <c r="AG313" i="20"/>
  <c r="V314" i="20"/>
  <c r="T315" i="20" a="1"/>
  <c r="T315" i="20" s="1"/>
  <c r="R315" i="20"/>
  <c r="S315" i="20" a="1"/>
  <c r="S315" i="20" s="1"/>
  <c r="V315" i="20"/>
  <c r="Z315" i="20"/>
  <c r="AA315" i="20"/>
  <c r="AB315" i="20"/>
  <c r="AC315" i="20"/>
  <c r="AD315" i="20"/>
  <c r="AE315" i="20"/>
  <c r="AF315" i="20"/>
  <c r="AG315" i="20"/>
  <c r="T316" i="20" a="1"/>
  <c r="T316" i="20" s="1"/>
  <c r="R316" i="20"/>
  <c r="S316" i="20" a="1"/>
  <c r="S316" i="20" s="1"/>
  <c r="V316" i="20"/>
  <c r="Z316" i="20"/>
  <c r="AA316" i="20"/>
  <c r="AB316" i="20"/>
  <c r="AC316" i="20"/>
  <c r="AD316" i="20"/>
  <c r="AE316" i="20"/>
  <c r="AF316" i="20"/>
  <c r="AG316" i="20"/>
  <c r="T317" i="20" a="1"/>
  <c r="T317" i="20" s="1"/>
  <c r="R317" i="20"/>
  <c r="S317" i="20" a="1"/>
  <c r="S317" i="20" s="1"/>
  <c r="V317" i="20"/>
  <c r="Z317" i="20"/>
  <c r="AA317" i="20"/>
  <c r="AB317" i="20"/>
  <c r="AC317" i="20"/>
  <c r="AD317" i="20"/>
  <c r="AE317" i="20"/>
  <c r="AF317" i="20"/>
  <c r="AG317" i="20"/>
  <c r="T318" i="20" a="1"/>
  <c r="T318" i="20" s="1"/>
  <c r="R318" i="20"/>
  <c r="S318" i="20" a="1"/>
  <c r="S318" i="20" s="1"/>
  <c r="V318" i="20"/>
  <c r="Z318" i="20"/>
  <c r="AA318" i="20"/>
  <c r="AB318" i="20"/>
  <c r="AC318" i="20"/>
  <c r="AD318" i="20"/>
  <c r="AE318" i="20"/>
  <c r="AF318" i="20"/>
  <c r="AG318" i="20"/>
  <c r="T319" i="20" a="1"/>
  <c r="T319" i="20" s="1"/>
  <c r="R319" i="20"/>
  <c r="S319" i="20" a="1"/>
  <c r="S319" i="20" s="1"/>
  <c r="V319" i="20"/>
  <c r="Z319" i="20"/>
  <c r="AA319" i="20"/>
  <c r="AB319" i="20"/>
  <c r="AC319" i="20"/>
  <c r="AD319" i="20"/>
  <c r="AE319" i="20"/>
  <c r="AF319" i="20"/>
  <c r="AG319" i="20"/>
  <c r="T320" i="20" a="1"/>
  <c r="T320" i="20" s="1"/>
  <c r="R320" i="20"/>
  <c r="S320" i="20" a="1"/>
  <c r="S320" i="20" s="1"/>
  <c r="V320" i="20"/>
  <c r="Z320" i="20"/>
  <c r="AA320" i="20"/>
  <c r="AB320" i="20"/>
  <c r="AC320" i="20"/>
  <c r="AD320" i="20"/>
  <c r="AE320" i="20"/>
  <c r="AF320" i="20"/>
  <c r="AG320" i="20"/>
  <c r="T321" i="20" a="1"/>
  <c r="T321" i="20" s="1"/>
  <c r="R321" i="20"/>
  <c r="S321" i="20" a="1"/>
  <c r="S321" i="20" s="1"/>
  <c r="V321" i="20"/>
  <c r="Z321" i="20"/>
  <c r="AA321" i="20"/>
  <c r="AB321" i="20"/>
  <c r="AC321" i="20"/>
  <c r="AD321" i="20"/>
  <c r="AE321" i="20"/>
  <c r="AF321" i="20"/>
  <c r="AG321" i="20"/>
  <c r="T322" i="20" a="1"/>
  <c r="T322" i="20" s="1"/>
  <c r="R322" i="20"/>
  <c r="S322" i="20" a="1"/>
  <c r="S322" i="20" s="1"/>
  <c r="V322" i="20"/>
  <c r="Z322" i="20"/>
  <c r="AA322" i="20"/>
  <c r="AB322" i="20"/>
  <c r="AC322" i="20"/>
  <c r="AD322" i="20"/>
  <c r="AE322" i="20"/>
  <c r="AF322" i="20"/>
  <c r="AG322" i="20"/>
  <c r="T323" i="20" a="1"/>
  <c r="T323" i="20" s="1"/>
  <c r="R323" i="20"/>
  <c r="S323" i="20" a="1"/>
  <c r="S323" i="20" s="1"/>
  <c r="V323" i="20"/>
  <c r="Z323" i="20"/>
  <c r="AA323" i="20"/>
  <c r="AB323" i="20"/>
  <c r="AC323" i="20"/>
  <c r="AD323" i="20"/>
  <c r="AE323" i="20"/>
  <c r="AF323" i="20"/>
  <c r="AG323" i="20"/>
  <c r="T324" i="20" a="1"/>
  <c r="T324" i="20" s="1"/>
  <c r="R324" i="20"/>
  <c r="S324" i="20" a="1"/>
  <c r="S324" i="20" s="1"/>
  <c r="V324" i="20"/>
  <c r="Z324" i="20"/>
  <c r="AA324" i="20"/>
  <c r="AB324" i="20"/>
  <c r="AC324" i="20"/>
  <c r="AD324" i="20"/>
  <c r="AE324" i="20"/>
  <c r="AF324" i="20"/>
  <c r="AG324" i="20"/>
  <c r="T325" i="20" a="1"/>
  <c r="T325" i="20" s="1"/>
  <c r="R325" i="20"/>
  <c r="S325" i="20" a="1"/>
  <c r="S325" i="20" s="1"/>
  <c r="V325" i="20"/>
  <c r="Z325" i="20"/>
  <c r="AA325" i="20"/>
  <c r="AB325" i="20"/>
  <c r="AC325" i="20"/>
  <c r="AD325" i="20"/>
  <c r="AE325" i="20"/>
  <c r="AF325" i="20"/>
  <c r="AG325" i="20"/>
  <c r="T326" i="20" a="1"/>
  <c r="T326" i="20" s="1"/>
  <c r="R326" i="20"/>
  <c r="S326" i="20" a="1"/>
  <c r="S326" i="20" s="1"/>
  <c r="V326" i="20"/>
  <c r="Z326" i="20"/>
  <c r="AA326" i="20"/>
  <c r="AB326" i="20"/>
  <c r="AC326" i="20"/>
  <c r="AD326" i="20"/>
  <c r="AE326" i="20"/>
  <c r="AF326" i="20"/>
  <c r="AG326" i="20"/>
  <c r="T327" i="20" a="1"/>
  <c r="T327" i="20" s="1"/>
  <c r="R327" i="20"/>
  <c r="S327" i="20" a="1"/>
  <c r="S327" i="20" s="1"/>
  <c r="V327" i="20"/>
  <c r="Z327" i="20"/>
  <c r="AA327" i="20"/>
  <c r="AB327" i="20"/>
  <c r="AC327" i="20"/>
  <c r="AD327" i="20"/>
  <c r="AE327" i="20"/>
  <c r="AF327" i="20"/>
  <c r="AG327" i="20"/>
  <c r="T328" i="20" a="1"/>
  <c r="T328" i="20" s="1"/>
  <c r="R328" i="20"/>
  <c r="S328" i="20" a="1"/>
  <c r="S328" i="20" s="1"/>
  <c r="V328" i="20"/>
  <c r="Z328" i="20"/>
  <c r="AA328" i="20"/>
  <c r="AB328" i="20"/>
  <c r="AC328" i="20"/>
  <c r="AD328" i="20"/>
  <c r="AE328" i="20"/>
  <c r="AF328" i="20"/>
  <c r="AG328" i="20"/>
  <c r="T329" i="20" a="1"/>
  <c r="T329" i="20" s="1"/>
  <c r="R329" i="20"/>
  <c r="S329" i="20" a="1"/>
  <c r="S329" i="20" s="1"/>
  <c r="V329" i="20"/>
  <c r="Z329" i="20"/>
  <c r="AA329" i="20"/>
  <c r="AB329" i="20"/>
  <c r="AC329" i="20"/>
  <c r="AD329" i="20"/>
  <c r="AE329" i="20"/>
  <c r="AF329" i="20"/>
  <c r="AG329" i="20"/>
  <c r="T330" i="20" a="1"/>
  <c r="T330" i="20" s="1"/>
  <c r="R330" i="20"/>
  <c r="S330" i="20" a="1"/>
  <c r="S330" i="20" s="1"/>
  <c r="V330" i="20"/>
  <c r="Z330" i="20"/>
  <c r="AA330" i="20"/>
  <c r="AB330" i="20"/>
  <c r="AC330" i="20"/>
  <c r="AD330" i="20"/>
  <c r="AE330" i="20"/>
  <c r="AF330" i="20"/>
  <c r="AG330" i="20"/>
  <c r="T331" i="20" a="1"/>
  <c r="T331" i="20" s="1"/>
  <c r="R331" i="20"/>
  <c r="S331" i="20" a="1"/>
  <c r="S331" i="20" s="1"/>
  <c r="V331" i="20"/>
  <c r="Z331" i="20"/>
  <c r="AA331" i="20"/>
  <c r="AB331" i="20"/>
  <c r="AC331" i="20"/>
  <c r="AD331" i="20"/>
  <c r="AE331" i="20"/>
  <c r="AF331" i="20"/>
  <c r="AG331" i="20"/>
  <c r="T332" i="20" a="1"/>
  <c r="T332" i="20" s="1"/>
  <c r="R332" i="20"/>
  <c r="S332" i="20" a="1"/>
  <c r="S332" i="20" s="1"/>
  <c r="V332" i="20"/>
  <c r="Z332" i="20"/>
  <c r="AA332" i="20"/>
  <c r="AB332" i="20"/>
  <c r="AC332" i="20"/>
  <c r="AD332" i="20"/>
  <c r="AE332" i="20"/>
  <c r="AF332" i="20"/>
  <c r="AG332" i="20"/>
  <c r="T333" i="20" a="1"/>
  <c r="T333" i="20" s="1"/>
  <c r="R333" i="20"/>
  <c r="S333" i="20" a="1"/>
  <c r="S333" i="20" s="1"/>
  <c r="V333" i="20"/>
  <c r="Z333" i="20"/>
  <c r="AA333" i="20"/>
  <c r="AB333" i="20"/>
  <c r="AC333" i="20"/>
  <c r="AD333" i="20"/>
  <c r="AE333" i="20"/>
  <c r="AF333" i="20"/>
  <c r="AG333" i="20"/>
  <c r="T334" i="20" a="1"/>
  <c r="T334" i="20" s="1"/>
  <c r="S334" i="20" a="1"/>
  <c r="S334" i="20" s="1"/>
  <c r="R334" i="20"/>
  <c r="V334" i="20"/>
  <c r="Z334" i="20"/>
  <c r="AA334" i="20"/>
  <c r="AB334" i="20"/>
  <c r="AC334" i="20"/>
  <c r="AD334" i="20"/>
  <c r="AE334" i="20"/>
  <c r="AF334" i="20"/>
  <c r="AG334" i="20"/>
  <c r="T335" i="20" a="1"/>
  <c r="T335" i="20" s="1"/>
  <c r="S335" i="20" a="1"/>
  <c r="S335" i="20" s="1"/>
  <c r="R335" i="20"/>
  <c r="V335" i="20"/>
  <c r="Z335" i="20"/>
  <c r="AA335" i="20"/>
  <c r="AB335" i="20"/>
  <c r="AC335" i="20"/>
  <c r="AD335" i="20"/>
  <c r="AE335" i="20"/>
  <c r="AF335" i="20"/>
  <c r="AG335" i="20"/>
  <c r="T336" i="20" a="1"/>
  <c r="T336" i="20" s="1"/>
  <c r="R336" i="20"/>
  <c r="S336" i="20" a="1"/>
  <c r="S336" i="20" s="1"/>
  <c r="V336" i="20"/>
  <c r="Z336" i="20"/>
  <c r="AA336" i="20"/>
  <c r="AB336" i="20"/>
  <c r="AC336" i="20"/>
  <c r="AD336" i="20"/>
  <c r="AE336" i="20"/>
  <c r="AF336" i="20"/>
  <c r="AG336" i="20"/>
  <c r="T337" i="20" a="1"/>
  <c r="T337" i="20" s="1"/>
  <c r="R337" i="20"/>
  <c r="S337" i="20" a="1"/>
  <c r="S337" i="20" s="1"/>
  <c r="V337" i="20"/>
  <c r="Z337" i="20"/>
  <c r="AA337" i="20"/>
  <c r="AB337" i="20"/>
  <c r="AC337" i="20"/>
  <c r="AD337" i="20"/>
  <c r="AE337" i="20"/>
  <c r="AF337" i="20"/>
  <c r="AG337" i="20"/>
  <c r="T338" i="20" a="1"/>
  <c r="T338" i="20" s="1"/>
  <c r="R338" i="20"/>
  <c r="S338" i="20" a="1"/>
  <c r="S338" i="20" s="1"/>
  <c r="V338" i="20"/>
  <c r="Z338" i="20"/>
  <c r="AA338" i="20"/>
  <c r="AB338" i="20"/>
  <c r="AC338" i="20"/>
  <c r="AD338" i="20"/>
  <c r="AE338" i="20"/>
  <c r="AF338" i="20"/>
  <c r="AG338" i="20"/>
  <c r="T339" i="20" a="1"/>
  <c r="T339" i="20" s="1"/>
  <c r="R339" i="20"/>
  <c r="S339" i="20" a="1"/>
  <c r="S339" i="20" s="1"/>
  <c r="V339" i="20"/>
  <c r="Z339" i="20"/>
  <c r="AA339" i="20"/>
  <c r="AB339" i="20"/>
  <c r="AC339" i="20"/>
  <c r="AD339" i="20"/>
  <c r="AE339" i="20"/>
  <c r="AF339" i="20"/>
  <c r="AG339" i="20"/>
  <c r="T340" i="20" a="1"/>
  <c r="T340" i="20" s="1"/>
  <c r="R340" i="20"/>
  <c r="S340" i="20" a="1"/>
  <c r="S340" i="20" s="1"/>
  <c r="V340" i="20"/>
  <c r="Z340" i="20"/>
  <c r="AA340" i="20"/>
  <c r="AB340" i="20"/>
  <c r="AC340" i="20"/>
  <c r="AD340" i="20"/>
  <c r="AE340" i="20"/>
  <c r="AF340" i="20"/>
  <c r="AG340" i="20"/>
  <c r="T341" i="20" a="1"/>
  <c r="T341" i="20" s="1"/>
  <c r="S341" i="20" a="1"/>
  <c r="S341" i="20" s="1"/>
  <c r="R341" i="20"/>
  <c r="V341" i="20"/>
  <c r="Z341" i="20"/>
  <c r="AA341" i="20"/>
  <c r="AB341" i="20"/>
  <c r="AC341" i="20"/>
  <c r="AD341" i="20"/>
  <c r="AE341" i="20"/>
  <c r="AF341" i="20"/>
  <c r="AG341" i="20"/>
  <c r="T342" i="20" a="1"/>
  <c r="T342" i="20" s="1"/>
  <c r="S342" i="20" a="1"/>
  <c r="S342" i="20" s="1"/>
  <c r="R342" i="20"/>
  <c r="V342" i="20"/>
  <c r="Z342" i="20"/>
  <c r="AA342" i="20"/>
  <c r="AB342" i="20"/>
  <c r="AC342" i="20"/>
  <c r="AD342" i="20"/>
  <c r="AE342" i="20"/>
  <c r="AF342" i="20"/>
  <c r="AG342" i="20"/>
  <c r="T343" i="20" a="1"/>
  <c r="T343" i="20" s="1"/>
  <c r="R343" i="20"/>
  <c r="S343" i="20" a="1"/>
  <c r="S343" i="20" s="1"/>
  <c r="V343" i="20"/>
  <c r="Z343" i="20"/>
  <c r="AA343" i="20"/>
  <c r="AB343" i="20"/>
  <c r="AC343" i="20"/>
  <c r="AD343" i="20"/>
  <c r="AE343" i="20"/>
  <c r="AF343" i="20"/>
  <c r="AG343" i="20"/>
  <c r="T344" i="20" a="1"/>
  <c r="T344" i="20" s="1"/>
  <c r="R344" i="20"/>
  <c r="S344" i="20" a="1"/>
  <c r="S344" i="20" s="1"/>
  <c r="V344" i="20"/>
  <c r="Z344" i="20"/>
  <c r="AA344" i="20"/>
  <c r="AB344" i="20"/>
  <c r="AC344" i="20"/>
  <c r="AD344" i="20"/>
  <c r="AE344" i="20"/>
  <c r="AF344" i="20"/>
  <c r="AG344" i="20"/>
  <c r="T345" i="20" a="1"/>
  <c r="T345" i="20" s="1"/>
  <c r="R345" i="20"/>
  <c r="S345" i="20" a="1"/>
  <c r="S345" i="20" s="1"/>
  <c r="V345" i="20"/>
  <c r="Z345" i="20"/>
  <c r="AA345" i="20"/>
  <c r="AB345" i="20"/>
  <c r="AC345" i="20"/>
  <c r="AD345" i="20"/>
  <c r="AE345" i="20"/>
  <c r="AF345" i="20"/>
  <c r="AG345" i="20"/>
  <c r="T346" i="20" a="1"/>
  <c r="T346" i="20" s="1"/>
  <c r="R346" i="20"/>
  <c r="S346" i="20" a="1"/>
  <c r="S346" i="20" s="1"/>
  <c r="V346" i="20"/>
  <c r="Z346" i="20"/>
  <c r="AA346" i="20"/>
  <c r="AB346" i="20"/>
  <c r="AC346" i="20"/>
  <c r="AD346" i="20"/>
  <c r="AE346" i="20"/>
  <c r="AF346" i="20"/>
  <c r="AG346" i="20"/>
  <c r="T347" i="20" a="1"/>
  <c r="T347" i="20" s="1"/>
  <c r="R347" i="20"/>
  <c r="S347" i="20" a="1"/>
  <c r="S347" i="20" s="1"/>
  <c r="V347" i="20"/>
  <c r="Z347" i="20"/>
  <c r="AA347" i="20"/>
  <c r="AB347" i="20"/>
  <c r="AC347" i="20"/>
  <c r="AD347" i="20"/>
  <c r="AE347" i="20"/>
  <c r="AF347" i="20"/>
  <c r="AG347" i="20"/>
  <c r="T348" i="20" a="1"/>
  <c r="T348" i="20" s="1"/>
  <c r="S348" i="20" a="1"/>
  <c r="S348" i="20" s="1"/>
  <c r="R348" i="20"/>
  <c r="V348" i="20"/>
  <c r="Z348" i="20"/>
  <c r="AA348" i="20"/>
  <c r="AB348" i="20"/>
  <c r="AC348" i="20"/>
  <c r="AD348" i="20"/>
  <c r="AE348" i="20"/>
  <c r="AF348" i="20"/>
  <c r="AG348" i="20"/>
  <c r="T349" i="20" a="1"/>
  <c r="T349" i="20" s="1"/>
  <c r="R349" i="20"/>
  <c r="S349" i="20" a="1"/>
  <c r="S349" i="20" s="1"/>
  <c r="V349" i="20"/>
  <c r="Z349" i="20"/>
  <c r="AA349" i="20"/>
  <c r="AB349" i="20"/>
  <c r="AC349" i="20"/>
  <c r="AD349" i="20"/>
  <c r="AE349" i="20"/>
  <c r="AF349" i="20"/>
  <c r="AG349" i="20"/>
  <c r="T350" i="20" a="1"/>
  <c r="T350" i="20" s="1"/>
  <c r="R350" i="20"/>
  <c r="S350" i="20" a="1"/>
  <c r="S350" i="20" s="1"/>
  <c r="V350" i="20"/>
  <c r="Z350" i="20"/>
  <c r="AA350" i="20"/>
  <c r="AB350" i="20"/>
  <c r="AC350" i="20"/>
  <c r="AD350" i="20"/>
  <c r="AE350" i="20"/>
  <c r="AF350" i="20"/>
  <c r="AG350" i="20"/>
  <c r="T351" i="20" a="1"/>
  <c r="T351" i="20" s="1"/>
  <c r="R351" i="20"/>
  <c r="S351" i="20" a="1"/>
  <c r="S351" i="20" s="1"/>
  <c r="V351" i="20"/>
  <c r="Z351" i="20"/>
  <c r="AA351" i="20"/>
  <c r="AB351" i="20"/>
  <c r="AC351" i="20"/>
  <c r="AD351" i="20"/>
  <c r="AE351" i="20"/>
  <c r="AF351" i="20"/>
  <c r="AG351" i="20"/>
  <c r="T352" i="20" a="1"/>
  <c r="T352" i="20" s="1"/>
  <c r="R352" i="20"/>
  <c r="S352" i="20" a="1"/>
  <c r="S352" i="20" s="1"/>
  <c r="V352" i="20"/>
  <c r="Z352" i="20"/>
  <c r="AA352" i="20"/>
  <c r="AB352" i="20"/>
  <c r="AC352" i="20"/>
  <c r="AD352" i="20"/>
  <c r="AE352" i="20"/>
  <c r="AF352" i="20"/>
  <c r="AG352" i="20"/>
  <c r="T353" i="20" a="1"/>
  <c r="T353" i="20" s="1"/>
  <c r="R353" i="20"/>
  <c r="S353" i="20" a="1"/>
  <c r="S353" i="20" s="1"/>
  <c r="V353" i="20"/>
  <c r="Z353" i="20"/>
  <c r="AA353" i="20"/>
  <c r="AB353" i="20"/>
  <c r="AC353" i="20"/>
  <c r="AD353" i="20"/>
  <c r="AE353" i="20"/>
  <c r="AF353" i="20"/>
  <c r="AG353" i="20"/>
  <c r="T354" i="20" a="1"/>
  <c r="T354" i="20" s="1"/>
  <c r="S354" i="20" a="1"/>
  <c r="S354" i="20" s="1"/>
  <c r="R354" i="20"/>
  <c r="V354" i="20"/>
  <c r="Z354" i="20"/>
  <c r="AA354" i="20"/>
  <c r="AB354" i="20"/>
  <c r="AC354" i="20"/>
  <c r="AD354" i="20"/>
  <c r="AE354" i="20"/>
  <c r="AF354" i="20"/>
  <c r="AG354" i="20"/>
  <c r="T355" i="20" a="1"/>
  <c r="T355" i="20" s="1"/>
  <c r="R355" i="20"/>
  <c r="S355" i="20" a="1"/>
  <c r="S355" i="20" s="1"/>
  <c r="V355" i="20"/>
  <c r="Z355" i="20"/>
  <c r="AA355" i="20"/>
  <c r="AB355" i="20"/>
  <c r="AC355" i="20"/>
  <c r="AD355" i="20"/>
  <c r="AE355" i="20"/>
  <c r="AF355" i="20"/>
  <c r="AG355" i="20"/>
  <c r="T356" i="20" a="1"/>
  <c r="T356" i="20" s="1"/>
  <c r="R356" i="20"/>
  <c r="S356" i="20" a="1"/>
  <c r="S356" i="20" s="1"/>
  <c r="V356" i="20"/>
  <c r="Z356" i="20"/>
  <c r="AA356" i="20"/>
  <c r="AB356" i="20"/>
  <c r="AC356" i="20"/>
  <c r="AD356" i="20"/>
  <c r="AE356" i="20"/>
  <c r="AF356" i="20"/>
  <c r="AG356" i="20"/>
  <c r="T357" i="20" a="1"/>
  <c r="T357" i="20" s="1"/>
  <c r="R357" i="20"/>
  <c r="S357" i="20" a="1"/>
  <c r="S357" i="20" s="1"/>
  <c r="V357" i="20"/>
  <c r="Z357" i="20"/>
  <c r="AA357" i="20"/>
  <c r="AB357" i="20"/>
  <c r="AC357" i="20"/>
  <c r="AD357" i="20"/>
  <c r="AE357" i="20"/>
  <c r="AF357" i="20"/>
  <c r="AG357" i="20"/>
  <c r="T358" i="20" a="1"/>
  <c r="T358" i="20" s="1"/>
  <c r="R358" i="20"/>
  <c r="S358" i="20" a="1"/>
  <c r="S358" i="20" s="1"/>
  <c r="V358" i="20"/>
  <c r="Z358" i="20"/>
  <c r="AA358" i="20"/>
  <c r="AB358" i="20"/>
  <c r="AC358" i="20"/>
  <c r="AD358" i="20"/>
  <c r="AE358" i="20"/>
  <c r="AF358" i="20"/>
  <c r="AG358" i="20"/>
  <c r="T359" i="20" a="1"/>
  <c r="T359" i="20" s="1"/>
  <c r="R359" i="20"/>
  <c r="S359" i="20" a="1"/>
  <c r="S359" i="20" s="1"/>
  <c r="V359" i="20"/>
  <c r="Z359" i="20"/>
  <c r="AA359" i="20"/>
  <c r="AB359" i="20"/>
  <c r="AC359" i="20"/>
  <c r="AD359" i="20"/>
  <c r="AE359" i="20"/>
  <c r="AF359" i="20"/>
  <c r="AG359" i="20"/>
  <c r="T360" i="20" a="1"/>
  <c r="T360" i="20" s="1"/>
  <c r="R360" i="20"/>
  <c r="S360" i="20" a="1"/>
  <c r="S360" i="20" s="1"/>
  <c r="V360" i="20"/>
  <c r="Z360" i="20"/>
  <c r="AA360" i="20"/>
  <c r="AB360" i="20"/>
  <c r="AC360" i="20"/>
  <c r="AD360" i="20"/>
  <c r="AE360" i="20"/>
  <c r="AF360" i="20"/>
  <c r="AG360" i="20"/>
  <c r="T361" i="20" a="1"/>
  <c r="T361" i="20" s="1"/>
  <c r="R361" i="20"/>
  <c r="S361" i="20" a="1"/>
  <c r="S361" i="20" s="1"/>
  <c r="V361" i="20"/>
  <c r="Z361" i="20"/>
  <c r="AA361" i="20"/>
  <c r="AB361" i="20"/>
  <c r="AC361" i="20"/>
  <c r="AD361" i="20"/>
  <c r="AE361" i="20"/>
  <c r="AF361" i="20"/>
  <c r="AG361" i="20"/>
  <c r="T362" i="20" a="1"/>
  <c r="T362" i="20" s="1"/>
  <c r="R362" i="20"/>
  <c r="S362" i="20" a="1"/>
  <c r="S362" i="20" s="1"/>
  <c r="V362" i="20"/>
  <c r="Z362" i="20"/>
  <c r="AA362" i="20"/>
  <c r="AB362" i="20"/>
  <c r="AC362" i="20"/>
  <c r="AD362" i="20"/>
  <c r="AE362" i="20"/>
  <c r="AF362" i="20"/>
  <c r="AG362" i="20"/>
  <c r="T363" i="20" a="1"/>
  <c r="T363" i="20" s="1"/>
  <c r="R363" i="20"/>
  <c r="S363" i="20" a="1"/>
  <c r="S363" i="20" s="1"/>
  <c r="V363" i="20"/>
  <c r="Z363" i="20"/>
  <c r="AA363" i="20"/>
  <c r="AB363" i="20"/>
  <c r="AC363" i="20"/>
  <c r="AD363" i="20"/>
  <c r="AE363" i="20"/>
  <c r="AF363" i="20"/>
  <c r="AG363" i="20"/>
  <c r="T364" i="20" a="1"/>
  <c r="T364" i="20" s="1"/>
  <c r="R364" i="20"/>
  <c r="S364" i="20" a="1"/>
  <c r="S364" i="20" s="1"/>
  <c r="V364" i="20"/>
  <c r="Z364" i="20"/>
  <c r="AA364" i="20"/>
  <c r="AB364" i="20"/>
  <c r="AC364" i="20"/>
  <c r="AD364" i="20"/>
  <c r="AE364" i="20"/>
  <c r="AF364" i="20"/>
  <c r="AG364" i="20"/>
  <c r="T365" i="20" a="1"/>
  <c r="T365" i="20" s="1"/>
  <c r="S365" i="20" a="1"/>
  <c r="S365" i="20" s="1"/>
  <c r="R365" i="20"/>
  <c r="V365" i="20"/>
  <c r="Z365" i="20"/>
  <c r="AA365" i="20"/>
  <c r="AB365" i="20"/>
  <c r="AC365" i="20"/>
  <c r="AD365" i="20"/>
  <c r="AE365" i="20"/>
  <c r="AF365" i="20"/>
  <c r="AG365" i="20"/>
  <c r="T366" i="20" a="1"/>
  <c r="T366" i="20" s="1"/>
  <c r="R366" i="20"/>
  <c r="S366" i="20" a="1"/>
  <c r="S366" i="20" s="1"/>
  <c r="V366" i="20"/>
  <c r="Z366" i="20"/>
  <c r="AA366" i="20"/>
  <c r="AB366" i="20"/>
  <c r="AC366" i="20"/>
  <c r="AD366" i="20"/>
  <c r="AE366" i="20"/>
  <c r="AF366" i="20"/>
  <c r="AG366" i="20"/>
  <c r="T367" i="20" a="1"/>
  <c r="T367" i="20" s="1"/>
  <c r="R367" i="20"/>
  <c r="S367" i="20" a="1"/>
  <c r="S367" i="20" s="1"/>
  <c r="V367" i="20"/>
  <c r="Z367" i="20"/>
  <c r="AA367" i="20"/>
  <c r="AB367" i="20"/>
  <c r="AC367" i="20"/>
  <c r="AD367" i="20"/>
  <c r="AE367" i="20"/>
  <c r="AF367" i="20"/>
  <c r="AG367" i="20"/>
  <c r="T368" i="20" a="1"/>
  <c r="T368" i="20" s="1"/>
  <c r="R368" i="20"/>
  <c r="S368" i="20" a="1"/>
  <c r="S368" i="20" s="1"/>
  <c r="V368" i="20"/>
  <c r="Z368" i="20"/>
  <c r="AA368" i="20"/>
  <c r="AB368" i="20"/>
  <c r="AC368" i="20"/>
  <c r="AD368" i="20"/>
  <c r="AE368" i="20"/>
  <c r="AF368" i="20"/>
  <c r="AG368" i="20"/>
  <c r="T369" i="20" a="1"/>
  <c r="T369" i="20" s="1"/>
  <c r="R369" i="20"/>
  <c r="S369" i="20" a="1"/>
  <c r="S369" i="20" s="1"/>
  <c r="V369" i="20"/>
  <c r="Z369" i="20"/>
  <c r="AA369" i="20"/>
  <c r="AB369" i="20"/>
  <c r="AC369" i="20"/>
  <c r="AD369" i="20"/>
  <c r="AE369" i="20"/>
  <c r="AF369" i="20"/>
  <c r="AG369" i="20"/>
  <c r="T370" i="20" a="1"/>
  <c r="T370" i="20" s="1"/>
  <c r="R370" i="20"/>
  <c r="S370" i="20" a="1"/>
  <c r="S370" i="20" s="1"/>
  <c r="V370" i="20"/>
  <c r="Z370" i="20"/>
  <c r="AA370" i="20"/>
  <c r="AB370" i="20"/>
  <c r="AC370" i="20"/>
  <c r="AD370" i="20"/>
  <c r="AE370" i="20"/>
  <c r="AF370" i="20"/>
  <c r="AG370" i="20"/>
  <c r="T371" i="20" a="1"/>
  <c r="T371" i="20" s="1"/>
  <c r="R371" i="20"/>
  <c r="S371" i="20" a="1"/>
  <c r="S371" i="20" s="1"/>
  <c r="V371" i="20"/>
  <c r="Z371" i="20"/>
  <c r="AA371" i="20"/>
  <c r="AB371" i="20"/>
  <c r="AC371" i="20"/>
  <c r="AD371" i="20"/>
  <c r="AE371" i="20"/>
  <c r="AF371" i="20"/>
  <c r="AG371" i="20"/>
  <c r="T372" i="20" a="1"/>
  <c r="T372" i="20" s="1"/>
  <c r="R372" i="20"/>
  <c r="S372" i="20" a="1"/>
  <c r="S372" i="20" s="1"/>
  <c r="V372" i="20"/>
  <c r="Z372" i="20"/>
  <c r="AA372" i="20"/>
  <c r="AB372" i="20"/>
  <c r="AC372" i="20"/>
  <c r="AD372" i="20"/>
  <c r="AE372" i="20"/>
  <c r="AF372" i="20"/>
  <c r="AG372" i="20"/>
  <c r="T373" i="20" a="1"/>
  <c r="T373" i="20" s="1"/>
  <c r="R373" i="20"/>
  <c r="S373" i="20" a="1"/>
  <c r="S373" i="20" s="1"/>
  <c r="V373" i="20"/>
  <c r="Z373" i="20"/>
  <c r="AA373" i="20"/>
  <c r="AB373" i="20"/>
  <c r="AC373" i="20"/>
  <c r="AD373" i="20"/>
  <c r="AE373" i="20"/>
  <c r="AF373" i="20"/>
  <c r="AG373" i="20"/>
  <c r="T374" i="20" a="1"/>
  <c r="T374" i="20" s="1"/>
  <c r="S374" i="20" a="1"/>
  <c r="S374" i="20" s="1"/>
  <c r="R374" i="20"/>
  <c r="V374" i="20"/>
  <c r="Z374" i="20"/>
  <c r="AA374" i="20"/>
  <c r="AB374" i="20"/>
  <c r="AC374" i="20"/>
  <c r="AD374" i="20"/>
  <c r="AE374" i="20"/>
  <c r="AF374" i="20"/>
  <c r="AG374" i="20"/>
  <c r="T375" i="20" a="1"/>
  <c r="T375" i="20" s="1"/>
  <c r="R375" i="20"/>
  <c r="S375" i="20" a="1"/>
  <c r="S375" i="20" s="1"/>
  <c r="V375" i="20"/>
  <c r="Z375" i="20"/>
  <c r="AA375" i="20"/>
  <c r="AB375" i="20"/>
  <c r="AC375" i="20"/>
  <c r="AD375" i="20"/>
  <c r="AE375" i="20"/>
  <c r="AF375" i="20"/>
  <c r="AG375" i="20"/>
  <c r="T376" i="20" a="1"/>
  <c r="T376" i="20" s="1"/>
  <c r="R376" i="20"/>
  <c r="S376" i="20" a="1"/>
  <c r="S376" i="20" s="1"/>
  <c r="V376" i="20"/>
  <c r="Z376" i="20"/>
  <c r="AA376" i="20"/>
  <c r="AB376" i="20"/>
  <c r="AC376" i="20"/>
  <c r="AD376" i="20"/>
  <c r="AE376" i="20"/>
  <c r="AF376" i="20"/>
  <c r="AG376" i="20"/>
  <c r="T377" i="20" a="1"/>
  <c r="T377" i="20" s="1"/>
  <c r="R377" i="20"/>
  <c r="S377" i="20" a="1"/>
  <c r="S377" i="20" s="1"/>
  <c r="V377" i="20"/>
  <c r="Z377" i="20"/>
  <c r="AA377" i="20"/>
  <c r="AB377" i="20"/>
  <c r="AC377" i="20"/>
  <c r="AD377" i="20"/>
  <c r="AE377" i="20"/>
  <c r="AF377" i="20"/>
  <c r="AG377" i="20"/>
  <c r="T378" i="20" a="1"/>
  <c r="T378" i="20" s="1"/>
  <c r="R378" i="20"/>
  <c r="S378" i="20" a="1"/>
  <c r="S378" i="20" s="1"/>
  <c r="V378" i="20"/>
  <c r="Z378" i="20"/>
  <c r="AA378" i="20"/>
  <c r="AB378" i="20"/>
  <c r="AC378" i="20"/>
  <c r="AD378" i="20"/>
  <c r="AE378" i="20"/>
  <c r="AF378" i="20"/>
  <c r="AG378" i="20"/>
  <c r="T379" i="20" a="1"/>
  <c r="T379" i="20" s="1"/>
  <c r="R379" i="20"/>
  <c r="S379" i="20" a="1"/>
  <c r="S379" i="20" s="1"/>
  <c r="V379" i="20"/>
  <c r="Z379" i="20"/>
  <c r="AA379" i="20"/>
  <c r="AB379" i="20"/>
  <c r="AC379" i="20"/>
  <c r="AD379" i="20"/>
  <c r="AE379" i="20"/>
  <c r="AF379" i="20"/>
  <c r="AG379" i="20"/>
  <c r="T380" i="20" a="1"/>
  <c r="T380" i="20" s="1"/>
  <c r="S380" i="20" a="1"/>
  <c r="S380" i="20" s="1"/>
  <c r="R380" i="20"/>
  <c r="V380" i="20"/>
  <c r="Z380" i="20"/>
  <c r="AA380" i="20"/>
  <c r="AB380" i="20"/>
  <c r="AC380" i="20"/>
  <c r="AD380" i="20"/>
  <c r="AE380" i="20"/>
  <c r="AF380" i="20"/>
  <c r="AG380" i="20"/>
  <c r="T381" i="20" a="1"/>
  <c r="T381" i="20" s="1"/>
  <c r="R381" i="20"/>
  <c r="S381" i="20" a="1"/>
  <c r="S381" i="20" s="1"/>
  <c r="V381" i="20"/>
  <c r="Z381" i="20"/>
  <c r="AA381" i="20"/>
  <c r="AB381" i="20"/>
  <c r="AC381" i="20"/>
  <c r="AD381" i="20"/>
  <c r="AE381" i="20"/>
  <c r="AF381" i="20"/>
  <c r="AG381" i="20"/>
  <c r="T382" i="20" a="1"/>
  <c r="T382" i="20" s="1"/>
  <c r="R382" i="20"/>
  <c r="S382" i="20" a="1"/>
  <c r="S382" i="20" s="1"/>
  <c r="V382" i="20"/>
  <c r="Z382" i="20"/>
  <c r="AA382" i="20"/>
  <c r="AB382" i="20"/>
  <c r="AC382" i="20"/>
  <c r="AD382" i="20"/>
  <c r="AE382" i="20"/>
  <c r="AF382" i="20"/>
  <c r="AG382" i="20"/>
  <c r="T383" i="20" a="1"/>
  <c r="T383" i="20" s="1"/>
  <c r="R383" i="20"/>
  <c r="S383" i="20" a="1"/>
  <c r="S383" i="20" s="1"/>
  <c r="V383" i="20"/>
  <c r="Z383" i="20"/>
  <c r="AA383" i="20"/>
  <c r="AB383" i="20"/>
  <c r="AC383" i="20"/>
  <c r="AD383" i="20"/>
  <c r="AE383" i="20"/>
  <c r="AF383" i="20"/>
  <c r="AG383" i="20"/>
  <c r="T384" i="20" a="1"/>
  <c r="T384" i="20" s="1"/>
  <c r="R384" i="20"/>
  <c r="S384" i="20" a="1"/>
  <c r="S384" i="20" s="1"/>
  <c r="V384" i="20"/>
  <c r="Z384" i="20"/>
  <c r="AA384" i="20"/>
  <c r="AB384" i="20"/>
  <c r="AC384" i="20"/>
  <c r="AD384" i="20"/>
  <c r="AE384" i="20"/>
  <c r="AF384" i="20"/>
  <c r="AG384" i="20"/>
  <c r="T385" i="20" a="1"/>
  <c r="T385" i="20" s="1"/>
  <c r="R385" i="20"/>
  <c r="S385" i="20" a="1"/>
  <c r="S385" i="20" s="1"/>
  <c r="V385" i="20"/>
  <c r="Z385" i="20"/>
  <c r="AA385" i="20"/>
  <c r="AB385" i="20"/>
  <c r="AC385" i="20"/>
  <c r="AD385" i="20"/>
  <c r="AE385" i="20"/>
  <c r="AF385" i="20"/>
  <c r="AG385" i="20"/>
  <c r="T386" i="20" a="1"/>
  <c r="T386" i="20" s="1"/>
  <c r="R386" i="20"/>
  <c r="S386" i="20" a="1"/>
  <c r="S386" i="20" s="1"/>
  <c r="V386" i="20"/>
  <c r="Z386" i="20"/>
  <c r="AA386" i="20"/>
  <c r="AB386" i="20"/>
  <c r="AC386" i="20"/>
  <c r="AD386" i="20"/>
  <c r="AE386" i="20"/>
  <c r="AF386" i="20"/>
  <c r="AG386" i="20"/>
  <c r="T387" i="20" a="1"/>
  <c r="T387" i="20" s="1"/>
  <c r="R387" i="20"/>
  <c r="S387" i="20" a="1"/>
  <c r="S387" i="20" s="1"/>
  <c r="V387" i="20"/>
  <c r="Z387" i="20"/>
  <c r="AA387" i="20"/>
  <c r="AB387" i="20"/>
  <c r="AC387" i="20"/>
  <c r="AD387" i="20"/>
  <c r="AE387" i="20"/>
  <c r="AF387" i="20"/>
  <c r="AG387" i="20"/>
  <c r="T388" i="20" a="1"/>
  <c r="T388" i="20" s="1"/>
  <c r="R388" i="20"/>
  <c r="S388" i="20" a="1"/>
  <c r="S388" i="20" s="1"/>
  <c r="V388" i="20"/>
  <c r="Z388" i="20"/>
  <c r="AA388" i="20"/>
  <c r="AB388" i="20"/>
  <c r="AC388" i="20"/>
  <c r="AD388" i="20"/>
  <c r="AE388" i="20"/>
  <c r="AF388" i="20"/>
  <c r="AG388" i="20"/>
  <c r="T389" i="20" a="1"/>
  <c r="T389" i="20" s="1"/>
  <c r="R389" i="20"/>
  <c r="S389" i="20" a="1"/>
  <c r="S389" i="20" s="1"/>
  <c r="V389" i="20"/>
  <c r="Z389" i="20"/>
  <c r="AA389" i="20"/>
  <c r="AB389" i="20"/>
  <c r="AC389" i="20"/>
  <c r="AD389" i="20"/>
  <c r="AE389" i="20"/>
  <c r="AF389" i="20"/>
  <c r="AG389" i="20"/>
  <c r="T390" i="20" a="1"/>
  <c r="T390" i="20" s="1"/>
  <c r="R390" i="20"/>
  <c r="S390" i="20" a="1"/>
  <c r="S390" i="20" s="1"/>
  <c r="V390" i="20"/>
  <c r="Z390" i="20"/>
  <c r="AA390" i="20"/>
  <c r="AB390" i="20"/>
  <c r="AC390" i="20"/>
  <c r="AD390" i="20"/>
  <c r="AE390" i="20"/>
  <c r="AF390" i="20"/>
  <c r="AG390" i="20"/>
  <c r="T391" i="20" a="1"/>
  <c r="T391" i="20" s="1"/>
  <c r="R391" i="20"/>
  <c r="S391" i="20" a="1"/>
  <c r="S391" i="20" s="1"/>
  <c r="V391" i="20"/>
  <c r="Z391" i="20"/>
  <c r="AA391" i="20"/>
  <c r="AB391" i="20"/>
  <c r="AC391" i="20"/>
  <c r="AD391" i="20"/>
  <c r="AE391" i="20"/>
  <c r="AF391" i="20"/>
  <c r="AG391" i="20"/>
  <c r="T392" i="20" a="1"/>
  <c r="T392" i="20" s="1"/>
  <c r="R392" i="20"/>
  <c r="S392" i="20" a="1"/>
  <c r="S392" i="20" s="1"/>
  <c r="V392" i="20"/>
  <c r="Z392" i="20"/>
  <c r="AA392" i="20"/>
  <c r="AB392" i="20"/>
  <c r="AC392" i="20"/>
  <c r="AD392" i="20"/>
  <c r="AE392" i="20"/>
  <c r="AF392" i="20"/>
  <c r="AG392" i="20"/>
  <c r="T393" i="20" a="1"/>
  <c r="T393" i="20" s="1"/>
  <c r="R393" i="20"/>
  <c r="S393" i="20" a="1"/>
  <c r="S393" i="20" s="1"/>
  <c r="V393" i="20"/>
  <c r="Z393" i="20"/>
  <c r="AA393" i="20"/>
  <c r="AB393" i="20"/>
  <c r="AC393" i="20"/>
  <c r="AD393" i="20"/>
  <c r="AE393" i="20"/>
  <c r="AF393" i="20"/>
  <c r="AG393" i="20"/>
  <c r="T394" i="20" a="1"/>
  <c r="T394" i="20" s="1"/>
  <c r="R394" i="20"/>
  <c r="S394" i="20" a="1"/>
  <c r="S394" i="20" s="1"/>
  <c r="V394" i="20"/>
  <c r="Z394" i="20"/>
  <c r="AA394" i="20"/>
  <c r="AB394" i="20"/>
  <c r="AC394" i="20"/>
  <c r="AD394" i="20"/>
  <c r="AE394" i="20"/>
  <c r="AF394" i="20"/>
  <c r="AG394" i="20"/>
  <c r="T395" i="20" a="1"/>
  <c r="T395" i="20" s="1"/>
  <c r="R395" i="20"/>
  <c r="S395" i="20" a="1"/>
  <c r="S395" i="20" s="1"/>
  <c r="V395" i="20"/>
  <c r="Z395" i="20"/>
  <c r="AA395" i="20"/>
  <c r="AB395" i="20"/>
  <c r="AC395" i="20"/>
  <c r="AD395" i="20"/>
  <c r="AE395" i="20"/>
  <c r="AF395" i="20"/>
  <c r="AG395" i="20"/>
  <c r="T396" i="20" a="1"/>
  <c r="T396" i="20" s="1"/>
  <c r="R396" i="20"/>
  <c r="S396" i="20" a="1"/>
  <c r="S396" i="20" s="1"/>
  <c r="V396" i="20"/>
  <c r="Z396" i="20"/>
  <c r="AA396" i="20"/>
  <c r="AB396" i="20"/>
  <c r="AC396" i="20"/>
  <c r="AD396" i="20"/>
  <c r="AE396" i="20"/>
  <c r="AF396" i="20"/>
  <c r="AG396" i="20"/>
  <c r="T397" i="20" a="1"/>
  <c r="T397" i="20" s="1"/>
  <c r="R397" i="20"/>
  <c r="S397" i="20" a="1"/>
  <c r="S397" i="20" s="1"/>
  <c r="V397" i="20"/>
  <c r="Z397" i="20"/>
  <c r="AA397" i="20"/>
  <c r="AB397" i="20"/>
  <c r="AC397" i="20"/>
  <c r="AD397" i="20"/>
  <c r="AE397" i="20"/>
  <c r="AF397" i="20"/>
  <c r="AG397" i="20"/>
  <c r="T398" i="20" a="1"/>
  <c r="T398" i="20" s="1"/>
  <c r="R398" i="20"/>
  <c r="S398" i="20" a="1"/>
  <c r="S398" i="20" s="1"/>
  <c r="V398" i="20"/>
  <c r="Z398" i="20"/>
  <c r="AA398" i="20"/>
  <c r="AB398" i="20"/>
  <c r="AC398" i="20"/>
  <c r="AD398" i="20"/>
  <c r="AE398" i="20"/>
  <c r="AF398" i="20"/>
  <c r="AG398" i="20"/>
  <c r="T399" i="20" a="1"/>
  <c r="T399" i="20" s="1"/>
  <c r="R399" i="20"/>
  <c r="S399" i="20" a="1"/>
  <c r="S399" i="20" s="1"/>
  <c r="V399" i="20"/>
  <c r="Z399" i="20"/>
  <c r="AA399" i="20"/>
  <c r="AB399" i="20"/>
  <c r="AC399" i="20"/>
  <c r="AD399" i="20"/>
  <c r="AE399" i="20"/>
  <c r="AF399" i="20"/>
  <c r="AG399" i="20"/>
  <c r="T400" i="20" a="1"/>
  <c r="T400" i="20" s="1"/>
  <c r="R400" i="20"/>
  <c r="S400" i="20" a="1"/>
  <c r="S400" i="20" s="1"/>
  <c r="V400" i="20"/>
  <c r="Z400" i="20"/>
  <c r="AA400" i="20"/>
  <c r="AB400" i="20"/>
  <c r="AC400" i="20"/>
  <c r="AD400" i="20"/>
  <c r="AE400" i="20"/>
  <c r="AF400" i="20"/>
  <c r="AG400" i="20"/>
  <c r="T401" i="20" a="1"/>
  <c r="T401" i="20" s="1"/>
  <c r="R401" i="20"/>
  <c r="S401" i="20" a="1"/>
  <c r="S401" i="20" s="1"/>
  <c r="V401" i="20"/>
  <c r="Z401" i="20"/>
  <c r="AA401" i="20"/>
  <c r="AB401" i="20"/>
  <c r="AC401" i="20"/>
  <c r="AD401" i="20"/>
  <c r="AE401" i="20"/>
  <c r="AF401" i="20"/>
  <c r="AG401" i="20"/>
  <c r="T402" i="20" a="1"/>
  <c r="T402" i="20" s="1"/>
  <c r="R402" i="20"/>
  <c r="S402" i="20" a="1"/>
  <c r="S402" i="20" s="1"/>
  <c r="V402" i="20"/>
  <c r="Z402" i="20"/>
  <c r="AA402" i="20"/>
  <c r="AB402" i="20"/>
  <c r="AC402" i="20"/>
  <c r="AD402" i="20"/>
  <c r="AE402" i="20"/>
  <c r="AF402" i="20"/>
  <c r="AG402" i="20"/>
  <c r="T403" i="20" a="1"/>
  <c r="T403" i="20" s="1"/>
  <c r="R403" i="20"/>
  <c r="S403" i="20" a="1"/>
  <c r="S403" i="20" s="1"/>
  <c r="V403" i="20"/>
  <c r="Z403" i="20"/>
  <c r="AA403" i="20"/>
  <c r="AB403" i="20"/>
  <c r="AC403" i="20"/>
  <c r="AD403" i="20"/>
  <c r="AE403" i="20"/>
  <c r="AF403" i="20"/>
  <c r="AG403" i="20"/>
  <c r="T404" i="20" a="1"/>
  <c r="T404" i="20" s="1"/>
  <c r="S404" i="20" a="1"/>
  <c r="S404" i="20" s="1"/>
  <c r="R404" i="20"/>
  <c r="V404" i="20"/>
  <c r="Z404" i="20"/>
  <c r="AA404" i="20"/>
  <c r="AB404" i="20"/>
  <c r="AC404" i="20"/>
  <c r="AD404" i="20"/>
  <c r="AE404" i="20"/>
  <c r="AF404" i="20"/>
  <c r="AG404" i="20"/>
  <c r="T405" i="20" a="1"/>
  <c r="T405" i="20" s="1"/>
  <c r="R405" i="20"/>
  <c r="S405" i="20" a="1"/>
  <c r="S405" i="20" s="1"/>
  <c r="V405" i="20"/>
  <c r="Z405" i="20"/>
  <c r="AA405" i="20"/>
  <c r="AB405" i="20"/>
  <c r="AC405" i="20"/>
  <c r="AD405" i="20"/>
  <c r="AE405" i="20"/>
  <c r="AF405" i="20"/>
  <c r="AG405" i="20"/>
  <c r="T406" i="20" a="1"/>
  <c r="T406" i="20" s="1"/>
  <c r="S406" i="20" a="1"/>
  <c r="S406" i="20" s="1"/>
  <c r="R406" i="20"/>
  <c r="V406" i="20"/>
  <c r="Z406" i="20"/>
  <c r="AA406" i="20"/>
  <c r="AB406" i="20"/>
  <c r="AC406" i="20"/>
  <c r="AD406" i="20"/>
  <c r="AE406" i="20"/>
  <c r="AF406" i="20"/>
  <c r="AG406" i="20"/>
  <c r="T407" i="20" a="1"/>
  <c r="T407" i="20" s="1"/>
  <c r="R407" i="20"/>
  <c r="S407" i="20" a="1"/>
  <c r="S407" i="20" s="1"/>
  <c r="V407" i="20"/>
  <c r="Z407" i="20"/>
  <c r="AA407" i="20"/>
  <c r="AB407" i="20"/>
  <c r="AC407" i="20"/>
  <c r="AD407" i="20"/>
  <c r="AE407" i="20"/>
  <c r="AF407" i="20"/>
  <c r="AG407" i="20"/>
  <c r="T408" i="20" a="1"/>
  <c r="T408" i="20" s="1"/>
  <c r="R408" i="20"/>
  <c r="S408" i="20" a="1"/>
  <c r="S408" i="20" s="1"/>
  <c r="V408" i="20"/>
  <c r="Z408" i="20"/>
  <c r="AA408" i="20"/>
  <c r="AB408" i="20"/>
  <c r="AC408" i="20"/>
  <c r="AD408" i="20"/>
  <c r="AE408" i="20"/>
  <c r="AF408" i="20"/>
  <c r="AG408" i="20"/>
  <c r="T409" i="20" a="1"/>
  <c r="T409" i="20" s="1"/>
  <c r="R409" i="20"/>
  <c r="S409" i="20" a="1"/>
  <c r="S409" i="20" s="1"/>
  <c r="V409" i="20"/>
  <c r="Z409" i="20"/>
  <c r="AA409" i="20"/>
  <c r="AB409" i="20"/>
  <c r="AC409" i="20"/>
  <c r="AD409" i="20"/>
  <c r="AE409" i="20"/>
  <c r="AF409" i="20"/>
  <c r="AG409" i="20"/>
  <c r="T410" i="20" a="1"/>
  <c r="T410" i="20" s="1"/>
  <c r="S410" i="20" a="1"/>
  <c r="S410" i="20" s="1"/>
  <c r="R410" i="20"/>
  <c r="V410" i="20"/>
  <c r="Z410" i="20"/>
  <c r="AA410" i="20"/>
  <c r="AB410" i="20"/>
  <c r="AC410" i="20"/>
  <c r="AD410" i="20"/>
  <c r="AE410" i="20"/>
  <c r="AF410" i="20"/>
  <c r="AG410" i="20"/>
  <c r="T411" i="20" a="1"/>
  <c r="T411" i="20" s="1"/>
  <c r="R411" i="20"/>
  <c r="S411" i="20" a="1"/>
  <c r="S411" i="20" s="1"/>
  <c r="V411" i="20"/>
  <c r="Z411" i="20"/>
  <c r="AA411" i="20"/>
  <c r="AB411" i="20"/>
  <c r="AC411" i="20"/>
  <c r="AD411" i="20"/>
  <c r="AE411" i="20"/>
  <c r="AF411" i="20"/>
  <c r="AG411" i="20"/>
  <c r="T412" i="20" a="1"/>
  <c r="T412" i="20" s="1"/>
  <c r="R412" i="20"/>
  <c r="S412" i="20" a="1"/>
  <c r="S412" i="20" s="1"/>
  <c r="V412" i="20"/>
  <c r="Z412" i="20"/>
  <c r="AA412" i="20"/>
  <c r="AB412" i="20"/>
  <c r="AC412" i="20"/>
  <c r="AD412" i="20"/>
  <c r="AE412" i="20"/>
  <c r="AF412" i="20"/>
  <c r="AG412" i="20"/>
  <c r="T413" i="20" a="1"/>
  <c r="T413" i="20" s="1"/>
  <c r="R413" i="20"/>
  <c r="S413" i="20" a="1"/>
  <c r="S413" i="20" s="1"/>
  <c r="V413" i="20"/>
  <c r="Z413" i="20"/>
  <c r="AA413" i="20"/>
  <c r="AB413" i="20"/>
  <c r="AC413" i="20"/>
  <c r="AD413" i="20"/>
  <c r="AE413" i="20"/>
  <c r="AF413" i="20"/>
  <c r="AG413" i="20"/>
  <c r="V414" i="20"/>
  <c r="T415" i="20" a="1"/>
  <c r="T415" i="20" s="1"/>
  <c r="S415" i="20" a="1"/>
  <c r="S415" i="20" s="1"/>
  <c r="R415" i="20"/>
  <c r="V415" i="20"/>
  <c r="Z415" i="20"/>
  <c r="AA415" i="20"/>
  <c r="AB415" i="20"/>
  <c r="AC415" i="20"/>
  <c r="AD415" i="20"/>
  <c r="AE415" i="20"/>
  <c r="AF415" i="20"/>
  <c r="AG415" i="20"/>
  <c r="T416" i="20" a="1"/>
  <c r="T416" i="20" s="1"/>
  <c r="S416" i="20" a="1"/>
  <c r="S416" i="20" s="1"/>
  <c r="R416" i="20"/>
  <c r="V416" i="20"/>
  <c r="Z416" i="20"/>
  <c r="AA416" i="20"/>
  <c r="AB416" i="20"/>
  <c r="AC416" i="20"/>
  <c r="AD416" i="20"/>
  <c r="AE416" i="20"/>
  <c r="AF416" i="20"/>
  <c r="AG416" i="20"/>
  <c r="T417" i="20" a="1"/>
  <c r="T417" i="20" s="1"/>
  <c r="R417" i="20"/>
  <c r="S417" i="20" a="1"/>
  <c r="S417" i="20" s="1"/>
  <c r="V417" i="20"/>
  <c r="Z417" i="20"/>
  <c r="AA417" i="20"/>
  <c r="AB417" i="20"/>
  <c r="AC417" i="20"/>
  <c r="AD417" i="20"/>
  <c r="AE417" i="20"/>
  <c r="AF417" i="20"/>
  <c r="AG417" i="20"/>
  <c r="T418" i="20" a="1"/>
  <c r="T418" i="20" s="1"/>
  <c r="R418" i="20"/>
  <c r="S418" i="20" a="1"/>
  <c r="S418" i="20" s="1"/>
  <c r="V418" i="20"/>
  <c r="Z418" i="20"/>
  <c r="AA418" i="20"/>
  <c r="AB418" i="20"/>
  <c r="AC418" i="20"/>
  <c r="AD418" i="20"/>
  <c r="AE418" i="20"/>
  <c r="AF418" i="20"/>
  <c r="AG418" i="20"/>
  <c r="T419" i="20" a="1"/>
  <c r="T419" i="20" s="1"/>
  <c r="R419" i="20"/>
  <c r="S419" i="20" a="1"/>
  <c r="S419" i="20" s="1"/>
  <c r="V419" i="20"/>
  <c r="Z419" i="20"/>
  <c r="AA419" i="20"/>
  <c r="AB419" i="20"/>
  <c r="AC419" i="20"/>
  <c r="AD419" i="20"/>
  <c r="AE419" i="20"/>
  <c r="AF419" i="20"/>
  <c r="AG419" i="20"/>
  <c r="T420" i="20" a="1"/>
  <c r="T420" i="20" s="1"/>
  <c r="R420" i="20"/>
  <c r="S420" i="20" a="1"/>
  <c r="S420" i="20" s="1"/>
  <c r="V420" i="20"/>
  <c r="Z420" i="20"/>
  <c r="AA420" i="20"/>
  <c r="AB420" i="20"/>
  <c r="AC420" i="20"/>
  <c r="AD420" i="20"/>
  <c r="AE420" i="20"/>
  <c r="AF420" i="20"/>
  <c r="AG420" i="20"/>
  <c r="T421" i="20" a="1"/>
  <c r="T421" i="20" s="1"/>
  <c r="R421" i="20"/>
  <c r="S421" i="20" a="1"/>
  <c r="S421" i="20" s="1"/>
  <c r="V421" i="20"/>
  <c r="Z421" i="20"/>
  <c r="AA421" i="20"/>
  <c r="AB421" i="20"/>
  <c r="AC421" i="20"/>
  <c r="AD421" i="20"/>
  <c r="AE421" i="20"/>
  <c r="AF421" i="20"/>
  <c r="AG421" i="20"/>
  <c r="T422" i="20" a="1"/>
  <c r="T422" i="20" s="1"/>
  <c r="R422" i="20"/>
  <c r="S422" i="20" a="1"/>
  <c r="S422" i="20" s="1"/>
  <c r="V422" i="20"/>
  <c r="Z422" i="20"/>
  <c r="AA422" i="20"/>
  <c r="AB422" i="20"/>
  <c r="AC422" i="20"/>
  <c r="AD422" i="20"/>
  <c r="AE422" i="20"/>
  <c r="AF422" i="20"/>
  <c r="AG422" i="20"/>
  <c r="T423" i="20" a="1"/>
  <c r="T423" i="20" s="1"/>
  <c r="R423" i="20"/>
  <c r="S423" i="20" a="1"/>
  <c r="S423" i="20" s="1"/>
  <c r="V423" i="20"/>
  <c r="Z423" i="20"/>
  <c r="AA423" i="20"/>
  <c r="AB423" i="20"/>
  <c r="AC423" i="20"/>
  <c r="AD423" i="20"/>
  <c r="AE423" i="20"/>
  <c r="AF423" i="20"/>
  <c r="AG423" i="20"/>
  <c r="T424" i="20" a="1"/>
  <c r="T424" i="20" s="1"/>
  <c r="S424" i="20" a="1"/>
  <c r="S424" i="20" s="1"/>
  <c r="R424" i="20"/>
  <c r="V424" i="20"/>
  <c r="Z424" i="20"/>
  <c r="AA424" i="20"/>
  <c r="AB424" i="20"/>
  <c r="AC424" i="20"/>
  <c r="AD424" i="20"/>
  <c r="AE424" i="20"/>
  <c r="AF424" i="20"/>
  <c r="AG424" i="20"/>
  <c r="T425" i="20" a="1"/>
  <c r="T425" i="20" s="1"/>
  <c r="R425" i="20"/>
  <c r="S425" i="20" a="1"/>
  <c r="S425" i="20" s="1"/>
  <c r="V425" i="20"/>
  <c r="Z425" i="20"/>
  <c r="AA425" i="20"/>
  <c r="AB425" i="20"/>
  <c r="AC425" i="20"/>
  <c r="AD425" i="20"/>
  <c r="AE425" i="20"/>
  <c r="AF425" i="20"/>
  <c r="AG425" i="20"/>
  <c r="T426" i="20" a="1"/>
  <c r="T426" i="20" s="1"/>
  <c r="R426" i="20"/>
  <c r="S426" i="20" a="1"/>
  <c r="S426" i="20" s="1"/>
  <c r="V426" i="20"/>
  <c r="Z426" i="20"/>
  <c r="AA426" i="20"/>
  <c r="AB426" i="20"/>
  <c r="AC426" i="20"/>
  <c r="AD426" i="20"/>
  <c r="AE426" i="20"/>
  <c r="AF426" i="20"/>
  <c r="AG426" i="20"/>
  <c r="T427" i="20" a="1"/>
  <c r="T427" i="20" s="1"/>
  <c r="R427" i="20"/>
  <c r="S427" i="20" a="1"/>
  <c r="S427" i="20" s="1"/>
  <c r="V427" i="20"/>
  <c r="Z427" i="20"/>
  <c r="AA427" i="20"/>
  <c r="AB427" i="20"/>
  <c r="AC427" i="20"/>
  <c r="AD427" i="20"/>
  <c r="AE427" i="20"/>
  <c r="AF427" i="20"/>
  <c r="AG427" i="20"/>
  <c r="T428" i="20" a="1"/>
  <c r="T428" i="20" s="1"/>
  <c r="R428" i="20"/>
  <c r="S428" i="20" a="1"/>
  <c r="S428" i="20" s="1"/>
  <c r="V428" i="20"/>
  <c r="Z428" i="20"/>
  <c r="AA428" i="20"/>
  <c r="AB428" i="20"/>
  <c r="AC428" i="20"/>
  <c r="AD428" i="20"/>
  <c r="AE428" i="20"/>
  <c r="AF428" i="20"/>
  <c r="AG428" i="20"/>
  <c r="T429" i="20" a="1"/>
  <c r="T429" i="20" s="1"/>
  <c r="R429" i="20"/>
  <c r="S429" i="20" a="1"/>
  <c r="S429" i="20" s="1"/>
  <c r="V429" i="20"/>
  <c r="Z429" i="20"/>
  <c r="AA429" i="20"/>
  <c r="AB429" i="20"/>
  <c r="AC429" i="20"/>
  <c r="AD429" i="20"/>
  <c r="AE429" i="20"/>
  <c r="AF429" i="20"/>
  <c r="AG429" i="20"/>
  <c r="T430" i="20" a="1"/>
  <c r="T430" i="20" s="1"/>
  <c r="S430" i="20" a="1"/>
  <c r="S430" i="20" s="1"/>
  <c r="R430" i="20"/>
  <c r="V430" i="20"/>
  <c r="Z430" i="20"/>
  <c r="AA430" i="20"/>
  <c r="AB430" i="20"/>
  <c r="AC430" i="20"/>
  <c r="AD430" i="20"/>
  <c r="AE430" i="20"/>
  <c r="AF430" i="20"/>
  <c r="AG430" i="20"/>
  <c r="T431" i="20" a="1"/>
  <c r="T431" i="20" s="1"/>
  <c r="R431" i="20"/>
  <c r="S431" i="20" a="1"/>
  <c r="S431" i="20" s="1"/>
  <c r="V431" i="20"/>
  <c r="Z431" i="20"/>
  <c r="AA431" i="20"/>
  <c r="AB431" i="20"/>
  <c r="AC431" i="20"/>
  <c r="AD431" i="20"/>
  <c r="AE431" i="20"/>
  <c r="AF431" i="20"/>
  <c r="AG431" i="20"/>
  <c r="T432" i="20" a="1"/>
  <c r="T432" i="20" s="1"/>
  <c r="R432" i="20"/>
  <c r="S432" i="20" a="1"/>
  <c r="S432" i="20" s="1"/>
  <c r="V432" i="20"/>
  <c r="Z432" i="20"/>
  <c r="AA432" i="20"/>
  <c r="AB432" i="20"/>
  <c r="AC432" i="20"/>
  <c r="AD432" i="20"/>
  <c r="AE432" i="20"/>
  <c r="AF432" i="20"/>
  <c r="AG432" i="20"/>
  <c r="T433" i="20" a="1"/>
  <c r="T433" i="20" s="1"/>
  <c r="S433" i="20" a="1"/>
  <c r="S433" i="20" s="1"/>
  <c r="R433" i="20"/>
  <c r="V433" i="20"/>
  <c r="Z433" i="20"/>
  <c r="AA433" i="20"/>
  <c r="AB433" i="20"/>
  <c r="AC433" i="20"/>
  <c r="AD433" i="20"/>
  <c r="AE433" i="20"/>
  <c r="AF433" i="20"/>
  <c r="AG433" i="20"/>
  <c r="T434" i="20" a="1"/>
  <c r="T434" i="20" s="1"/>
  <c r="R434" i="20"/>
  <c r="S434" i="20" a="1"/>
  <c r="S434" i="20" s="1"/>
  <c r="V434" i="20"/>
  <c r="Z434" i="20"/>
  <c r="AA434" i="20"/>
  <c r="AB434" i="20"/>
  <c r="AC434" i="20"/>
  <c r="AD434" i="20"/>
  <c r="AE434" i="20"/>
  <c r="AF434" i="20"/>
  <c r="AG434" i="20"/>
  <c r="T435" i="20" a="1"/>
  <c r="T435" i="20" s="1"/>
  <c r="R435" i="20"/>
  <c r="S435" i="20" a="1"/>
  <c r="S435" i="20" s="1"/>
  <c r="V435" i="20"/>
  <c r="Z435" i="20"/>
  <c r="AA435" i="20"/>
  <c r="AB435" i="20"/>
  <c r="AC435" i="20"/>
  <c r="AD435" i="20"/>
  <c r="AE435" i="20"/>
  <c r="AF435" i="20"/>
  <c r="AG435" i="20"/>
  <c r="T436" i="20" a="1"/>
  <c r="T436" i="20" s="1"/>
  <c r="R436" i="20"/>
  <c r="S436" i="20" a="1"/>
  <c r="S436" i="20" s="1"/>
  <c r="V436" i="20"/>
  <c r="Z436" i="20"/>
  <c r="AA436" i="20"/>
  <c r="AB436" i="20"/>
  <c r="AC436" i="20"/>
  <c r="AD436" i="20"/>
  <c r="AE436" i="20"/>
  <c r="AF436" i="20"/>
  <c r="AG436" i="20"/>
  <c r="T437" i="20" a="1"/>
  <c r="T437" i="20" s="1"/>
  <c r="R437" i="20"/>
  <c r="S437" i="20" a="1"/>
  <c r="S437" i="20" s="1"/>
  <c r="V437" i="20"/>
  <c r="Z437" i="20"/>
  <c r="AA437" i="20"/>
  <c r="AB437" i="20"/>
  <c r="AC437" i="20"/>
  <c r="AD437" i="20"/>
  <c r="AE437" i="20"/>
  <c r="AF437" i="20"/>
  <c r="AG437" i="20"/>
  <c r="T438" i="20" a="1"/>
  <c r="T438" i="20" s="1"/>
  <c r="R438" i="20"/>
  <c r="S438" i="20" a="1"/>
  <c r="S438" i="20" s="1"/>
  <c r="V438" i="20"/>
  <c r="Z438" i="20"/>
  <c r="AA438" i="20"/>
  <c r="AB438" i="20"/>
  <c r="AC438" i="20"/>
  <c r="AD438" i="20"/>
  <c r="AE438" i="20"/>
  <c r="AF438" i="20"/>
  <c r="AG438" i="20"/>
  <c r="T439" i="20" a="1"/>
  <c r="T439" i="20" s="1"/>
  <c r="R439" i="20"/>
  <c r="S439" i="20" a="1"/>
  <c r="S439" i="20" s="1"/>
  <c r="V439" i="20"/>
  <c r="Z439" i="20"/>
  <c r="AA439" i="20"/>
  <c r="AB439" i="20"/>
  <c r="AC439" i="20"/>
  <c r="AD439" i="20"/>
  <c r="AE439" i="20"/>
  <c r="AF439" i="20"/>
  <c r="AG439" i="20"/>
  <c r="T440" i="20" a="1"/>
  <c r="T440" i="20" s="1"/>
  <c r="R440" i="20"/>
  <c r="S440" i="20" a="1"/>
  <c r="S440" i="20" s="1"/>
  <c r="V440" i="20"/>
  <c r="Z440" i="20"/>
  <c r="AA440" i="20"/>
  <c r="AB440" i="20"/>
  <c r="AC440" i="20"/>
  <c r="AD440" i="20"/>
  <c r="AE440" i="20"/>
  <c r="AF440" i="20"/>
  <c r="AG440" i="20"/>
  <c r="T441" i="20" a="1"/>
  <c r="T441" i="20" s="1"/>
  <c r="R441" i="20"/>
  <c r="S441" i="20" a="1"/>
  <c r="S441" i="20" s="1"/>
  <c r="V441" i="20"/>
  <c r="Z441" i="20"/>
  <c r="AA441" i="20"/>
  <c r="AB441" i="20"/>
  <c r="AC441" i="20"/>
  <c r="AD441" i="20"/>
  <c r="AE441" i="20"/>
  <c r="AF441" i="20"/>
  <c r="AG441" i="20"/>
  <c r="T442" i="20" a="1"/>
  <c r="T442" i="20" s="1"/>
  <c r="R442" i="20"/>
  <c r="S442" i="20" a="1"/>
  <c r="S442" i="20" s="1"/>
  <c r="V442" i="20"/>
  <c r="Z442" i="20"/>
  <c r="AA442" i="20"/>
  <c r="AB442" i="20"/>
  <c r="AC442" i="20"/>
  <c r="AD442" i="20"/>
  <c r="AE442" i="20"/>
  <c r="AF442" i="20"/>
  <c r="AG442" i="20"/>
  <c r="T443" i="20" a="1"/>
  <c r="T443" i="20" s="1"/>
  <c r="S443" i="20" a="1"/>
  <c r="S443" i="20" s="1"/>
  <c r="R443" i="20"/>
  <c r="V443" i="20"/>
  <c r="Z443" i="20"/>
  <c r="AA443" i="20"/>
  <c r="AB443" i="20"/>
  <c r="AC443" i="20"/>
  <c r="AD443" i="20"/>
  <c r="AE443" i="20"/>
  <c r="AF443" i="20"/>
  <c r="AG443" i="20"/>
  <c r="T444" i="20" a="1"/>
  <c r="T444" i="20" s="1"/>
  <c r="R444" i="20"/>
  <c r="S444" i="20" a="1"/>
  <c r="S444" i="20" s="1"/>
  <c r="V444" i="20"/>
  <c r="Z444" i="20"/>
  <c r="AA444" i="20"/>
  <c r="AB444" i="20"/>
  <c r="AC444" i="20"/>
  <c r="AD444" i="20"/>
  <c r="AE444" i="20"/>
  <c r="AF444" i="20"/>
  <c r="AG444" i="20"/>
  <c r="T445" i="20" a="1"/>
  <c r="T445" i="20" s="1"/>
  <c r="R445" i="20"/>
  <c r="S445" i="20" a="1"/>
  <c r="S445" i="20" s="1"/>
  <c r="V445" i="20"/>
  <c r="Z445" i="20"/>
  <c r="AA445" i="20"/>
  <c r="AB445" i="20"/>
  <c r="AC445" i="20"/>
  <c r="AD445" i="20"/>
  <c r="AE445" i="20"/>
  <c r="AF445" i="20"/>
  <c r="AG445" i="20"/>
  <c r="T446" i="20" a="1"/>
  <c r="T446" i="20" s="1"/>
  <c r="R446" i="20"/>
  <c r="S446" i="20" a="1"/>
  <c r="S446" i="20" s="1"/>
  <c r="V446" i="20"/>
  <c r="Z446" i="20"/>
  <c r="AA446" i="20"/>
  <c r="AB446" i="20"/>
  <c r="AC446" i="20"/>
  <c r="AD446" i="20"/>
  <c r="AE446" i="20"/>
  <c r="AF446" i="20"/>
  <c r="AG446" i="20"/>
  <c r="T447" i="20" a="1"/>
  <c r="T447" i="20" s="1"/>
  <c r="R447" i="20"/>
  <c r="S447" i="20" a="1"/>
  <c r="S447" i="20" s="1"/>
  <c r="V447" i="20"/>
  <c r="Z447" i="20"/>
  <c r="AA447" i="20"/>
  <c r="AB447" i="20"/>
  <c r="AC447" i="20"/>
  <c r="AD447" i="20"/>
  <c r="AE447" i="20"/>
  <c r="AF447" i="20"/>
  <c r="AG447" i="20"/>
  <c r="T448" i="20" a="1"/>
  <c r="T448" i="20" s="1"/>
  <c r="R448" i="20"/>
  <c r="S448" i="20" a="1"/>
  <c r="S448" i="20" s="1"/>
  <c r="V448" i="20"/>
  <c r="Z448" i="20"/>
  <c r="AA448" i="20"/>
  <c r="AB448" i="20"/>
  <c r="AC448" i="20"/>
  <c r="AD448" i="20"/>
  <c r="AE448" i="20"/>
  <c r="AF448" i="20"/>
  <c r="AG448" i="20"/>
  <c r="T449" i="20" a="1"/>
  <c r="T449" i="20" s="1"/>
  <c r="R449" i="20"/>
  <c r="S449" i="20" a="1"/>
  <c r="S449" i="20" s="1"/>
  <c r="V449" i="20"/>
  <c r="Z449" i="20"/>
  <c r="AA449" i="20"/>
  <c r="AB449" i="20"/>
  <c r="AC449" i="20"/>
  <c r="AD449" i="20"/>
  <c r="AE449" i="20"/>
  <c r="AF449" i="20"/>
  <c r="AG449" i="20"/>
  <c r="T450" i="20" a="1"/>
  <c r="T450" i="20" s="1"/>
  <c r="R450" i="20"/>
  <c r="S450" i="20" a="1"/>
  <c r="S450" i="20" s="1"/>
  <c r="V450" i="20"/>
  <c r="Z450" i="20"/>
  <c r="AA450" i="20"/>
  <c r="AB450" i="20"/>
  <c r="AC450" i="20"/>
  <c r="AD450" i="20"/>
  <c r="AE450" i="20"/>
  <c r="AF450" i="20"/>
  <c r="AG450" i="20"/>
  <c r="T451" i="20" a="1"/>
  <c r="T451" i="20" s="1"/>
  <c r="R451" i="20"/>
  <c r="S451" i="20" a="1"/>
  <c r="S451" i="20" s="1"/>
  <c r="V451" i="20"/>
  <c r="Z451" i="20"/>
  <c r="AA451" i="20"/>
  <c r="AB451" i="20"/>
  <c r="AC451" i="20"/>
  <c r="AD451" i="20"/>
  <c r="AE451" i="20"/>
  <c r="AF451" i="20"/>
  <c r="AG451" i="20"/>
  <c r="T452" i="20" a="1"/>
  <c r="T452" i="20" s="1"/>
  <c r="R452" i="20"/>
  <c r="S452" i="20" a="1"/>
  <c r="S452" i="20" s="1"/>
  <c r="V452" i="20"/>
  <c r="Z452" i="20"/>
  <c r="AA452" i="20"/>
  <c r="AB452" i="20"/>
  <c r="AC452" i="20"/>
  <c r="AD452" i="20"/>
  <c r="AE452" i="20"/>
  <c r="AF452" i="20"/>
  <c r="AG452" i="20"/>
  <c r="T453" i="20" a="1"/>
  <c r="T453" i="20" s="1"/>
  <c r="R453" i="20"/>
  <c r="S453" i="20" a="1"/>
  <c r="S453" i="20" s="1"/>
  <c r="V453" i="20"/>
  <c r="Z453" i="20"/>
  <c r="AA453" i="20"/>
  <c r="AB453" i="20"/>
  <c r="AC453" i="20"/>
  <c r="AD453" i="20"/>
  <c r="AE453" i="20"/>
  <c r="AF453" i="20"/>
  <c r="AG453" i="20"/>
  <c r="T454" i="20" a="1"/>
  <c r="T454" i="20" s="1"/>
  <c r="R454" i="20"/>
  <c r="S454" i="20" a="1"/>
  <c r="S454" i="20" s="1"/>
  <c r="V454" i="20"/>
  <c r="Z454" i="20"/>
  <c r="AA454" i="20"/>
  <c r="AB454" i="20"/>
  <c r="AC454" i="20"/>
  <c r="AD454" i="20"/>
  <c r="AE454" i="20"/>
  <c r="AF454" i="20"/>
  <c r="AG454" i="20"/>
  <c r="T455" i="20" a="1"/>
  <c r="T455" i="20" s="1"/>
  <c r="R455" i="20"/>
  <c r="S455" i="20" a="1"/>
  <c r="S455" i="20" s="1"/>
  <c r="V455" i="20"/>
  <c r="Z455" i="20"/>
  <c r="AA455" i="20"/>
  <c r="AB455" i="20"/>
  <c r="AC455" i="20"/>
  <c r="AD455" i="20"/>
  <c r="AE455" i="20"/>
  <c r="AF455" i="20"/>
  <c r="AG455" i="20"/>
  <c r="T456" i="20" a="1"/>
  <c r="T456" i="20" s="1"/>
  <c r="R456" i="20"/>
  <c r="S456" i="20" a="1"/>
  <c r="S456" i="20" s="1"/>
  <c r="V456" i="20"/>
  <c r="Z456" i="20"/>
  <c r="AA456" i="20"/>
  <c r="AB456" i="20"/>
  <c r="AC456" i="20"/>
  <c r="AD456" i="20"/>
  <c r="AE456" i="20"/>
  <c r="AF456" i="20"/>
  <c r="AG456" i="20"/>
  <c r="T457" i="20" a="1"/>
  <c r="T457" i="20" s="1"/>
  <c r="R457" i="20"/>
  <c r="S457" i="20" a="1"/>
  <c r="S457" i="20" s="1"/>
  <c r="V457" i="20"/>
  <c r="Z457" i="20"/>
  <c r="AA457" i="20"/>
  <c r="AB457" i="20"/>
  <c r="AC457" i="20"/>
  <c r="AD457" i="20"/>
  <c r="AE457" i="20"/>
  <c r="AF457" i="20"/>
  <c r="AG457" i="20"/>
  <c r="T458" i="20" a="1"/>
  <c r="T458" i="20" s="1"/>
  <c r="R458" i="20"/>
  <c r="S458" i="20" a="1"/>
  <c r="S458" i="20" s="1"/>
  <c r="V458" i="20"/>
  <c r="Z458" i="20"/>
  <c r="AA458" i="20"/>
  <c r="AB458" i="20"/>
  <c r="AC458" i="20"/>
  <c r="AD458" i="20"/>
  <c r="AE458" i="20"/>
  <c r="AF458" i="20"/>
  <c r="AG458" i="20"/>
  <c r="T459" i="20" a="1"/>
  <c r="T459" i="20" s="1"/>
  <c r="R459" i="20"/>
  <c r="S459" i="20" a="1"/>
  <c r="S459" i="20" s="1"/>
  <c r="V459" i="20"/>
  <c r="Z459" i="20"/>
  <c r="AA459" i="20"/>
  <c r="AB459" i="20"/>
  <c r="AC459" i="20"/>
  <c r="AD459" i="20"/>
  <c r="AE459" i="20"/>
  <c r="AF459" i="20"/>
  <c r="AG459" i="20"/>
  <c r="T460" i="20" a="1"/>
  <c r="T460" i="20" s="1"/>
  <c r="R460" i="20"/>
  <c r="S460" i="20" a="1"/>
  <c r="S460" i="20" s="1"/>
  <c r="V460" i="20"/>
  <c r="Z460" i="20"/>
  <c r="AA460" i="20"/>
  <c r="AB460" i="20"/>
  <c r="AC460" i="20"/>
  <c r="AD460" i="20"/>
  <c r="AE460" i="20"/>
  <c r="AF460" i="20"/>
  <c r="AG460" i="20"/>
  <c r="T461" i="20" a="1"/>
  <c r="T461" i="20" s="1"/>
  <c r="R461" i="20"/>
  <c r="S461" i="20" a="1"/>
  <c r="S461" i="20" s="1"/>
  <c r="V461" i="20"/>
  <c r="Z461" i="20"/>
  <c r="AA461" i="20"/>
  <c r="AB461" i="20"/>
  <c r="AC461" i="20"/>
  <c r="AD461" i="20"/>
  <c r="AE461" i="20"/>
  <c r="AF461" i="20"/>
  <c r="AG461" i="20"/>
  <c r="T462" i="20" a="1"/>
  <c r="T462" i="20" s="1"/>
  <c r="R462" i="20"/>
  <c r="S462" i="20" a="1"/>
  <c r="S462" i="20" s="1"/>
  <c r="V462" i="20"/>
  <c r="Z462" i="20"/>
  <c r="AA462" i="20"/>
  <c r="AB462" i="20"/>
  <c r="AC462" i="20"/>
  <c r="AD462" i="20"/>
  <c r="AE462" i="20"/>
  <c r="AF462" i="20"/>
  <c r="AG462" i="20"/>
  <c r="T463" i="20" a="1"/>
  <c r="T463" i="20" s="1"/>
  <c r="R463" i="20"/>
  <c r="S463" i="20" a="1"/>
  <c r="S463" i="20" s="1"/>
  <c r="V463" i="20"/>
  <c r="Z463" i="20"/>
  <c r="AA463" i="20"/>
  <c r="AB463" i="20"/>
  <c r="AC463" i="20"/>
  <c r="AD463" i="20"/>
  <c r="AE463" i="20"/>
  <c r="AF463" i="20"/>
  <c r="AG463" i="20"/>
  <c r="T464" i="20" a="1"/>
  <c r="T464" i="20" s="1"/>
  <c r="R464" i="20"/>
  <c r="S464" i="20" a="1"/>
  <c r="S464" i="20" s="1"/>
  <c r="V464" i="20"/>
  <c r="Z464" i="20"/>
  <c r="AA464" i="20"/>
  <c r="AB464" i="20"/>
  <c r="AC464" i="20"/>
  <c r="AD464" i="20"/>
  <c r="AE464" i="20"/>
  <c r="AF464" i="20"/>
  <c r="AG464" i="20"/>
  <c r="T465" i="20" a="1"/>
  <c r="T465" i="20" s="1"/>
  <c r="S465" i="20" a="1"/>
  <c r="S465" i="20" s="1"/>
  <c r="R465" i="20"/>
  <c r="V465" i="20"/>
  <c r="Z465" i="20"/>
  <c r="AA465" i="20"/>
  <c r="AB465" i="20"/>
  <c r="AC465" i="20"/>
  <c r="AD465" i="20"/>
  <c r="AE465" i="20"/>
  <c r="AF465" i="20"/>
  <c r="AG465" i="20"/>
  <c r="T466" i="20" a="1"/>
  <c r="T466" i="20" s="1"/>
  <c r="R466" i="20"/>
  <c r="S466" i="20" a="1"/>
  <c r="S466" i="20" s="1"/>
  <c r="V466" i="20"/>
  <c r="Z466" i="20"/>
  <c r="AA466" i="20"/>
  <c r="AB466" i="20"/>
  <c r="AC466" i="20"/>
  <c r="AD466" i="20"/>
  <c r="AE466" i="20"/>
  <c r="AF466" i="20"/>
  <c r="AG466" i="20"/>
  <c r="T467" i="20" a="1"/>
  <c r="T467" i="20" s="1"/>
  <c r="R467" i="20"/>
  <c r="S467" i="20" a="1"/>
  <c r="S467" i="20" s="1"/>
  <c r="V467" i="20"/>
  <c r="Z467" i="20"/>
  <c r="AA467" i="20"/>
  <c r="AB467" i="20"/>
  <c r="AC467" i="20"/>
  <c r="AD467" i="20"/>
  <c r="AE467" i="20"/>
  <c r="AF467" i="20"/>
  <c r="AG467" i="20"/>
  <c r="T468" i="20" a="1"/>
  <c r="T468" i="20" s="1"/>
  <c r="R468" i="20"/>
  <c r="S468" i="20" a="1"/>
  <c r="S468" i="20" s="1"/>
  <c r="V468" i="20"/>
  <c r="Z468" i="20"/>
  <c r="AA468" i="20"/>
  <c r="AB468" i="20"/>
  <c r="AC468" i="20"/>
  <c r="AD468" i="20"/>
  <c r="AE468" i="20"/>
  <c r="AF468" i="20"/>
  <c r="AG468" i="20"/>
  <c r="T469" i="20" a="1"/>
  <c r="T469" i="20" s="1"/>
  <c r="R469" i="20"/>
  <c r="S469" i="20" a="1"/>
  <c r="S469" i="20" s="1"/>
  <c r="V469" i="20"/>
  <c r="Z469" i="20"/>
  <c r="AA469" i="20"/>
  <c r="AB469" i="20"/>
  <c r="AC469" i="20"/>
  <c r="AD469" i="20"/>
  <c r="AE469" i="20"/>
  <c r="AF469" i="20"/>
  <c r="AG469" i="20"/>
  <c r="T470" i="20" a="1"/>
  <c r="T470" i="20" s="1"/>
  <c r="R470" i="20"/>
  <c r="S470" i="20" a="1"/>
  <c r="S470" i="20" s="1"/>
  <c r="V470" i="20"/>
  <c r="Z470" i="20"/>
  <c r="AA470" i="20"/>
  <c r="AB470" i="20"/>
  <c r="AC470" i="20"/>
  <c r="AD470" i="20"/>
  <c r="AE470" i="20"/>
  <c r="AF470" i="20"/>
  <c r="AG470" i="20"/>
  <c r="T471" i="20" a="1"/>
  <c r="T471" i="20" s="1"/>
  <c r="S471" i="20" a="1"/>
  <c r="S471" i="20" s="1"/>
  <c r="R471" i="20"/>
  <c r="V471" i="20"/>
  <c r="Z471" i="20"/>
  <c r="AA471" i="20"/>
  <c r="AB471" i="20"/>
  <c r="AC471" i="20"/>
  <c r="AD471" i="20"/>
  <c r="AE471" i="20"/>
  <c r="AF471" i="20"/>
  <c r="AG471" i="20"/>
  <c r="T472" i="20" a="1"/>
  <c r="T472" i="20" s="1"/>
  <c r="S472" i="20" a="1"/>
  <c r="S472" i="20" s="1"/>
  <c r="R472" i="20"/>
  <c r="V472" i="20"/>
  <c r="Z472" i="20"/>
  <c r="AA472" i="20"/>
  <c r="AB472" i="20"/>
  <c r="AC472" i="20"/>
  <c r="AD472" i="20"/>
  <c r="AE472" i="20"/>
  <c r="AF472" i="20"/>
  <c r="AG472" i="20"/>
  <c r="T473" i="20" a="1"/>
  <c r="T473" i="20" s="1"/>
  <c r="R473" i="20"/>
  <c r="S473" i="20" a="1"/>
  <c r="S473" i="20" s="1"/>
  <c r="V473" i="20"/>
  <c r="Z473" i="20"/>
  <c r="AA473" i="20"/>
  <c r="AB473" i="20"/>
  <c r="AC473" i="20"/>
  <c r="AD473" i="20"/>
  <c r="AE473" i="20"/>
  <c r="AF473" i="20"/>
  <c r="AG473" i="20"/>
  <c r="T474" i="20" a="1"/>
  <c r="T474" i="20" s="1"/>
  <c r="R474" i="20"/>
  <c r="S474" i="20" a="1"/>
  <c r="S474" i="20" s="1"/>
  <c r="V474" i="20"/>
  <c r="Z474" i="20"/>
  <c r="AA474" i="20"/>
  <c r="AB474" i="20"/>
  <c r="AC474" i="20"/>
  <c r="AD474" i="20"/>
  <c r="AE474" i="20"/>
  <c r="AF474" i="20"/>
  <c r="AG474" i="20"/>
  <c r="T475" i="20" a="1"/>
  <c r="T475" i="20" s="1"/>
  <c r="R475" i="20"/>
  <c r="S475" i="20" a="1"/>
  <c r="S475" i="20" s="1"/>
  <c r="V475" i="20"/>
  <c r="Z475" i="20"/>
  <c r="AA475" i="20"/>
  <c r="AB475" i="20"/>
  <c r="AC475" i="20"/>
  <c r="AD475" i="20"/>
  <c r="AE475" i="20"/>
  <c r="AF475" i="20"/>
  <c r="AG475" i="20"/>
  <c r="T476" i="20" a="1"/>
  <c r="T476" i="20" s="1"/>
  <c r="R476" i="20"/>
  <c r="S476" i="20" a="1"/>
  <c r="S476" i="20" s="1"/>
  <c r="V476" i="20"/>
  <c r="Z476" i="20"/>
  <c r="AA476" i="20"/>
  <c r="AB476" i="20"/>
  <c r="AC476" i="20"/>
  <c r="AD476" i="20"/>
  <c r="AE476" i="20"/>
  <c r="AF476" i="20"/>
  <c r="AG476" i="20"/>
  <c r="T477" i="20" a="1"/>
  <c r="T477" i="20" s="1"/>
  <c r="R477" i="20"/>
  <c r="S477" i="20" a="1"/>
  <c r="S477" i="20" s="1"/>
  <c r="V477" i="20"/>
  <c r="Z477" i="20"/>
  <c r="AA477" i="20"/>
  <c r="AB477" i="20"/>
  <c r="AC477" i="20"/>
  <c r="AD477" i="20"/>
  <c r="AE477" i="20"/>
  <c r="AF477" i="20"/>
  <c r="AG477" i="20"/>
  <c r="T478" i="20" a="1"/>
  <c r="T478" i="20" s="1"/>
  <c r="R478" i="20"/>
  <c r="S478" i="20" a="1"/>
  <c r="S478" i="20" s="1"/>
  <c r="V478" i="20"/>
  <c r="Z478" i="20"/>
  <c r="AA478" i="20"/>
  <c r="AB478" i="20"/>
  <c r="AC478" i="20"/>
  <c r="AD478" i="20"/>
  <c r="AE478" i="20"/>
  <c r="AF478" i="20"/>
  <c r="AG478" i="20"/>
  <c r="T479" i="20" a="1"/>
  <c r="T479" i="20" s="1"/>
  <c r="R479" i="20"/>
  <c r="S479" i="20" a="1"/>
  <c r="S479" i="20" s="1"/>
  <c r="V479" i="20"/>
  <c r="Z479" i="20"/>
  <c r="AA479" i="20"/>
  <c r="AB479" i="20"/>
  <c r="AC479" i="20"/>
  <c r="AD479" i="20"/>
  <c r="AE479" i="20"/>
  <c r="AF479" i="20"/>
  <c r="AG479" i="20"/>
  <c r="T480" i="20" a="1"/>
  <c r="T480" i="20" s="1"/>
  <c r="R480" i="20"/>
  <c r="S480" i="20" a="1"/>
  <c r="S480" i="20" s="1"/>
  <c r="V480" i="20"/>
  <c r="Z480" i="20"/>
  <c r="AA480" i="20"/>
  <c r="AB480" i="20"/>
  <c r="AC480" i="20"/>
  <c r="AD480" i="20"/>
  <c r="AE480" i="20"/>
  <c r="AF480" i="20"/>
  <c r="AG480" i="20"/>
  <c r="T481" i="20" a="1"/>
  <c r="T481" i="20" s="1"/>
  <c r="R481" i="20"/>
  <c r="S481" i="20" a="1"/>
  <c r="S481" i="20" s="1"/>
  <c r="V481" i="20"/>
  <c r="Z481" i="20"/>
  <c r="AA481" i="20"/>
  <c r="AB481" i="20"/>
  <c r="AC481" i="20"/>
  <c r="AD481" i="20"/>
  <c r="AE481" i="20"/>
  <c r="AF481" i="20"/>
  <c r="AG481" i="20"/>
  <c r="T482" i="20" a="1"/>
  <c r="T482" i="20" s="1"/>
  <c r="R482" i="20"/>
  <c r="S482" i="20" a="1"/>
  <c r="S482" i="20" s="1"/>
  <c r="V482" i="20"/>
  <c r="Z482" i="20"/>
  <c r="AA482" i="20"/>
  <c r="AB482" i="20"/>
  <c r="AC482" i="20"/>
  <c r="AD482" i="20"/>
  <c r="AE482" i="20"/>
  <c r="AF482" i="20"/>
  <c r="AG482" i="20"/>
  <c r="T483" i="20" a="1"/>
  <c r="T483" i="20" s="1"/>
  <c r="R483" i="20"/>
  <c r="S483" i="20" a="1"/>
  <c r="S483" i="20" s="1"/>
  <c r="V483" i="20"/>
  <c r="Z483" i="20"/>
  <c r="AA483" i="20"/>
  <c r="AB483" i="20"/>
  <c r="AC483" i="20"/>
  <c r="AD483" i="20"/>
  <c r="AE483" i="20"/>
  <c r="AF483" i="20"/>
  <c r="AG483" i="20"/>
  <c r="T484" i="20" a="1"/>
  <c r="T484" i="20" s="1"/>
  <c r="R484" i="20"/>
  <c r="S484" i="20" a="1"/>
  <c r="S484" i="20" s="1"/>
  <c r="V484" i="20"/>
  <c r="Z484" i="20"/>
  <c r="AA484" i="20"/>
  <c r="AB484" i="20"/>
  <c r="AC484" i="20"/>
  <c r="AD484" i="20"/>
  <c r="AE484" i="20"/>
  <c r="AF484" i="20"/>
  <c r="AG484" i="20"/>
  <c r="T485" i="20" a="1"/>
  <c r="T485" i="20" s="1"/>
  <c r="R485" i="20"/>
  <c r="S485" i="20" a="1"/>
  <c r="S485" i="20" s="1"/>
  <c r="V485" i="20"/>
  <c r="Z485" i="20"/>
  <c r="AA485" i="20"/>
  <c r="AB485" i="20"/>
  <c r="AC485" i="20"/>
  <c r="AD485" i="20"/>
  <c r="AE485" i="20"/>
  <c r="AF485" i="20"/>
  <c r="AG485" i="20"/>
  <c r="T486" i="20" a="1"/>
  <c r="T486" i="20" s="1"/>
  <c r="R486" i="20"/>
  <c r="S486" i="20" a="1"/>
  <c r="S486" i="20" s="1"/>
  <c r="V486" i="20"/>
  <c r="Z486" i="20"/>
  <c r="AA486" i="20"/>
  <c r="AB486" i="20"/>
  <c r="AC486" i="20"/>
  <c r="AD486" i="20"/>
  <c r="AE486" i="20"/>
  <c r="AF486" i="20"/>
  <c r="AG486" i="20"/>
  <c r="T487" i="20" a="1"/>
  <c r="T487" i="20" s="1"/>
  <c r="R487" i="20"/>
  <c r="S487" i="20" a="1"/>
  <c r="S487" i="20" s="1"/>
  <c r="V487" i="20"/>
  <c r="Z487" i="20"/>
  <c r="AA487" i="20"/>
  <c r="AB487" i="20"/>
  <c r="AC487" i="20"/>
  <c r="AD487" i="20"/>
  <c r="AE487" i="20"/>
  <c r="AF487" i="20"/>
  <c r="AG487" i="20"/>
  <c r="T488" i="20" a="1"/>
  <c r="T488" i="20" s="1"/>
  <c r="R488" i="20"/>
  <c r="S488" i="20" a="1"/>
  <c r="S488" i="20" s="1"/>
  <c r="V488" i="20"/>
  <c r="Z488" i="20"/>
  <c r="AA488" i="20"/>
  <c r="AB488" i="20"/>
  <c r="AC488" i="20"/>
  <c r="AD488" i="20"/>
  <c r="AE488" i="20"/>
  <c r="AF488" i="20"/>
  <c r="AG488" i="20"/>
  <c r="T489" i="20" a="1"/>
  <c r="T489" i="20" s="1"/>
  <c r="R489" i="20"/>
  <c r="S489" i="20" a="1"/>
  <c r="S489" i="20" s="1"/>
  <c r="V489" i="20"/>
  <c r="Z489" i="20"/>
  <c r="AA489" i="20"/>
  <c r="AB489" i="20"/>
  <c r="AC489" i="20"/>
  <c r="AD489" i="20"/>
  <c r="AE489" i="20"/>
  <c r="AF489" i="20"/>
  <c r="AG489" i="20"/>
  <c r="T490" i="20" a="1"/>
  <c r="T490" i="20" s="1"/>
  <c r="R490" i="20"/>
  <c r="S490" i="20" a="1"/>
  <c r="S490" i="20" s="1"/>
  <c r="V490" i="20"/>
  <c r="Z490" i="20"/>
  <c r="AA490" i="20"/>
  <c r="AB490" i="20"/>
  <c r="AC490" i="20"/>
  <c r="AD490" i="20"/>
  <c r="AE490" i="20"/>
  <c r="AF490" i="20"/>
  <c r="AG490" i="20"/>
  <c r="T491" i="20" a="1"/>
  <c r="T491" i="20" s="1"/>
  <c r="R491" i="20"/>
  <c r="S491" i="20" a="1"/>
  <c r="S491" i="20" s="1"/>
  <c r="V491" i="20"/>
  <c r="Z491" i="20"/>
  <c r="AA491" i="20"/>
  <c r="AB491" i="20"/>
  <c r="AC491" i="20"/>
  <c r="AD491" i="20"/>
  <c r="AE491" i="20"/>
  <c r="AF491" i="20"/>
  <c r="AG491" i="20"/>
  <c r="T492" i="20" a="1"/>
  <c r="T492" i="20" s="1"/>
  <c r="R492" i="20"/>
  <c r="S492" i="20" a="1"/>
  <c r="S492" i="20" s="1"/>
  <c r="V492" i="20"/>
  <c r="Z492" i="20"/>
  <c r="AA492" i="20"/>
  <c r="AB492" i="20"/>
  <c r="AC492" i="20"/>
  <c r="AD492" i="20"/>
  <c r="AE492" i="20"/>
  <c r="AF492" i="20"/>
  <c r="AG492" i="20"/>
  <c r="T493" i="20" a="1"/>
  <c r="T493" i="20" s="1"/>
  <c r="R493" i="20"/>
  <c r="S493" i="20" a="1"/>
  <c r="S493" i="20" s="1"/>
  <c r="V493" i="20"/>
  <c r="Z493" i="20"/>
  <c r="AA493" i="20"/>
  <c r="AB493" i="20"/>
  <c r="AC493" i="20"/>
  <c r="AD493" i="20"/>
  <c r="AE493" i="20"/>
  <c r="AF493" i="20"/>
  <c r="AG493" i="20"/>
  <c r="T494" i="20" a="1"/>
  <c r="T494" i="20" s="1"/>
  <c r="R494" i="20"/>
  <c r="S494" i="20" a="1"/>
  <c r="S494" i="20" s="1"/>
  <c r="V494" i="20"/>
  <c r="Z494" i="20"/>
  <c r="AA494" i="20"/>
  <c r="AB494" i="20"/>
  <c r="AC494" i="20"/>
  <c r="AD494" i="20"/>
  <c r="AE494" i="20"/>
  <c r="AF494" i="20"/>
  <c r="AG494" i="20"/>
  <c r="T495" i="20" a="1"/>
  <c r="T495" i="20" s="1"/>
  <c r="R495" i="20"/>
  <c r="S495" i="20" a="1"/>
  <c r="S495" i="20" s="1"/>
  <c r="V495" i="20"/>
  <c r="Z495" i="20"/>
  <c r="AA495" i="20"/>
  <c r="AB495" i="20"/>
  <c r="AC495" i="20"/>
  <c r="AD495" i="20"/>
  <c r="AE495" i="20"/>
  <c r="AF495" i="20"/>
  <c r="AG495" i="20"/>
  <c r="T496" i="20" a="1"/>
  <c r="T496" i="20" s="1"/>
  <c r="R496" i="20"/>
  <c r="S496" i="20" a="1"/>
  <c r="S496" i="20" s="1"/>
  <c r="V496" i="20"/>
  <c r="Z496" i="20"/>
  <c r="AA496" i="20"/>
  <c r="AB496" i="20"/>
  <c r="AC496" i="20"/>
  <c r="AD496" i="20"/>
  <c r="AE496" i="20"/>
  <c r="AF496" i="20"/>
  <c r="AG496" i="20"/>
  <c r="AU3" i="20"/>
  <c r="AT3" i="20"/>
  <c r="AS3" i="20"/>
  <c r="AR3" i="20"/>
  <c r="AQ3" i="20"/>
  <c r="AP3" i="20"/>
  <c r="AO3" i="20"/>
  <c r="AN3" i="20"/>
  <c r="R3" i="20"/>
  <c r="T3" i="20" a="1"/>
  <c r="T3" i="20" s="1"/>
  <c r="V3" i="20"/>
  <c r="AC3" i="20"/>
  <c r="AB3" i="20"/>
  <c r="AA3" i="20"/>
  <c r="Z3" i="20"/>
  <c r="M2" i="1"/>
  <c r="B20" i="17"/>
  <c r="R20" i="17" s="1"/>
  <c r="B21" i="17"/>
  <c r="R21" i="17" s="1"/>
  <c r="B22" i="17"/>
  <c r="R22" i="17" s="1"/>
  <c r="B23" i="17"/>
  <c r="R23" i="17" s="1"/>
  <c r="B24" i="17"/>
  <c r="R24" i="17" s="1"/>
  <c r="B39" i="17"/>
  <c r="B40" i="17"/>
  <c r="B41" i="17"/>
  <c r="B42" i="17"/>
  <c r="B43" i="17"/>
  <c r="E4" i="17"/>
  <c r="A2" i="17"/>
  <c r="B2" i="17"/>
  <c r="A3" i="17"/>
  <c r="B3" i="17"/>
  <c r="A4" i="17"/>
  <c r="B4" i="17"/>
  <c r="D2" i="17"/>
  <c r="E2" i="17"/>
  <c r="D3" i="17"/>
  <c r="E3" i="17"/>
  <c r="D4" i="17"/>
  <c r="B1" i="17"/>
  <c r="D1" i="17"/>
  <c r="E1" i="17"/>
  <c r="A1" i="17"/>
  <c r="AE23" i="20"/>
  <c r="AE18" i="20"/>
  <c r="AD25" i="20"/>
  <c r="AE13" i="20"/>
  <c r="AD13" i="20"/>
  <c r="AE10" i="20"/>
  <c r="AD10" i="20"/>
  <c r="AD19" i="20"/>
  <c r="AE19" i="20"/>
  <c r="AE16" i="20"/>
  <c r="AH23" i="20"/>
  <c r="AE11" i="20"/>
  <c r="G33" i="17" a="1"/>
  <c r="G33" i="17" s="1"/>
  <c r="C13" i="17" a="1"/>
  <c r="C13" i="17" s="1"/>
  <c r="K30" i="17" a="1"/>
  <c r="K30" i="17" s="1"/>
  <c r="I20" i="17" a="1"/>
  <c r="I20" i="17" s="1"/>
  <c r="D13" i="17" a="1"/>
  <c r="D13" i="17" s="1"/>
  <c r="K20" i="17" a="1"/>
  <c r="K20" i="17" s="1"/>
  <c r="P23" i="17"/>
  <c r="N12" i="17" a="1"/>
  <c r="N12" i="17" s="1"/>
  <c r="E41" i="17" a="1"/>
  <c r="E41" i="17" s="1"/>
  <c r="P20" i="17"/>
  <c r="C24" i="17" a="1"/>
  <c r="C24" i="17" s="1"/>
  <c r="S24" i="17" s="1"/>
  <c r="D10" i="17" a="1"/>
  <c r="D10" i="17" s="1"/>
  <c r="D20" i="17" a="1"/>
  <c r="D20" i="17" s="1"/>
  <c r="C15" i="17" a="1"/>
  <c r="C15" i="17" s="1"/>
  <c r="M13" i="17" a="1"/>
  <c r="M13" i="17" s="1"/>
  <c r="K15" i="17" a="1"/>
  <c r="K15" i="17" s="1"/>
  <c r="M30" i="17" a="1"/>
  <c r="M30" i="17" s="1"/>
  <c r="I22" i="17" a="1"/>
  <c r="I22" i="17" s="1"/>
  <c r="D22" i="17" a="1"/>
  <c r="D22" i="17" s="1"/>
  <c r="I42" i="17" a="1"/>
  <c r="I42" i="17" s="1"/>
  <c r="J40" i="17" a="1"/>
  <c r="J40" i="17" s="1"/>
  <c r="E20" i="17" a="1"/>
  <c r="E20" i="17" s="1"/>
  <c r="Q20" i="17"/>
  <c r="L15" i="17" a="1"/>
  <c r="L15" i="17" s="1"/>
  <c r="F22" i="17" a="1"/>
  <c r="F22" i="17" s="1"/>
  <c r="E15" i="17" a="1"/>
  <c r="E15" i="17" s="1"/>
  <c r="E11" i="17" a="1"/>
  <c r="E11" i="17" s="1"/>
  <c r="J42" i="17" a="1"/>
  <c r="J42" i="17" s="1"/>
  <c r="C42" i="17" a="1"/>
  <c r="C42" i="17" s="1"/>
  <c r="J30" i="17" a="1"/>
  <c r="J30" i="17" s="1"/>
  <c r="N42" i="17" a="1"/>
  <c r="N42" i="17" s="1"/>
  <c r="N37" i="17" a="1"/>
  <c r="N37" i="17" s="1"/>
  <c r="N22" i="17" a="1"/>
  <c r="N22" i="17" s="1"/>
  <c r="E42" i="17" a="1"/>
  <c r="E42" i="17" s="1"/>
  <c r="M22" i="17" a="1"/>
  <c r="M22" i="17" s="1"/>
  <c r="Q22" i="17"/>
  <c r="I13" i="17" a="1"/>
  <c r="I13" i="17" s="1"/>
  <c r="D42" i="17" a="1"/>
  <c r="D42" i="17" s="1"/>
  <c r="I40" i="17" a="1"/>
  <c r="I40" i="17" s="1"/>
  <c r="C40" i="17" a="1"/>
  <c r="C40" i="17" s="1"/>
  <c r="N30" i="17" a="1"/>
  <c r="N30" i="17" s="1"/>
  <c r="M40" i="17" a="1"/>
  <c r="M40" i="17" s="1"/>
  <c r="L42" i="17" a="1"/>
  <c r="L42" i="17" s="1"/>
  <c r="G40" i="17" a="1"/>
  <c r="G40" i="17" s="1"/>
  <c r="K22" i="17" a="1"/>
  <c r="K22" i="17" s="1"/>
  <c r="G20" i="17" a="1"/>
  <c r="G20" i="17" s="1"/>
  <c r="E18" i="17" a="1"/>
  <c r="E18" i="17" s="1"/>
  <c r="K35" i="17" a="1"/>
  <c r="K35" i="17" s="1"/>
  <c r="I35" i="17" a="1"/>
  <c r="I35" i="17" s="1"/>
  <c r="E35" i="17" a="1"/>
  <c r="E35" i="17" s="1"/>
  <c r="M16" i="17" a="1"/>
  <c r="M16" i="17" s="1"/>
  <c r="M35" i="17" a="1"/>
  <c r="M35" i="17" s="1"/>
  <c r="D35" i="17" a="1"/>
  <c r="D35" i="17" s="1"/>
  <c r="AB14" i="1" a="1"/>
  <c r="AB14" i="1" s="1"/>
  <c r="G19" i="17" a="1"/>
  <c r="G19" i="17" s="1"/>
  <c r="J19" i="17" a="1"/>
  <c r="J19" i="17" s="1"/>
  <c r="P19" i="17"/>
  <c r="H19" i="17" a="1"/>
  <c r="H19" i="17" s="1"/>
  <c r="E19" i="17" a="1"/>
  <c r="E19" i="17" s="1"/>
  <c r="N17" i="17" a="1"/>
  <c r="N17" i="17" s="1"/>
  <c r="K17" i="17" a="1"/>
  <c r="K17" i="17" s="1"/>
  <c r="D17" i="17" a="1"/>
  <c r="D17" i="17" s="1"/>
  <c r="I17" i="17" a="1"/>
  <c r="I17" i="17" s="1"/>
  <c r="F34" i="17" a="1"/>
  <c r="F34" i="17" s="1"/>
  <c r="M10" i="17" a="1"/>
  <c r="M10" i="17" s="1"/>
  <c r="E10" i="17" a="1"/>
  <c r="E10" i="17" s="1"/>
  <c r="S22" i="20" a="1"/>
  <c r="S22" i="20" s="1"/>
  <c r="S11" i="20" a="1"/>
  <c r="S11" i="20" s="1"/>
  <c r="S10" i="20" a="1"/>
  <c r="S10" i="20" s="1"/>
  <c r="D39" i="17" a="1"/>
  <c r="D39" i="17" s="1"/>
  <c r="J38" i="17" a="1"/>
  <c r="J38" i="17" s="1"/>
  <c r="H38" i="17" a="1"/>
  <c r="H38" i="17" s="1"/>
  <c r="I37" i="17" a="1"/>
  <c r="I37" i="17" s="1"/>
  <c r="D37" i="17" a="1"/>
  <c r="D37" i="17" s="1"/>
  <c r="I33" i="17" a="1"/>
  <c r="I33" i="17" s="1"/>
  <c r="D32" i="17" a="1"/>
  <c r="D32" i="17" s="1"/>
  <c r="J31" i="17" a="1"/>
  <c r="J31" i="17" s="1"/>
  <c r="D30" i="17" a="1"/>
  <c r="D30" i="17" s="1"/>
  <c r="M43" i="17" a="1"/>
  <c r="M43" i="17" s="1"/>
  <c r="L41" i="17" a="1"/>
  <c r="L41" i="17" s="1"/>
  <c r="F41" i="17" a="1"/>
  <c r="F41" i="17" s="1"/>
  <c r="F31" i="17" a="1"/>
  <c r="F31" i="17" s="1"/>
  <c r="E22" i="17" a="1"/>
  <c r="E22" i="17" s="1"/>
  <c r="M23" i="17" a="1"/>
  <c r="M23" i="17" s="1"/>
  <c r="M19" i="17" a="1"/>
  <c r="M19" i="17" s="1"/>
  <c r="M15" i="17" a="1"/>
  <c r="M15" i="17" s="1"/>
  <c r="L22" i="17" a="1"/>
  <c r="L22" i="17" s="1"/>
  <c r="L18" i="17" a="1"/>
  <c r="L18" i="17" s="1"/>
  <c r="L10" i="17" a="1"/>
  <c r="L10" i="17" s="1"/>
  <c r="K21" i="17" a="1"/>
  <c r="K21" i="17" s="1"/>
  <c r="G18" i="17" a="1"/>
  <c r="G18" i="17" s="1"/>
  <c r="G10" i="17" a="1"/>
  <c r="G10" i="17" s="1"/>
  <c r="F21" i="17" a="1"/>
  <c r="F21" i="17" s="1"/>
  <c r="F14" i="17" a="1"/>
  <c r="F14" i="17" s="1"/>
  <c r="Q23" i="17"/>
  <c r="Q21" i="17"/>
  <c r="N33" i="17" a="1"/>
  <c r="N33" i="17" s="1"/>
  <c r="E23" i="17" a="1"/>
  <c r="E23" i="17" s="1"/>
  <c r="L23" i="17" a="1"/>
  <c r="L23" i="17" s="1"/>
  <c r="D29" i="17" a="1"/>
  <c r="D29" i="17" s="1"/>
  <c r="I38" i="17" a="1"/>
  <c r="I38" i="17" s="1"/>
  <c r="J37" i="17" a="1"/>
  <c r="J37" i="17" s="1"/>
  <c r="C37" i="17" a="1"/>
  <c r="C37" i="17" s="1"/>
  <c r="J33" i="17" a="1"/>
  <c r="J33" i="17" s="1"/>
  <c r="AH10" i="20"/>
  <c r="AH22" i="20"/>
  <c r="AH11" i="20"/>
  <c r="E34" i="17" a="1"/>
  <c r="E34" i="17" s="1"/>
  <c r="H34" i="17" a="1"/>
  <c r="H34" i="17" s="1"/>
  <c r="M34" i="17" a="1"/>
  <c r="M34" i="17" s="1"/>
  <c r="C36" i="17" a="1"/>
  <c r="C36" i="17" s="1"/>
  <c r="F38" i="17" a="1"/>
  <c r="F38" i="17" s="1"/>
  <c r="L38" i="17" a="1"/>
  <c r="L38" i="17" s="1"/>
  <c r="L19" i="17" a="1"/>
  <c r="L19" i="17" s="1"/>
  <c r="N35" i="17" a="1"/>
  <c r="N35" i="17" s="1"/>
  <c r="C35" i="17" a="1"/>
  <c r="C35" i="17" s="1"/>
  <c r="L35" i="17" a="1"/>
  <c r="L35" i="17" s="1"/>
  <c r="I31" i="17" a="1"/>
  <c r="I31" i="17" s="1"/>
  <c r="K39" i="17" a="1"/>
  <c r="K39" i="17" s="1"/>
  <c r="N13" i="17" a="1"/>
  <c r="N13" i="17" s="1"/>
  <c r="F18" i="17" a="1"/>
  <c r="F18" i="17" s="1"/>
  <c r="K13" i="17" a="1"/>
  <c r="K13" i="17" s="1"/>
  <c r="G13" i="17" a="1"/>
  <c r="G13" i="17" s="1"/>
  <c r="L13" i="17" a="1"/>
  <c r="L13" i="17" s="1"/>
  <c r="C39" i="17" a="1"/>
  <c r="C39" i="17" s="1"/>
  <c r="F17" i="17" a="1"/>
  <c r="F17" i="17" s="1"/>
  <c r="C10" i="17" a="1"/>
  <c r="C10" i="17" s="1"/>
  <c r="F37" i="17" a="1"/>
  <c r="F37" i="17" s="1"/>
  <c r="N39" i="17" a="1"/>
  <c r="N39" i="17" s="1"/>
  <c r="F19" i="17" a="1"/>
  <c r="F19" i="17" s="1"/>
  <c r="J17" i="17" a="1"/>
  <c r="J17" i="17" s="1"/>
  <c r="K23" i="17" a="1"/>
  <c r="K23" i="17" s="1"/>
  <c r="H37" i="17" a="1"/>
  <c r="H37" i="17" s="1"/>
  <c r="G23" i="17" a="1"/>
  <c r="G23" i="17" s="1"/>
  <c r="G14" i="17" a="1"/>
  <c r="G14" i="17" s="1"/>
  <c r="L14" i="17" a="1"/>
  <c r="L14" i="17" s="1"/>
  <c r="M11" i="17" a="1"/>
  <c r="M11" i="17" s="1"/>
  <c r="L43" i="17" a="1"/>
  <c r="L43" i="17" s="1"/>
  <c r="H36" i="17" a="1"/>
  <c r="H36" i="17" s="1"/>
  <c r="C38" i="17" a="1"/>
  <c r="C38" i="17" s="1"/>
  <c r="C43" i="17" a="1"/>
  <c r="C43" i="17" s="1"/>
  <c r="K34" i="17" a="1"/>
  <c r="K34" i="17" s="1"/>
  <c r="G34" i="17" a="1"/>
  <c r="G34" i="17" s="1"/>
  <c r="L17" i="17" a="1"/>
  <c r="L17" i="17" s="1"/>
  <c r="D38" i="17" a="1"/>
  <c r="D38" i="17" s="1"/>
  <c r="M38" i="17" a="1"/>
  <c r="M38" i="17" s="1"/>
  <c r="D19" i="17" a="1"/>
  <c r="D19" i="17" s="1"/>
  <c r="J35" i="17" a="1"/>
  <c r="J35" i="17" s="1"/>
  <c r="F35" i="17" a="1"/>
  <c r="F35" i="17" s="1"/>
  <c r="K14" i="17" a="1"/>
  <c r="K14" i="17" s="1"/>
  <c r="N38" i="17" a="1"/>
  <c r="N38" i="17" s="1"/>
  <c r="E13" i="17" a="1"/>
  <c r="E13" i="17" s="1"/>
  <c r="C30" i="17" a="1"/>
  <c r="C30" i="17" s="1"/>
  <c r="H30" i="17" a="1"/>
  <c r="H30" i="17" s="1"/>
  <c r="G21" i="17" a="1"/>
  <c r="G21" i="17" s="1"/>
  <c r="E21" i="17" a="1"/>
  <c r="E21" i="17" s="1"/>
  <c r="G30" i="17" a="1"/>
  <c r="G30" i="17" s="1"/>
  <c r="G41" i="17" a="1"/>
  <c r="G41" i="17" s="1"/>
  <c r="P22" i="17"/>
  <c r="J22" i="17" a="1"/>
  <c r="J22" i="17" s="1"/>
  <c r="H22" i="17" a="1"/>
  <c r="H22" i="17" s="1"/>
  <c r="G39" i="17" a="1"/>
  <c r="G39" i="17" s="1"/>
  <c r="L37" i="17" a="1"/>
  <c r="L37" i="17" s="1"/>
  <c r="D33" i="17" a="1"/>
  <c r="D33" i="17" s="1"/>
  <c r="D15" i="17" a="1"/>
  <c r="D15" i="17" s="1"/>
  <c r="F13" i="17" a="1"/>
  <c r="F13" i="17" s="1"/>
  <c r="H11" i="17" a="1"/>
  <c r="H11" i="17" s="1"/>
  <c r="N41" i="17" a="1"/>
  <c r="N41" i="17" s="1"/>
  <c r="G38" i="17" a="1"/>
  <c r="G38" i="17" s="1"/>
  <c r="K36" i="17" a="1"/>
  <c r="K36" i="17" s="1"/>
  <c r="N32" i="17" a="1"/>
  <c r="N32" i="17" s="1"/>
  <c r="L30" i="17" a="1"/>
  <c r="L30" i="17" s="1"/>
  <c r="I23" i="17" a="1"/>
  <c r="I23" i="17" s="1"/>
  <c r="M17" i="17" a="1"/>
  <c r="M17" i="17" s="1"/>
  <c r="D41" i="17" a="1"/>
  <c r="D41" i="17" s="1"/>
  <c r="I19" i="17" a="1"/>
  <c r="I19" i="17" s="1"/>
  <c r="C22" i="17" a="1"/>
  <c r="C22" i="17" s="1"/>
  <c r="S22" i="17" s="1"/>
  <c r="J41" i="17" a="1"/>
  <c r="J41" i="17" s="1"/>
  <c r="I18" i="17" a="1"/>
  <c r="I18" i="17" s="1"/>
  <c r="I14" i="17" a="1"/>
  <c r="I14" i="17" s="1"/>
  <c r="F30" i="17" a="1"/>
  <c r="F30" i="17" s="1"/>
  <c r="L33" i="17" a="1"/>
  <c r="L33" i="17" s="1"/>
  <c r="H18" i="17" a="1"/>
  <c r="H18" i="17" s="1"/>
  <c r="D24" i="17" a="1"/>
  <c r="D24" i="17" s="1"/>
  <c r="L32" i="17" a="1"/>
  <c r="L32" i="17" s="1"/>
  <c r="Q24" i="17"/>
  <c r="F40" i="17" a="1"/>
  <c r="F40" i="17" s="1"/>
  <c r="J14" i="17" a="1"/>
  <c r="J14" i="17" s="1"/>
  <c r="J20" i="17" a="1"/>
  <c r="J20" i="17" s="1"/>
  <c r="P24" i="17"/>
  <c r="K40" i="17" a="1"/>
  <c r="K40" i="17" s="1"/>
  <c r="G32" i="17" a="1"/>
  <c r="G32" i="17" s="1"/>
  <c r="H40" i="17" a="1"/>
  <c r="H40" i="17" s="1"/>
  <c r="D21" i="17" a="1"/>
  <c r="D21" i="17" s="1"/>
  <c r="F32" i="17" a="1"/>
  <c r="F32" i="17" s="1"/>
  <c r="F39" i="17" a="1"/>
  <c r="F39" i="17" s="1"/>
  <c r="N21" i="17" a="1"/>
  <c r="N21" i="17" s="1"/>
  <c r="H32" i="17" a="1"/>
  <c r="H32" i="17" s="1"/>
  <c r="F23" i="17" a="1"/>
  <c r="F23" i="17" s="1"/>
  <c r="P18" i="17"/>
  <c r="C14" i="17" a="1"/>
  <c r="C14" i="17" s="1"/>
  <c r="F20" i="17" a="1"/>
  <c r="F20" i="17" s="1"/>
  <c r="M24" i="17" a="1"/>
  <c r="M24" i="17" s="1"/>
  <c r="N18" i="17" a="1"/>
  <c r="N18" i="17" s="1"/>
  <c r="K19" i="17" a="1"/>
  <c r="K19" i="17" s="1"/>
  <c r="M18" i="17" a="1"/>
  <c r="M18" i="17" s="1"/>
  <c r="N20" i="17" a="1"/>
  <c r="N20" i="17" s="1"/>
  <c r="D40" i="17" a="1"/>
  <c r="D40" i="17" s="1"/>
  <c r="N40" i="17" a="1"/>
  <c r="N40" i="17" s="1"/>
  <c r="C23" i="17" a="1"/>
  <c r="C23" i="17" s="1"/>
  <c r="S23" i="17" s="1"/>
  <c r="P14" i="17"/>
  <c r="F15" i="17" a="1"/>
  <c r="F15" i="17" s="1"/>
  <c r="M20" i="17" a="1"/>
  <c r="M20" i="17" s="1"/>
  <c r="L40" i="17" a="1"/>
  <c r="L40" i="17" s="1"/>
  <c r="C20" i="17" a="1"/>
  <c r="C20" i="17" s="1"/>
  <c r="S20" i="17" s="1"/>
  <c r="H24" i="17" a="1"/>
  <c r="H24" i="17" s="1"/>
  <c r="N23" i="17" a="1"/>
  <c r="N23" i="17" s="1"/>
  <c r="E38" i="17" a="1"/>
  <c r="E38" i="17" s="1"/>
  <c r="F24" i="17" a="1"/>
  <c r="F24" i="17" s="1"/>
  <c r="J23" i="17" a="1"/>
  <c r="J23" i="17" s="1"/>
  <c r="E37" i="17" a="1"/>
  <c r="E37" i="17" s="1"/>
  <c r="K33" i="17" a="1"/>
  <c r="K33" i="17" s="1"/>
  <c r="G31" i="17" a="1"/>
  <c r="G31" i="17" s="1"/>
  <c r="J18" i="17" a="1"/>
  <c r="J18" i="17" s="1"/>
  <c r="E31" i="17" a="1"/>
  <c r="E31" i="17" s="1"/>
  <c r="D31" i="17" a="1"/>
  <c r="D31" i="17" s="1"/>
  <c r="M32" i="17" a="1"/>
  <c r="M32" i="17" s="1"/>
  <c r="E43" i="17" a="1"/>
  <c r="E43" i="17" s="1"/>
  <c r="K31" i="17" a="1"/>
  <c r="K31" i="17" s="1"/>
  <c r="K10" i="17" a="1"/>
  <c r="K10" i="17" s="1"/>
  <c r="H33" i="17" a="1"/>
  <c r="H33" i="17" s="1"/>
  <c r="M42" i="17" a="1"/>
  <c r="M42" i="17" s="1"/>
  <c r="C33" i="17" a="1"/>
  <c r="C33" i="17" s="1"/>
  <c r="E39" i="17" a="1"/>
  <c r="E39" i="17" s="1"/>
  <c r="H17" i="17" a="1"/>
  <c r="H17" i="17" s="1"/>
  <c r="H12" i="17" a="1"/>
  <c r="H12" i="17" s="1"/>
  <c r="E14" i="17" a="1"/>
  <c r="E14" i="17" s="1"/>
  <c r="K24" i="17" a="1"/>
  <c r="K24" i="17" s="1"/>
  <c r="N24" i="17" a="1"/>
  <c r="N24" i="17" s="1"/>
  <c r="C17" i="17" a="1"/>
  <c r="C17" i="17" s="1"/>
  <c r="G17" i="17" a="1"/>
  <c r="G17" i="17" s="1"/>
  <c r="K32" i="17" a="1"/>
  <c r="K32" i="17" s="1"/>
  <c r="H23" i="17" a="1"/>
  <c r="H23" i="17" s="1"/>
  <c r="D11" i="17" a="1"/>
  <c r="D11" i="17" s="1"/>
  <c r="L20" i="17" a="1"/>
  <c r="L20" i="17" s="1"/>
  <c r="M37" i="17" a="1"/>
  <c r="M37" i="17" s="1"/>
  <c r="J24" i="17" a="1"/>
  <c r="J24" i="17" s="1"/>
  <c r="N31" i="17" a="1"/>
  <c r="N31" i="17" s="1"/>
  <c r="H21" i="17" a="1"/>
  <c r="H21" i="17" s="1"/>
  <c r="F33" i="17" a="1"/>
  <c r="F33" i="17" s="1"/>
  <c r="M39" i="17" a="1"/>
  <c r="M39" i="17" s="1"/>
  <c r="P21" i="17"/>
  <c r="I30" i="17" a="1"/>
  <c r="I30" i="17" s="1"/>
  <c r="L24" i="17" a="1"/>
  <c r="L24" i="17" s="1"/>
  <c r="J15" i="17" a="1"/>
  <c r="J15" i="17" s="1"/>
  <c r="I24" i="17" a="1"/>
  <c r="I24" i="17" s="1"/>
  <c r="P10" i="17"/>
  <c r="G37" i="17" a="1"/>
  <c r="G37" i="17" s="1"/>
  <c r="M31" i="17" a="1"/>
  <c r="M31" i="17" s="1"/>
  <c r="G15" i="17" a="1"/>
  <c r="G15" i="17" s="1"/>
  <c r="C31" i="17" a="1"/>
  <c r="C31" i="17" s="1"/>
  <c r="N14" i="17" a="1"/>
  <c r="N14" i="17" s="1"/>
  <c r="I15" i="17" a="1"/>
  <c r="I15" i="17" s="1"/>
  <c r="I10" i="17" a="1"/>
  <c r="I10" i="17" s="1"/>
  <c r="H15" i="17" a="1"/>
  <c r="H15" i="17" s="1"/>
  <c r="M14" i="17" a="1"/>
  <c r="M14" i="17" s="1"/>
  <c r="P13" i="17"/>
  <c r="N15" i="17" a="1"/>
  <c r="N15" i="17" s="1"/>
  <c r="M33" i="17" a="1"/>
  <c r="M33" i="17" s="1"/>
  <c r="G24" i="17" a="1"/>
  <c r="G24" i="17" s="1"/>
  <c r="P11" i="17"/>
  <c r="J43" i="17" a="1"/>
  <c r="J43" i="17" s="1"/>
  <c r="H43" i="17" a="1"/>
  <c r="H43" i="17" s="1"/>
  <c r="K18" i="17" a="1"/>
  <c r="K18" i="17" s="1"/>
  <c r="H14" i="17" a="1"/>
  <c r="H14" i="17" s="1"/>
  <c r="C18" i="17" a="1"/>
  <c r="C18" i="17" s="1"/>
  <c r="H13" i="17" a="1"/>
  <c r="H13" i="17" s="1"/>
  <c r="F43" i="17" a="1"/>
  <c r="F43" i="17" s="1"/>
  <c r="J39" i="17" a="1"/>
  <c r="J39" i="17" s="1"/>
  <c r="P15" i="17"/>
  <c r="N43" i="17" a="1"/>
  <c r="N43" i="17" s="1"/>
  <c r="D43" i="17" a="1"/>
  <c r="D43" i="17" s="1"/>
  <c r="I21" i="17" a="1"/>
  <c r="I21" i="17" s="1"/>
  <c r="K43" i="17" a="1"/>
  <c r="K43" i="17" s="1"/>
  <c r="L39" i="17" a="1"/>
  <c r="L39" i="17" s="1"/>
  <c r="M21" i="17" a="1"/>
  <c r="M21" i="17" s="1"/>
  <c r="K11" i="17" a="1"/>
  <c r="K11" i="17" s="1"/>
  <c r="Q11" i="17" s="1"/>
  <c r="G43" i="17" a="1"/>
  <c r="G43" i="17" s="1"/>
  <c r="H39" i="17" a="1"/>
  <c r="H39" i="17" s="1"/>
  <c r="C21" i="17" a="1"/>
  <c r="C21" i="17" s="1"/>
  <c r="S21" i="17" s="1"/>
  <c r="J21" i="17" a="1"/>
  <c r="J21" i="17" s="1"/>
  <c r="W92" i="19"/>
  <c r="AA16" i="1" a="1"/>
  <c r="AA16" i="1" s="1"/>
  <c r="Z11" i="1" a="1"/>
  <c r="Z11" i="1" s="1"/>
  <c r="Y10" i="1" a="1"/>
  <c r="Y10" i="1" s="1"/>
  <c r="R18" i="17"/>
  <c r="L31" i="17" a="1"/>
  <c r="L31" i="17" s="1"/>
  <c r="V3" i="19"/>
  <c r="Z7" i="3"/>
  <c r="X11" i="20"/>
  <c r="Y6" i="20"/>
  <c r="H4" i="4"/>
  <c r="H2" i="4"/>
  <c r="Y5" i="20"/>
  <c r="U4" i="1"/>
  <c r="U5" i="1"/>
  <c r="Y4" i="20"/>
  <c r="H3" i="4"/>
  <c r="U3" i="1"/>
  <c r="X5" i="20"/>
  <c r="X7" i="20"/>
  <c r="X6" i="20"/>
  <c r="H1" i="4"/>
  <c r="Y3" i="20"/>
  <c r="U2" i="1"/>
  <c r="X4" i="20"/>
  <c r="X3" i="20"/>
  <c r="K42" i="17" l="1" a="1"/>
  <c r="K42" i="17" s="1"/>
  <c r="H42" i="17" a="1"/>
  <c r="H42" i="17" s="1"/>
  <c r="G35" i="17" a="1"/>
  <c r="G35" i="17" s="1"/>
  <c r="G42" i="17" a="1"/>
  <c r="G42" i="17" s="1"/>
  <c r="E30" i="17" a="1"/>
  <c r="E30" i="17" s="1"/>
  <c r="M12" i="17" a="1"/>
  <c r="M12" i="17" s="1"/>
  <c r="N11" i="17" a="1"/>
  <c r="N11" i="17" s="1"/>
  <c r="C32" i="17" a="1"/>
  <c r="C32" i="17" s="1"/>
  <c r="I32" i="17" a="1"/>
  <c r="I32" i="17" s="1"/>
  <c r="J32" i="17" a="1"/>
  <c r="J32" i="17" s="1"/>
  <c r="U11" i="1"/>
  <c r="U8" i="1"/>
  <c r="H8" i="4"/>
  <c r="N10" i="17" a="1"/>
  <c r="N10" i="17" s="1"/>
  <c r="K29" i="17" a="1"/>
  <c r="K29" i="17" s="1"/>
  <c r="H5" i="4"/>
  <c r="U21" i="1"/>
  <c r="J16" i="17" a="1"/>
  <c r="J16" i="17" s="1"/>
  <c r="Y12" i="20"/>
  <c r="H16" i="4"/>
  <c r="U22" i="1"/>
  <c r="U23" i="1"/>
  <c r="L36" i="17" a="1"/>
  <c r="L36" i="17" s="1"/>
  <c r="I16" i="17" a="1"/>
  <c r="I16" i="17" s="1"/>
  <c r="L16" i="17" a="1"/>
  <c r="L16" i="17" s="1"/>
  <c r="N16" i="17" a="1"/>
  <c r="N16" i="17" s="1"/>
  <c r="H10" i="4"/>
  <c r="H11" i="4"/>
  <c r="H15" i="4"/>
  <c r="U16" i="1"/>
  <c r="E16" i="17" a="1"/>
  <c r="E16" i="17" s="1"/>
  <c r="Y14" i="20"/>
  <c r="P16" i="17"/>
  <c r="H12" i="4"/>
  <c r="U13" i="1"/>
  <c r="Y10" i="20"/>
  <c r="Y18" i="20"/>
  <c r="U14" i="1"/>
  <c r="E36" i="17" a="1"/>
  <c r="E36" i="17" s="1"/>
  <c r="G36" i="17" a="1"/>
  <c r="G36" i="17" s="1"/>
  <c r="Y7" i="20"/>
  <c r="U18" i="1"/>
  <c r="U7" i="1"/>
  <c r="C16" i="17" a="1"/>
  <c r="C16" i="17" s="1"/>
  <c r="F16" i="17" a="1"/>
  <c r="F16" i="17" s="1"/>
  <c r="U19" i="1"/>
  <c r="G16" i="17" a="1"/>
  <c r="G16" i="17" s="1"/>
  <c r="U9" i="1"/>
  <c r="H13" i="4"/>
  <c r="U6" i="1"/>
  <c r="U12" i="1"/>
  <c r="K16" i="17" a="1"/>
  <c r="K16" i="17" s="1"/>
  <c r="I36" i="17" a="1"/>
  <c r="I36" i="17" s="1"/>
  <c r="J36" i="17" a="1"/>
  <c r="J36" i="17" s="1"/>
  <c r="U10" i="1"/>
  <c r="Y13" i="20"/>
  <c r="U17" i="1"/>
  <c r="Y17" i="20"/>
  <c r="H6" i="4"/>
  <c r="Y11" i="20"/>
  <c r="H9" i="4"/>
  <c r="Y16" i="20"/>
  <c r="E12" i="17" a="1"/>
  <c r="E12" i="17" s="1"/>
  <c r="L12" i="17" a="1"/>
  <c r="L12" i="17" s="1"/>
  <c r="D12" i="17" a="1"/>
  <c r="D12" i="17" s="1"/>
  <c r="C12" i="17" a="1"/>
  <c r="C12" i="17" s="1"/>
  <c r="P12" i="17"/>
  <c r="K12" i="17" a="1"/>
  <c r="K12" i="17" s="1"/>
  <c r="V7" i="3" s="1"/>
  <c r="J12" i="17" a="1"/>
  <c r="J12" i="17" s="1"/>
  <c r="I12" i="17" a="1"/>
  <c r="I12" i="17" s="1"/>
  <c r="X14" i="20"/>
  <c r="AM14" i="20" s="1" a="1"/>
  <c r="AM14" i="20" s="1"/>
  <c r="G12" i="17" a="1"/>
  <c r="G12" i="17" s="1"/>
  <c r="F12" i="17" a="1"/>
  <c r="F12" i="17" s="1"/>
  <c r="R12" i="17" s="1"/>
  <c r="X12" i="20"/>
  <c r="AJ12" i="20" s="1" a="1"/>
  <c r="AJ12" i="20" s="1"/>
  <c r="F11" i="17" a="1"/>
  <c r="F11" i="17" s="1"/>
  <c r="C11" i="17" a="1"/>
  <c r="C11" i="17" s="1"/>
  <c r="G11" i="17" a="1"/>
  <c r="G11" i="17" s="1"/>
  <c r="J11" i="17" a="1"/>
  <c r="J11" i="17" s="1"/>
  <c r="L11" i="17" a="1"/>
  <c r="L11" i="17" s="1"/>
  <c r="AJ11" i="20" a="1"/>
  <c r="AJ11" i="20" s="1"/>
  <c r="G29" i="17" a="1"/>
  <c r="G29" i="17" s="1"/>
  <c r="U9" i="3" s="1"/>
  <c r="J29" i="17" a="1"/>
  <c r="J29" i="17" s="1"/>
  <c r="I29" i="17" a="1"/>
  <c r="I29" i="17" s="1"/>
  <c r="X17" i="20"/>
  <c r="C29" i="17" a="1"/>
  <c r="C29" i="17" s="1"/>
  <c r="H29" i="17" a="1"/>
  <c r="H29" i="17" s="1"/>
  <c r="E29" i="17" a="1"/>
  <c r="E29" i="17" s="1"/>
  <c r="S9" i="3" s="1"/>
  <c r="N29" i="17" a="1"/>
  <c r="N29" i="17" s="1"/>
  <c r="M29" i="17" a="1"/>
  <c r="M29" i="17" s="1"/>
  <c r="L29" i="17" a="1"/>
  <c r="L29" i="17" s="1"/>
  <c r="X13" i="20"/>
  <c r="AJ13" i="20" s="1" a="1"/>
  <c r="AJ13" i="20" s="1"/>
  <c r="X16" i="20"/>
  <c r="K38" i="17" a="1"/>
  <c r="K38" i="17" s="1"/>
  <c r="K37" i="17" a="1"/>
  <c r="K37" i="17" s="1"/>
  <c r="M36" i="17" a="1"/>
  <c r="M36" i="17" s="1"/>
  <c r="D34" i="17" a="1"/>
  <c r="D34" i="17" s="1"/>
  <c r="D18" i="17" a="1"/>
  <c r="D18" i="17" s="1"/>
  <c r="P17" i="17"/>
  <c r="D16" i="17" a="1"/>
  <c r="D16" i="17" s="1"/>
  <c r="I11" i="17" a="1"/>
  <c r="I11" i="17" s="1"/>
  <c r="F10" i="17" a="1"/>
  <c r="F10" i="17" s="1"/>
  <c r="R10" i="17" s="1"/>
  <c r="O11" i="42"/>
  <c r="K9" i="42"/>
  <c r="E23" i="43"/>
  <c r="K7" i="42"/>
  <c r="E21" i="43"/>
  <c r="AH9" i="42"/>
  <c r="C19" i="17" a="1"/>
  <c r="C19" i="17" s="1"/>
  <c r="S19" i="17" s="1"/>
  <c r="K41" i="17" a="1"/>
  <c r="K41" i="17" s="1"/>
  <c r="M41" i="17" a="1"/>
  <c r="M41" i="17" s="1"/>
  <c r="H41" i="17" a="1"/>
  <c r="H41" i="17" s="1"/>
  <c r="I34" i="17" a="1"/>
  <c r="I34" i="17" s="1"/>
  <c r="J13" i="17" a="1"/>
  <c r="J13" i="17" s="1"/>
  <c r="I41" i="17" a="1"/>
  <c r="I41" i="17" s="1"/>
  <c r="N36" i="17" a="1"/>
  <c r="N36" i="17" s="1"/>
  <c r="H31" i="17" a="1"/>
  <c r="H31" i="17" s="1"/>
  <c r="H14" i="4"/>
  <c r="G25" i="43"/>
  <c r="K12" i="42"/>
  <c r="AD13" i="42"/>
  <c r="N22" i="43"/>
  <c r="Q22" i="43" s="1"/>
  <c r="S22" i="43" s="1"/>
  <c r="M56" i="20"/>
  <c r="M74" i="21"/>
  <c r="D74" i="21" s="1"/>
  <c r="P74" i="21" s="1"/>
  <c r="M43" i="43"/>
  <c r="S24" i="43"/>
  <c r="A77" i="21"/>
  <c r="G77" i="21" s="1"/>
  <c r="M38" i="21"/>
  <c r="C38" i="21" s="1"/>
  <c r="M45" i="21"/>
  <c r="D45" i="21" s="1"/>
  <c r="P45" i="21" s="1"/>
  <c r="A68" i="21"/>
  <c r="G68" i="21" s="1"/>
  <c r="M115" i="20"/>
  <c r="M71" i="20"/>
  <c r="M28" i="20"/>
  <c r="M64" i="21"/>
  <c r="C64" i="21" s="1"/>
  <c r="M37" i="21"/>
  <c r="C37" i="21" s="1"/>
  <c r="M59" i="21"/>
  <c r="D59" i="21" s="1"/>
  <c r="P59" i="21" s="1"/>
  <c r="M36" i="21"/>
  <c r="D36" i="21" s="1"/>
  <c r="P36" i="21" s="1"/>
  <c r="A33" i="21"/>
  <c r="G33" i="21" s="1"/>
  <c r="A42" i="21"/>
  <c r="G42" i="21" s="1"/>
  <c r="A47" i="21"/>
  <c r="G47" i="21" s="1"/>
  <c r="M53" i="21"/>
  <c r="D53" i="21" s="1"/>
  <c r="A45" i="21"/>
  <c r="G45" i="21" s="1"/>
  <c r="M94" i="21"/>
  <c r="D94" i="21" s="1"/>
  <c r="P94" i="21" s="1"/>
  <c r="M355" i="20"/>
  <c r="N276" i="20"/>
  <c r="N78" i="20"/>
  <c r="S18" i="17"/>
  <c r="R19" i="17"/>
  <c r="Q19" i="17"/>
  <c r="R13" i="17"/>
  <c r="R14" i="17"/>
  <c r="S14" i="17"/>
  <c r="Q13" i="17"/>
  <c r="Q15" i="17"/>
  <c r="R16" i="17"/>
  <c r="S15" i="17"/>
  <c r="Q16" i="17"/>
  <c r="S10" i="17"/>
  <c r="Q14" i="17"/>
  <c r="S13" i="17"/>
  <c r="Q18" i="17"/>
  <c r="Q10" i="17"/>
  <c r="R17" i="17"/>
  <c r="C34" i="17" a="1"/>
  <c r="C34" i="17" s="1"/>
  <c r="N34" i="17" a="1"/>
  <c r="N34" i="17" s="1"/>
  <c r="AA15" i="1" a="1"/>
  <c r="AA15" i="1" s="1"/>
  <c r="Z12" i="1" a="1"/>
  <c r="Z12" i="1" s="1"/>
  <c r="R15" i="17"/>
  <c r="H17" i="4"/>
  <c r="J34" i="17" a="1"/>
  <c r="J34" i="17" s="1"/>
  <c r="F36" i="17" a="1"/>
  <c r="F36" i="17" s="1"/>
  <c r="T9" i="3" s="1"/>
  <c r="X7" i="3"/>
  <c r="U20" i="1"/>
  <c r="U15" i="1"/>
  <c r="L34" i="17" a="1"/>
  <c r="L34" i="17" s="1"/>
  <c r="E17" i="17" a="1"/>
  <c r="E17" i="17" s="1"/>
  <c r="Q17" i="17" s="1"/>
  <c r="X13" i="1" a="1"/>
  <c r="X13" i="1" s="1"/>
  <c r="M74" i="20"/>
  <c r="S16" i="17"/>
  <c r="H7" i="4"/>
  <c r="X18" i="20"/>
  <c r="M28" i="43"/>
  <c r="M461" i="20"/>
  <c r="M367" i="20"/>
  <c r="N2" i="3"/>
  <c r="M313" i="20"/>
  <c r="M256" i="20"/>
  <c r="M255" i="20"/>
  <c r="M246" i="20"/>
  <c r="M243" i="20"/>
  <c r="N366" i="20"/>
  <c r="M424" i="20"/>
  <c r="M418" i="20"/>
  <c r="M379" i="20"/>
  <c r="M205" i="20"/>
  <c r="M197" i="20"/>
  <c r="M193" i="20"/>
  <c r="M168" i="20"/>
  <c r="M159" i="20"/>
  <c r="M70" i="20"/>
  <c r="M58" i="20"/>
  <c r="M53" i="20"/>
  <c r="M51" i="20"/>
  <c r="N21" i="43"/>
  <c r="Q21" i="43" s="1"/>
  <c r="AH4" i="42"/>
  <c r="M341" i="20"/>
  <c r="M328" i="20"/>
  <c r="M327" i="20"/>
  <c r="M308" i="20"/>
  <c r="M187" i="20"/>
  <c r="N96" i="20"/>
  <c r="M119" i="20"/>
  <c r="M116" i="20"/>
  <c r="M64" i="20"/>
  <c r="M410" i="20"/>
  <c r="M441" i="20"/>
  <c r="M438" i="20"/>
  <c r="N311" i="20"/>
  <c r="N257" i="20"/>
  <c r="M166" i="20"/>
  <c r="M160" i="20"/>
  <c r="M65" i="20"/>
  <c r="AH7" i="20"/>
  <c r="M479" i="20"/>
  <c r="M100" i="20"/>
  <c r="M29" i="20"/>
  <c r="M365" i="20"/>
  <c r="N312" i="20"/>
  <c r="M268" i="20"/>
  <c r="M194" i="20"/>
  <c r="M123" i="20"/>
  <c r="A31" i="21"/>
  <c r="G31" i="21" s="1"/>
  <c r="AH5" i="20"/>
  <c r="M471" i="20"/>
  <c r="M383" i="20"/>
  <c r="M312" i="20"/>
  <c r="N258" i="20"/>
  <c r="M477" i="20"/>
  <c r="N418" i="20"/>
  <c r="M60" i="20"/>
  <c r="M307" i="20"/>
  <c r="M421" i="20"/>
  <c r="M229" i="20"/>
  <c r="M225" i="20"/>
  <c r="M89" i="21"/>
  <c r="C89" i="21" s="1"/>
  <c r="M393" i="20"/>
  <c r="M392" i="20"/>
  <c r="M132" i="20"/>
  <c r="N193" i="20"/>
  <c r="A114" i="21"/>
  <c r="G114" i="21" s="1"/>
  <c r="M93" i="21"/>
  <c r="C93" i="21" s="1"/>
  <c r="AH3" i="20"/>
  <c r="M366" i="20"/>
  <c r="M364" i="20"/>
  <c r="M362" i="20"/>
  <c r="M258" i="20"/>
  <c r="M96" i="20"/>
  <c r="M337" i="20"/>
  <c r="M283" i="20"/>
  <c r="M158" i="20"/>
  <c r="M124" i="20"/>
  <c r="M435" i="20"/>
  <c r="M372" i="20"/>
  <c r="M369" i="20"/>
  <c r="M319" i="20"/>
  <c r="M277" i="20"/>
  <c r="N266" i="20"/>
  <c r="M264" i="20"/>
  <c r="M259" i="20"/>
  <c r="M186" i="20"/>
  <c r="N184" i="20"/>
  <c r="M179" i="20"/>
  <c r="M103" i="20"/>
  <c r="M493" i="20"/>
  <c r="N178" i="20"/>
  <c r="N177" i="20"/>
  <c r="Z1" i="20" a="1"/>
  <c r="Z1" i="20" s="1"/>
  <c r="V4" i="19" s="1"/>
  <c r="N205" i="20"/>
  <c r="M210" i="20"/>
  <c r="M209" i="20"/>
  <c r="N204" i="20"/>
  <c r="N203" i="20"/>
  <c r="M138" i="20"/>
  <c r="N128" i="20"/>
  <c r="N34" i="20"/>
  <c r="N494" i="20"/>
  <c r="M82" i="21"/>
  <c r="D82" i="21" s="1"/>
  <c r="M103" i="21"/>
  <c r="C103" i="21" s="1"/>
  <c r="M84" i="21"/>
  <c r="D84" i="21" s="1"/>
  <c r="P84" i="21" s="1"/>
  <c r="A91" i="21"/>
  <c r="G91" i="21" s="1"/>
  <c r="M476" i="20"/>
  <c r="M460" i="20"/>
  <c r="M459" i="20"/>
  <c r="M455" i="20"/>
  <c r="M409" i="20"/>
  <c r="M408" i="20"/>
  <c r="M402" i="20"/>
  <c r="M350" i="20"/>
  <c r="M349" i="20"/>
  <c r="M348" i="20"/>
  <c r="N302" i="20"/>
  <c r="M296" i="20"/>
  <c r="M292" i="20"/>
  <c r="M290" i="20"/>
  <c r="N282" i="20"/>
  <c r="M245" i="20"/>
  <c r="M244" i="20"/>
  <c r="M39" i="20"/>
  <c r="M38" i="20"/>
  <c r="M42" i="20"/>
  <c r="A111" i="21"/>
  <c r="G111" i="21" s="1"/>
  <c r="M453" i="20"/>
  <c r="M234" i="20"/>
  <c r="A80" i="21"/>
  <c r="G80" i="21" s="1"/>
  <c r="M447" i="20"/>
  <c r="N382" i="20"/>
  <c r="M331" i="20"/>
  <c r="N330" i="20"/>
  <c r="N329" i="20"/>
  <c r="M281" i="20"/>
  <c r="M279" i="20"/>
  <c r="N275" i="20"/>
  <c r="M228" i="20"/>
  <c r="M223" i="20"/>
  <c r="N222" i="20"/>
  <c r="M174" i="20"/>
  <c r="M171" i="20"/>
  <c r="N170" i="20"/>
  <c r="M125" i="20"/>
  <c r="N119" i="20"/>
  <c r="M83" i="20"/>
  <c r="N75" i="20"/>
  <c r="N69" i="20"/>
  <c r="N348" i="20"/>
  <c r="M357" i="20"/>
  <c r="M170" i="20"/>
  <c r="M78" i="20"/>
  <c r="M467" i="20"/>
  <c r="M405" i="20"/>
  <c r="N347" i="20"/>
  <c r="M295" i="20"/>
  <c r="N294" i="20"/>
  <c r="M293" i="20"/>
  <c r="M241" i="20"/>
  <c r="N240" i="20"/>
  <c r="N239" i="20"/>
  <c r="N105" i="20"/>
  <c r="N51" i="20"/>
  <c r="M429" i="20"/>
  <c r="M185" i="20"/>
  <c r="M142" i="20"/>
  <c r="M54" i="20"/>
  <c r="N30" i="20"/>
  <c r="N28" i="20"/>
  <c r="Q38" i="43"/>
  <c r="S38" i="43" s="1"/>
  <c r="P38" i="43"/>
  <c r="K6" i="42"/>
  <c r="N41" i="43"/>
  <c r="O10" i="42"/>
  <c r="AH8" i="42"/>
  <c r="N34" i="43"/>
  <c r="Q34" i="43" s="1"/>
  <c r="S34" i="43" s="1"/>
  <c r="O12" i="42"/>
  <c r="A66" i="21"/>
  <c r="G66" i="21" s="1"/>
  <c r="A73" i="21"/>
  <c r="G73" i="21" s="1"/>
  <c r="A110" i="21"/>
  <c r="G110" i="21" s="1"/>
  <c r="A56" i="21"/>
  <c r="G56" i="21" s="1"/>
  <c r="M52" i="21"/>
  <c r="D52" i="21" s="1"/>
  <c r="P52" i="21" s="1"/>
  <c r="A112" i="21"/>
  <c r="G112" i="21" s="1"/>
  <c r="A81" i="21"/>
  <c r="G81" i="21" s="1"/>
  <c r="M105" i="21"/>
  <c r="C105" i="21" s="1"/>
  <c r="A34" i="21"/>
  <c r="G34" i="21" s="1"/>
  <c r="A79" i="21"/>
  <c r="G79" i="21" s="1"/>
  <c r="M40" i="20"/>
  <c r="A40" i="21"/>
  <c r="G40" i="21" s="1"/>
  <c r="M117" i="21"/>
  <c r="D117" i="21" s="1"/>
  <c r="P117" i="21" s="1"/>
  <c r="M61" i="21"/>
  <c r="C61" i="21" s="1"/>
  <c r="A93" i="21"/>
  <c r="G93" i="21" s="1"/>
  <c r="M97" i="21"/>
  <c r="D97" i="21" s="1"/>
  <c r="P97" i="21" s="1"/>
  <c r="M285" i="20"/>
  <c r="M231" i="20"/>
  <c r="A55" i="21"/>
  <c r="G55" i="21" s="1"/>
  <c r="N446" i="20"/>
  <c r="M176" i="20"/>
  <c r="A37" i="21"/>
  <c r="G37" i="21" s="1"/>
  <c r="M99" i="21"/>
  <c r="C99" i="21" s="1"/>
  <c r="M100" i="21"/>
  <c r="D100" i="21" s="1"/>
  <c r="P100" i="21" s="1"/>
  <c r="M109" i="21"/>
  <c r="C109" i="21" s="1"/>
  <c r="M55" i="21"/>
  <c r="C55" i="21" s="1"/>
  <c r="M454" i="20"/>
  <c r="A105" i="21"/>
  <c r="G105" i="21" s="1"/>
  <c r="A62" i="21"/>
  <c r="G62" i="21" s="1"/>
  <c r="M67" i="21"/>
  <c r="C67" i="21" s="1"/>
  <c r="A49" i="21"/>
  <c r="G49" i="21" s="1"/>
  <c r="A41" i="21"/>
  <c r="G41" i="21" s="1"/>
  <c r="M95" i="21"/>
  <c r="C95" i="21" s="1"/>
  <c r="A116" i="21"/>
  <c r="G116" i="21" s="1"/>
  <c r="M111" i="21"/>
  <c r="D111" i="21" s="1"/>
  <c r="P111" i="21" s="1"/>
  <c r="A74" i="21"/>
  <c r="G74" i="21" s="1"/>
  <c r="M83" i="21"/>
  <c r="C83" i="21" s="1"/>
  <c r="A90" i="21"/>
  <c r="G90" i="21" s="1"/>
  <c r="A87" i="21"/>
  <c r="G87" i="21" s="1"/>
  <c r="A94" i="21"/>
  <c r="G94" i="21" s="1"/>
  <c r="M48" i="21"/>
  <c r="C48" i="21" s="1"/>
  <c r="A65" i="21"/>
  <c r="G65" i="21" s="1"/>
  <c r="A104" i="21"/>
  <c r="G104" i="21" s="1"/>
  <c r="M86" i="21"/>
  <c r="D86" i="21" s="1"/>
  <c r="P86" i="21" s="1"/>
  <c r="M71" i="21"/>
  <c r="D71" i="21" s="1"/>
  <c r="P71" i="21" s="1"/>
  <c r="A75" i="21"/>
  <c r="G75" i="21" s="1"/>
  <c r="M31" i="21"/>
  <c r="D31" i="21" s="1"/>
  <c r="P31" i="21" s="1"/>
  <c r="A71" i="21"/>
  <c r="G71" i="21" s="1"/>
  <c r="M51" i="21"/>
  <c r="D51" i="21" s="1"/>
  <c r="P51" i="21" s="1"/>
  <c r="M107" i="21"/>
  <c r="D107" i="21" s="1"/>
  <c r="P107" i="21" s="1"/>
  <c r="M80" i="21"/>
  <c r="D80" i="21" s="1"/>
  <c r="P80" i="21" s="1"/>
  <c r="M34" i="21"/>
  <c r="D34" i="21" s="1"/>
  <c r="P34" i="21" s="1"/>
  <c r="M44" i="21"/>
  <c r="D44" i="21" s="1"/>
  <c r="A46" i="21"/>
  <c r="G46" i="21" s="1"/>
  <c r="M87" i="21"/>
  <c r="D87" i="21" s="1"/>
  <c r="P87" i="21" s="1"/>
  <c r="M116" i="21"/>
  <c r="C116" i="21" s="1"/>
  <c r="A63" i="21"/>
  <c r="G63" i="21" s="1"/>
  <c r="M32" i="21"/>
  <c r="C32" i="21" s="1"/>
  <c r="A59" i="21"/>
  <c r="G59" i="21" s="1"/>
  <c r="A76" i="21"/>
  <c r="G76" i="21" s="1"/>
  <c r="M106" i="21"/>
  <c r="D106" i="21" s="1"/>
  <c r="A57" i="21"/>
  <c r="A117" i="21"/>
  <c r="G117" i="21" s="1"/>
  <c r="M78" i="21"/>
  <c r="D78" i="21" s="1"/>
  <c r="P78" i="21" s="1"/>
  <c r="M54" i="21"/>
  <c r="C54" i="21" s="1"/>
  <c r="A89" i="21"/>
  <c r="G89" i="21" s="1"/>
  <c r="M114" i="21"/>
  <c r="C114" i="21" s="1"/>
  <c r="A60" i="21"/>
  <c r="G60" i="21" s="1"/>
  <c r="M46" i="21"/>
  <c r="C46" i="21" s="1"/>
  <c r="A61" i="21"/>
  <c r="G61" i="21" s="1"/>
  <c r="M49" i="21"/>
  <c r="C49" i="21" s="1"/>
  <c r="M92" i="21"/>
  <c r="C92" i="21" s="1"/>
  <c r="M81" i="21"/>
  <c r="D81" i="21" s="1"/>
  <c r="P81" i="21" s="1"/>
  <c r="M75" i="21"/>
  <c r="D75" i="21" s="1"/>
  <c r="P75" i="21" s="1"/>
  <c r="A82" i="21"/>
  <c r="G82" i="21" s="1"/>
  <c r="A70" i="21"/>
  <c r="G70" i="21" s="1"/>
  <c r="A92" i="21"/>
  <c r="G92" i="21" s="1"/>
  <c r="M115" i="21"/>
  <c r="C115" i="21" s="1"/>
  <c r="M39" i="21"/>
  <c r="C39" i="21" s="1"/>
  <c r="M40" i="21"/>
  <c r="C40" i="21" s="1"/>
  <c r="M104" i="21"/>
  <c r="C104" i="21" s="1"/>
  <c r="M43" i="21"/>
  <c r="C43" i="21" s="1"/>
  <c r="M77" i="21"/>
  <c r="D77" i="21" s="1"/>
  <c r="P77" i="21" s="1"/>
  <c r="A35" i="21"/>
  <c r="G35" i="21" s="1"/>
  <c r="M69" i="21"/>
  <c r="C69" i="21" s="1"/>
  <c r="M35" i="21"/>
  <c r="C35" i="21" s="1"/>
  <c r="M85" i="21"/>
  <c r="D85" i="21" s="1"/>
  <c r="P85" i="21" s="1"/>
  <c r="A101" i="21"/>
  <c r="G101" i="21" s="1"/>
  <c r="A44" i="21"/>
  <c r="G44" i="21" s="1"/>
  <c r="M58" i="21"/>
  <c r="D58" i="21" s="1"/>
  <c r="P58" i="21" s="1"/>
  <c r="A72" i="21"/>
  <c r="G72" i="21" s="1"/>
  <c r="M478" i="20"/>
  <c r="M361" i="20"/>
  <c r="M360" i="20"/>
  <c r="M301" i="20"/>
  <c r="M247" i="20"/>
  <c r="M195" i="20"/>
  <c r="M152" i="20"/>
  <c r="M149" i="20"/>
  <c r="M148" i="20"/>
  <c r="A95" i="21"/>
  <c r="G95" i="21" s="1"/>
  <c r="M57" i="21"/>
  <c r="D57" i="21" s="1"/>
  <c r="P57" i="21" s="1"/>
  <c r="M90" i="21"/>
  <c r="D90" i="21" s="1"/>
  <c r="M108" i="21"/>
  <c r="D108" i="21" s="1"/>
  <c r="P108" i="21" s="1"/>
  <c r="M76" i="21"/>
  <c r="C76" i="21" s="1"/>
  <c r="A97" i="21"/>
  <c r="M62" i="21"/>
  <c r="D62" i="21" s="1"/>
  <c r="M113" i="21"/>
  <c r="D113" i="21" s="1"/>
  <c r="M63" i="21"/>
  <c r="D63" i="21" s="1"/>
  <c r="P63" i="21" s="1"/>
  <c r="M96" i="21"/>
  <c r="C96" i="21" s="1"/>
  <c r="A99" i="21"/>
  <c r="G99" i="21" s="1"/>
  <c r="A51" i="21"/>
  <c r="G51" i="21" s="1"/>
  <c r="A39" i="21"/>
  <c r="G39" i="21" s="1"/>
  <c r="A113" i="21"/>
  <c r="G113" i="21" s="1"/>
  <c r="M50" i="21"/>
  <c r="D50" i="21" s="1"/>
  <c r="P50" i="21" s="1"/>
  <c r="A107" i="21"/>
  <c r="G107" i="21" s="1"/>
  <c r="A86" i="21"/>
  <c r="G86" i="21" s="1"/>
  <c r="M102" i="21"/>
  <c r="C102" i="21" s="1"/>
  <c r="A58" i="21"/>
  <c r="G58" i="21" s="1"/>
  <c r="A78" i="21"/>
  <c r="G78" i="21" s="1"/>
  <c r="A48" i="21"/>
  <c r="G48" i="21" s="1"/>
  <c r="M73" i="21"/>
  <c r="C73" i="21" s="1"/>
  <c r="A43" i="21"/>
  <c r="G43" i="21" s="1"/>
  <c r="A83" i="21"/>
  <c r="G83" i="21" s="1"/>
  <c r="A84" i="21"/>
  <c r="G84" i="21" s="1"/>
  <c r="M70" i="21"/>
  <c r="C70" i="21" s="1"/>
  <c r="A103" i="21"/>
  <c r="G103" i="21" s="1"/>
  <c r="M110" i="21"/>
  <c r="C110" i="21" s="1"/>
  <c r="A109" i="21"/>
  <c r="G109" i="21" s="1"/>
  <c r="M65" i="21"/>
  <c r="D65" i="21" s="1"/>
  <c r="P65" i="21" s="1"/>
  <c r="A54" i="21"/>
  <c r="G54" i="21" s="1"/>
  <c r="A30" i="21"/>
  <c r="G30" i="21" s="1"/>
  <c r="M56" i="21"/>
  <c r="C56" i="21" s="1"/>
  <c r="M79" i="21"/>
  <c r="D79" i="21" s="1"/>
  <c r="P79" i="21" s="1"/>
  <c r="A67" i="21"/>
  <c r="G67" i="21" s="1"/>
  <c r="M68" i="21"/>
  <c r="D68" i="21" s="1"/>
  <c r="P68" i="21" s="1"/>
  <c r="A96" i="21"/>
  <c r="G96" i="21" s="1"/>
  <c r="A100" i="21"/>
  <c r="G100" i="21" s="1"/>
  <c r="M47" i="21"/>
  <c r="D47" i="21" s="1"/>
  <c r="P47" i="21" s="1"/>
  <c r="M72" i="21"/>
  <c r="C72" i="21" s="1"/>
  <c r="A85" i="21"/>
  <c r="G85" i="21" s="1"/>
  <c r="A36" i="21"/>
  <c r="G36" i="21" s="1"/>
  <c r="A64" i="21"/>
  <c r="G64" i="21" s="1"/>
  <c r="A50" i="21"/>
  <c r="G50" i="21" s="1"/>
  <c r="A98" i="21"/>
  <c r="G98" i="21" s="1"/>
  <c r="A52" i="21"/>
  <c r="G52" i="21" s="1"/>
  <c r="M41" i="21"/>
  <c r="C41" i="21" s="1"/>
  <c r="A53" i="21"/>
  <c r="G53" i="21" s="1"/>
  <c r="M30" i="21"/>
  <c r="C30" i="21" s="1"/>
  <c r="M88" i="21"/>
  <c r="D88" i="21" s="1"/>
  <c r="A102" i="21"/>
  <c r="G102" i="21" s="1"/>
  <c r="M112" i="21"/>
  <c r="C112" i="21" s="1"/>
  <c r="M98" i="21"/>
  <c r="C98" i="21" s="1"/>
  <c r="A69" i="21"/>
  <c r="G69" i="21" s="1"/>
  <c r="A115" i="21"/>
  <c r="G115" i="21" s="1"/>
  <c r="M66" i="21"/>
  <c r="C66" i="21" s="1"/>
  <c r="A108" i="21"/>
  <c r="G108" i="21" s="1"/>
  <c r="A88" i="21"/>
  <c r="G88" i="21" s="1"/>
  <c r="M42" i="21"/>
  <c r="C42" i="21" s="1"/>
  <c r="M33" i="21"/>
  <c r="D33" i="21" s="1"/>
  <c r="A106" i="21"/>
  <c r="G106" i="21" s="1"/>
  <c r="M91" i="21"/>
  <c r="D91" i="21" s="1"/>
  <c r="P91" i="21" s="1"/>
  <c r="A38" i="21"/>
  <c r="G38" i="21" s="1"/>
  <c r="M60" i="21"/>
  <c r="C60" i="21" s="1"/>
  <c r="M101" i="21"/>
  <c r="C101" i="21" s="1"/>
  <c r="A32" i="21"/>
  <c r="G32" i="21" s="1"/>
  <c r="M378" i="20"/>
  <c r="M322" i="20"/>
  <c r="M267" i="20"/>
  <c r="M265" i="20"/>
  <c r="M211" i="20"/>
  <c r="M165" i="20"/>
  <c r="M110" i="20"/>
  <c r="N489" i="20"/>
  <c r="N488" i="20"/>
  <c r="N464" i="20"/>
  <c r="M161" i="20"/>
  <c r="M128" i="20"/>
  <c r="N123" i="20"/>
  <c r="M108" i="20"/>
  <c r="M106" i="20"/>
  <c r="N101" i="20"/>
  <c r="M72" i="20"/>
  <c r="N243" i="20"/>
  <c r="N208" i="20"/>
  <c r="N207" i="20"/>
  <c r="N159" i="20"/>
  <c r="N141" i="20"/>
  <c r="N5" i="3" a="1"/>
  <c r="N5" i="3" s="1"/>
  <c r="M466" i="20"/>
  <c r="M144" i="20"/>
  <c r="M143" i="20"/>
  <c r="N137" i="20"/>
  <c r="N87" i="20"/>
  <c r="N476" i="20"/>
  <c r="N452" i="20"/>
  <c r="M417" i="20"/>
  <c r="M381" i="20"/>
  <c r="M343" i="20"/>
  <c r="M342" i="20"/>
  <c r="M325" i="20"/>
  <c r="N306" i="20"/>
  <c r="M289" i="20"/>
  <c r="M271" i="20"/>
  <c r="N270" i="20"/>
  <c r="M253" i="20"/>
  <c r="M235" i="20"/>
  <c r="N234" i="20"/>
  <c r="M200" i="20"/>
  <c r="N199" i="20"/>
  <c r="M167" i="20"/>
  <c r="M153" i="20"/>
  <c r="M90" i="20"/>
  <c r="N48" i="20"/>
  <c r="N40" i="20"/>
  <c r="F20" i="43"/>
  <c r="I20" i="43" s="1"/>
  <c r="K10" i="42"/>
  <c r="F24" i="43"/>
  <c r="F21" i="43"/>
  <c r="F38" i="43"/>
  <c r="I38" i="43" s="1"/>
  <c r="F36" i="43"/>
  <c r="I36" i="43" s="1"/>
  <c r="AD12" i="42"/>
  <c r="E34" i="43"/>
  <c r="G34" i="43" s="1"/>
  <c r="F26" i="43"/>
  <c r="I26" i="43" s="1"/>
  <c r="F23" i="43"/>
  <c r="I23" i="43" s="1"/>
  <c r="AD11" i="42"/>
  <c r="F27" i="43"/>
  <c r="I27" i="43" s="1"/>
  <c r="F35" i="43"/>
  <c r="I35" i="43" s="1"/>
  <c r="F40" i="43"/>
  <c r="I40" i="43" s="1"/>
  <c r="J37" i="43"/>
  <c r="AH24" i="20"/>
  <c r="AH6" i="20"/>
  <c r="N442" i="20"/>
  <c r="M406" i="20"/>
  <c r="N370" i="20"/>
  <c r="N263" i="20"/>
  <c r="N245" i="20"/>
  <c r="N227" i="20"/>
  <c r="N209" i="20"/>
  <c r="N192" i="20"/>
  <c r="N147" i="20"/>
  <c r="N129" i="20"/>
  <c r="N111" i="20"/>
  <c r="N478" i="20"/>
  <c r="N466" i="20"/>
  <c r="N454" i="20"/>
  <c r="M130" i="20"/>
  <c r="M112" i="20"/>
  <c r="N35" i="20"/>
  <c r="M489" i="20"/>
  <c r="N465" i="20"/>
  <c r="N496" i="20"/>
  <c r="M430" i="20"/>
  <c r="N394" i="20"/>
  <c r="N358" i="20"/>
  <c r="N305" i="20"/>
  <c r="N269" i="20"/>
  <c r="N251" i="20"/>
  <c r="N233" i="20"/>
  <c r="N198" i="20"/>
  <c r="N149" i="20"/>
  <c r="M490" i="20"/>
  <c r="M496" i="20"/>
  <c r="N495" i="20"/>
  <c r="N482" i="20"/>
  <c r="M473" i="20"/>
  <c r="N470" i="20"/>
  <c r="N458" i="20"/>
  <c r="M449" i="20"/>
  <c r="M135" i="20"/>
  <c r="N131" i="20"/>
  <c r="M117" i="20"/>
  <c r="N113" i="20"/>
  <c r="N93" i="20"/>
  <c r="N57" i="20"/>
  <c r="N443" i="20"/>
  <c r="N440" i="20"/>
  <c r="M431" i="20"/>
  <c r="N428" i="20"/>
  <c r="M419" i="20"/>
  <c r="M416" i="20"/>
  <c r="M407" i="20"/>
  <c r="M404" i="20"/>
  <c r="M395" i="20"/>
  <c r="N392" i="20"/>
  <c r="M380" i="20"/>
  <c r="M371" i="20"/>
  <c r="N368" i="20"/>
  <c r="M359" i="20"/>
  <c r="N356" i="20"/>
  <c r="M346" i="20"/>
  <c r="N334" i="20"/>
  <c r="N331" i="20"/>
  <c r="N319" i="20"/>
  <c r="M310" i="20"/>
  <c r="M298" i="20"/>
  <c r="N295" i="20"/>
  <c r="M286" i="20"/>
  <c r="N283" i="20"/>
  <c r="M274" i="20"/>
  <c r="N259" i="20"/>
  <c r="N247" i="20"/>
  <c r="N235" i="20"/>
  <c r="N223" i="20"/>
  <c r="N211" i="20"/>
  <c r="N200" i="20"/>
  <c r="M191" i="20"/>
  <c r="N187" i="20"/>
  <c r="N186" i="20"/>
  <c r="M177" i="20"/>
  <c r="N176" i="20"/>
  <c r="N166" i="20"/>
  <c r="N158" i="20"/>
  <c r="M150" i="20"/>
  <c r="M141" i="20"/>
  <c r="M105" i="20"/>
  <c r="M94" i="20"/>
  <c r="N89" i="20"/>
  <c r="M76" i="20"/>
  <c r="N71" i="20"/>
  <c r="N53" i="20"/>
  <c r="N32" i="20"/>
  <c r="M31" i="20"/>
  <c r="N182" i="20"/>
  <c r="N172" i="20"/>
  <c r="N164" i="20"/>
  <c r="N154" i="20"/>
  <c r="M147" i="20"/>
  <c r="M129" i="20"/>
  <c r="M111" i="20"/>
  <c r="N99" i="20"/>
  <c r="N83" i="20"/>
  <c r="N65" i="20"/>
  <c r="N47" i="20"/>
  <c r="M33" i="20"/>
  <c r="M437" i="20"/>
  <c r="N434" i="20"/>
  <c r="M425" i="20"/>
  <c r="N422" i="20"/>
  <c r="M413" i="20"/>
  <c r="M401" i="20"/>
  <c r="N398" i="20"/>
  <c r="N386" i="20"/>
  <c r="M374" i="20"/>
  <c r="N362" i="20"/>
  <c r="M352" i="20"/>
  <c r="N349" i="20"/>
  <c r="M340" i="20"/>
  <c r="N337" i="20"/>
  <c r="M316" i="20"/>
  <c r="N313" i="20"/>
  <c r="M304" i="20"/>
  <c r="N301" i="20"/>
  <c r="M280" i="20"/>
  <c r="N277" i="20"/>
  <c r="N265" i="20"/>
  <c r="N253" i="20"/>
  <c r="N241" i="20"/>
  <c r="N229" i="20"/>
  <c r="N194" i="20"/>
  <c r="M182" i="20"/>
  <c r="M173" i="20"/>
  <c r="M164" i="20"/>
  <c r="M155" i="20"/>
  <c r="M136" i="20"/>
  <c r="N135" i="20"/>
  <c r="M118" i="20"/>
  <c r="N117" i="20"/>
  <c r="M84" i="20"/>
  <c r="M66" i="20"/>
  <c r="M48" i="20"/>
  <c r="M37" i="20"/>
  <c r="M34" i="20"/>
  <c r="M30" i="20"/>
  <c r="M495" i="20"/>
  <c r="M485" i="20"/>
  <c r="N484" i="20"/>
  <c r="M472" i="20"/>
  <c r="N460" i="20"/>
  <c r="N448" i="20"/>
  <c r="N436" i="20"/>
  <c r="N412" i="20"/>
  <c r="N400" i="20"/>
  <c r="N388" i="20"/>
  <c r="N376" i="20"/>
  <c r="N364" i="20"/>
  <c r="M389" i="20"/>
  <c r="M377" i="20"/>
  <c r="N365" i="20"/>
  <c r="M491" i="20"/>
  <c r="N490" i="20"/>
  <c r="M483" i="20"/>
  <c r="N471" i="20"/>
  <c r="M423" i="20"/>
  <c r="M411" i="20"/>
  <c r="M399" i="20"/>
  <c r="M387" i="20"/>
  <c r="M375" i="20"/>
  <c r="M363" i="20"/>
  <c r="N324" i="20"/>
  <c r="N323" i="20"/>
  <c r="N288" i="20"/>
  <c r="N287" i="20"/>
  <c r="N252" i="20"/>
  <c r="M484" i="20"/>
  <c r="N483" i="20"/>
  <c r="N477" i="20"/>
  <c r="N472" i="20"/>
  <c r="M465" i="20"/>
  <c r="N459" i="20"/>
  <c r="N453" i="20"/>
  <c r="M448" i="20"/>
  <c r="N447" i="20"/>
  <c r="M442" i="20"/>
  <c r="N441" i="20"/>
  <c r="M436" i="20"/>
  <c r="N435" i="20"/>
  <c r="N430" i="20"/>
  <c r="N429" i="20"/>
  <c r="N424" i="20"/>
  <c r="N423" i="20"/>
  <c r="N417" i="20"/>
  <c r="M412" i="20"/>
  <c r="N411" i="20"/>
  <c r="N406" i="20"/>
  <c r="N405" i="20"/>
  <c r="M400" i="20"/>
  <c r="N399" i="20"/>
  <c r="M394" i="20"/>
  <c r="N393" i="20"/>
  <c r="M388" i="20"/>
  <c r="N387" i="20"/>
  <c r="M382" i="20"/>
  <c r="N381" i="20"/>
  <c r="M376" i="20"/>
  <c r="N375" i="20"/>
  <c r="M370" i="20"/>
  <c r="N369" i="20"/>
  <c r="N363" i="20"/>
  <c r="M358" i="20"/>
  <c r="N357" i="20"/>
  <c r="N342" i="20"/>
  <c r="N339" i="20"/>
  <c r="M332" i="20"/>
  <c r="M324" i="20"/>
  <c r="N321" i="20"/>
  <c r="M306" i="20"/>
  <c r="N303" i="20"/>
  <c r="M288" i="20"/>
  <c r="N285" i="20"/>
  <c r="M278" i="20"/>
  <c r="M270" i="20"/>
  <c r="M260" i="20"/>
  <c r="M242" i="20"/>
  <c r="M224" i="20"/>
  <c r="M206" i="20"/>
  <c r="M188" i="20"/>
  <c r="M494" i="20"/>
  <c r="N493" i="20"/>
  <c r="M488" i="20"/>
  <c r="N487" i="20"/>
  <c r="M482" i="20"/>
  <c r="N481" i="20"/>
  <c r="N475" i="20"/>
  <c r="M470" i="20"/>
  <c r="N469" i="20"/>
  <c r="M464" i="20"/>
  <c r="N463" i="20"/>
  <c r="M458" i="20"/>
  <c r="N457" i="20"/>
  <c r="M452" i="20"/>
  <c r="N451" i="20"/>
  <c r="M446" i="20"/>
  <c r="N445" i="20"/>
  <c r="M440" i="20"/>
  <c r="N439" i="20"/>
  <c r="M434" i="20"/>
  <c r="M433" i="20"/>
  <c r="M428" i="20"/>
  <c r="N427" i="20"/>
  <c r="M422" i="20"/>
  <c r="N421" i="20"/>
  <c r="N416" i="20"/>
  <c r="M415" i="20"/>
  <c r="N410" i="20"/>
  <c r="N409" i="20"/>
  <c r="N404" i="20"/>
  <c r="N403" i="20"/>
  <c r="M398" i="20"/>
  <c r="N397" i="20"/>
  <c r="N391" i="20"/>
  <c r="M386" i="20"/>
  <c r="N385" i="20"/>
  <c r="N380" i="20"/>
  <c r="N379" i="20"/>
  <c r="N374" i="20"/>
  <c r="N373" i="20"/>
  <c r="M368" i="20"/>
  <c r="N367" i="20"/>
  <c r="N361" i="20"/>
  <c r="M356" i="20"/>
  <c r="N355" i="20"/>
  <c r="N345" i="20"/>
  <c r="M338" i="20"/>
  <c r="M330" i="20"/>
  <c r="N327" i="20"/>
  <c r="M320" i="20"/>
  <c r="N309" i="20"/>
  <c r="M302" i="20"/>
  <c r="M294" i="20"/>
  <c r="N291" i="20"/>
  <c r="M284" i="20"/>
  <c r="M276" i="20"/>
  <c r="N273" i="20"/>
  <c r="M266" i="20"/>
  <c r="M248" i="20"/>
  <c r="M230" i="20"/>
  <c r="N492" i="20"/>
  <c r="M487" i="20"/>
  <c r="N486" i="20"/>
  <c r="M481" i="20"/>
  <c r="N480" i="20"/>
  <c r="M475" i="20"/>
  <c r="N474" i="20"/>
  <c r="M469" i="20"/>
  <c r="N468" i="20"/>
  <c r="M463" i="20"/>
  <c r="N462" i="20"/>
  <c r="M457" i="20"/>
  <c r="N456" i="20"/>
  <c r="M451" i="20"/>
  <c r="N450" i="20"/>
  <c r="M445" i="20"/>
  <c r="N444" i="20"/>
  <c r="M439" i="20"/>
  <c r="N438" i="20"/>
  <c r="N433" i="20"/>
  <c r="N432" i="20"/>
  <c r="M427" i="20"/>
  <c r="N426" i="20"/>
  <c r="N420" i="20"/>
  <c r="N415" i="20"/>
  <c r="N408" i="20"/>
  <c r="M403" i="20"/>
  <c r="N402" i="20"/>
  <c r="M397" i="20"/>
  <c r="N396" i="20"/>
  <c r="M391" i="20"/>
  <c r="N390" i="20"/>
  <c r="M385" i="20"/>
  <c r="N384" i="20"/>
  <c r="N378" i="20"/>
  <c r="M373" i="20"/>
  <c r="N372" i="20"/>
  <c r="N360" i="20"/>
  <c r="M354" i="20"/>
  <c r="N353" i="20"/>
  <c r="N336" i="20"/>
  <c r="M335" i="20"/>
  <c r="N318" i="20"/>
  <c r="N317" i="20"/>
  <c r="N300" i="20"/>
  <c r="N299" i="20"/>
  <c r="N281" i="20"/>
  <c r="N264" i="20"/>
  <c r="N246" i="20"/>
  <c r="N228" i="20"/>
  <c r="N210" i="20"/>
  <c r="M492" i="20"/>
  <c r="N491" i="20"/>
  <c r="M486" i="20"/>
  <c r="N485" i="20"/>
  <c r="M480" i="20"/>
  <c r="N479" i="20"/>
  <c r="M474" i="20"/>
  <c r="N473" i="20"/>
  <c r="M468" i="20"/>
  <c r="N467" i="20"/>
  <c r="M462" i="20"/>
  <c r="N461" i="20"/>
  <c r="M456" i="20"/>
  <c r="N455" i="20"/>
  <c r="M450" i="20"/>
  <c r="N449" i="20"/>
  <c r="M444" i="20"/>
  <c r="M443" i="20"/>
  <c r="N437" i="20"/>
  <c r="M432" i="20"/>
  <c r="N431" i="20"/>
  <c r="M426" i="20"/>
  <c r="N425" i="20"/>
  <c r="M420" i="20"/>
  <c r="N419" i="20"/>
  <c r="N413" i="20"/>
  <c r="N407" i="20"/>
  <c r="N401" i="20"/>
  <c r="M396" i="20"/>
  <c r="N395" i="20"/>
  <c r="M390" i="20"/>
  <c r="N389" i="20"/>
  <c r="M384" i="20"/>
  <c r="N383" i="20"/>
  <c r="N377" i="20"/>
  <c r="N371" i="20"/>
  <c r="N359" i="20"/>
  <c r="N354" i="20"/>
  <c r="N351" i="20"/>
  <c r="M344" i="20"/>
  <c r="N343" i="20"/>
  <c r="M336" i="20"/>
  <c r="N333" i="20"/>
  <c r="M326" i="20"/>
  <c r="N325" i="20"/>
  <c r="M318" i="20"/>
  <c r="N315" i="20"/>
  <c r="N307" i="20"/>
  <c r="M300" i="20"/>
  <c r="N297" i="20"/>
  <c r="N289" i="20"/>
  <c r="M282" i="20"/>
  <c r="N279" i="20"/>
  <c r="M272" i="20"/>
  <c r="N271" i="20"/>
  <c r="M254" i="20"/>
  <c r="M236" i="20"/>
  <c r="M201" i="20"/>
  <c r="M252" i="20"/>
  <c r="M240" i="20"/>
  <c r="M222" i="20"/>
  <c r="M199" i="20"/>
  <c r="M353" i="20"/>
  <c r="N352" i="20"/>
  <c r="M347" i="20"/>
  <c r="N346" i="20"/>
  <c r="N341" i="20"/>
  <c r="N340" i="20"/>
  <c r="N335" i="20"/>
  <c r="M334" i="20"/>
  <c r="M329" i="20"/>
  <c r="N328" i="20"/>
  <c r="M323" i="20"/>
  <c r="N322" i="20"/>
  <c r="M317" i="20"/>
  <c r="N316" i="20"/>
  <c r="M311" i="20"/>
  <c r="N310" i="20"/>
  <c r="M305" i="20"/>
  <c r="N304" i="20"/>
  <c r="M299" i="20"/>
  <c r="N298" i="20"/>
  <c r="N293" i="20"/>
  <c r="N292" i="20"/>
  <c r="M287" i="20"/>
  <c r="N286" i="20"/>
  <c r="N280" i="20"/>
  <c r="M275" i="20"/>
  <c r="N274" i="20"/>
  <c r="M269" i="20"/>
  <c r="N268" i="20"/>
  <c r="M263" i="20"/>
  <c r="N262" i="20"/>
  <c r="M257" i="20"/>
  <c r="N256" i="20"/>
  <c r="M251" i="20"/>
  <c r="N250" i="20"/>
  <c r="N244" i="20"/>
  <c r="M239" i="20"/>
  <c r="N238" i="20"/>
  <c r="M233" i="20"/>
  <c r="N232" i="20"/>
  <c r="M227" i="20"/>
  <c r="N226" i="20"/>
  <c r="M204" i="20"/>
  <c r="M198" i="20"/>
  <c r="N197" i="20"/>
  <c r="N190" i="20"/>
  <c r="M183" i="20"/>
  <c r="M120" i="20"/>
  <c r="M102" i="20"/>
  <c r="M88" i="20"/>
  <c r="M52" i="20"/>
  <c r="M36" i="20"/>
  <c r="N267" i="20"/>
  <c r="M262" i="20"/>
  <c r="N261" i="20"/>
  <c r="N255" i="20"/>
  <c r="M250" i="20"/>
  <c r="N249" i="20"/>
  <c r="M238" i="20"/>
  <c r="N237" i="20"/>
  <c r="M232" i="20"/>
  <c r="N231" i="20"/>
  <c r="M226" i="20"/>
  <c r="N225" i="20"/>
  <c r="M208" i="20"/>
  <c r="M203" i="20"/>
  <c r="N202" i="20"/>
  <c r="N196" i="20"/>
  <c r="N181" i="20"/>
  <c r="N180" i="20"/>
  <c r="N143" i="20"/>
  <c r="N125" i="20"/>
  <c r="N107" i="20"/>
  <c r="N81" i="20"/>
  <c r="N63" i="20"/>
  <c r="N45" i="20"/>
  <c r="M351" i="20"/>
  <c r="N350" i="20"/>
  <c r="M345" i="20"/>
  <c r="N344" i="20"/>
  <c r="M339" i="20"/>
  <c r="N338" i="20"/>
  <c r="M333" i="20"/>
  <c r="N332" i="20"/>
  <c r="N326" i="20"/>
  <c r="M321" i="20"/>
  <c r="N320" i="20"/>
  <c r="M315" i="20"/>
  <c r="M309" i="20"/>
  <c r="N308" i="20"/>
  <c r="M303" i="20"/>
  <c r="M297" i="20"/>
  <c r="N296" i="20"/>
  <c r="M291" i="20"/>
  <c r="N290" i="20"/>
  <c r="N284" i="20"/>
  <c r="N278" i="20"/>
  <c r="M273" i="20"/>
  <c r="N272" i="20"/>
  <c r="M261" i="20"/>
  <c r="N260" i="20"/>
  <c r="N254" i="20"/>
  <c r="M249" i="20"/>
  <c r="N248" i="20"/>
  <c r="N242" i="20"/>
  <c r="M237" i="20"/>
  <c r="N236" i="20"/>
  <c r="N230" i="20"/>
  <c r="N224" i="20"/>
  <c r="M207" i="20"/>
  <c r="N206" i="20"/>
  <c r="M202" i="20"/>
  <c r="N201" i="20"/>
  <c r="M196" i="20"/>
  <c r="N195" i="20"/>
  <c r="M189" i="20"/>
  <c r="N188" i="20"/>
  <c r="M181" i="20"/>
  <c r="N160" i="20"/>
  <c r="N152" i="20"/>
  <c r="M126" i="20"/>
  <c r="N95" i="20"/>
  <c r="M82" i="20"/>
  <c r="N77" i="20"/>
  <c r="N59" i="20"/>
  <c r="M46" i="20"/>
  <c r="N41" i="20"/>
  <c r="M190" i="20"/>
  <c r="N189" i="20"/>
  <c r="M184" i="20"/>
  <c r="N183" i="20"/>
  <c r="M178" i="20"/>
  <c r="M172" i="20"/>
  <c r="N171" i="20"/>
  <c r="N165" i="20"/>
  <c r="M154" i="20"/>
  <c r="N153" i="20"/>
  <c r="N148" i="20"/>
  <c r="N142" i="20"/>
  <c r="M137" i="20"/>
  <c r="N136" i="20"/>
  <c r="M131" i="20"/>
  <c r="N130" i="20"/>
  <c r="N124" i="20"/>
  <c r="N118" i="20"/>
  <c r="M113" i="20"/>
  <c r="N112" i="20"/>
  <c r="M107" i="20"/>
  <c r="N106" i="20"/>
  <c r="M101" i="20"/>
  <c r="N100" i="20"/>
  <c r="M95" i="20"/>
  <c r="N94" i="20"/>
  <c r="M89" i="20"/>
  <c r="N88" i="20"/>
  <c r="N82" i="20"/>
  <c r="M77" i="20"/>
  <c r="N76" i="20"/>
  <c r="N70" i="20"/>
  <c r="N64" i="20"/>
  <c r="M59" i="20"/>
  <c r="N58" i="20"/>
  <c r="N52" i="20"/>
  <c r="M47" i="20"/>
  <c r="N46" i="20"/>
  <c r="M41" i="20"/>
  <c r="M35" i="20"/>
  <c r="N33" i="20"/>
  <c r="M32" i="20"/>
  <c r="N175" i="20"/>
  <c r="N169" i="20"/>
  <c r="N163" i="20"/>
  <c r="N157" i="20"/>
  <c r="N146" i="20"/>
  <c r="N140" i="20"/>
  <c r="N134" i="20"/>
  <c r="N122" i="20"/>
  <c r="N116" i="20"/>
  <c r="N110" i="20"/>
  <c r="N104" i="20"/>
  <c r="M99" i="20"/>
  <c r="N98" i="20"/>
  <c r="M93" i="20"/>
  <c r="N92" i="20"/>
  <c r="M87" i="20"/>
  <c r="N86" i="20"/>
  <c r="M81" i="20"/>
  <c r="N80" i="20"/>
  <c r="M75" i="20"/>
  <c r="N74" i="20"/>
  <c r="M69" i="20"/>
  <c r="N68" i="20"/>
  <c r="M63" i="20"/>
  <c r="N62" i="20"/>
  <c r="M57" i="20"/>
  <c r="N56" i="20"/>
  <c r="N50" i="20"/>
  <c r="M45" i="20"/>
  <c r="N44" i="20"/>
  <c r="N39" i="20"/>
  <c r="N29" i="20"/>
  <c r="M175" i="20"/>
  <c r="N174" i="20"/>
  <c r="M169" i="20"/>
  <c r="N168" i="20"/>
  <c r="M163" i="20"/>
  <c r="N162" i="20"/>
  <c r="M157" i="20"/>
  <c r="N156" i="20"/>
  <c r="N151" i="20"/>
  <c r="M146" i="20"/>
  <c r="N145" i="20"/>
  <c r="M140" i="20"/>
  <c r="N139" i="20"/>
  <c r="M134" i="20"/>
  <c r="N133" i="20"/>
  <c r="N127" i="20"/>
  <c r="M122" i="20"/>
  <c r="N121" i="20"/>
  <c r="N115" i="20"/>
  <c r="N109" i="20"/>
  <c r="M104" i="20"/>
  <c r="N103" i="20"/>
  <c r="M98" i="20"/>
  <c r="N97" i="20"/>
  <c r="M92" i="20"/>
  <c r="N91" i="20"/>
  <c r="M86" i="20"/>
  <c r="N85" i="20"/>
  <c r="M80" i="20"/>
  <c r="N79" i="20"/>
  <c r="N73" i="20"/>
  <c r="M68" i="20"/>
  <c r="N67" i="20"/>
  <c r="M62" i="20"/>
  <c r="N61" i="20"/>
  <c r="N55" i="20"/>
  <c r="M50" i="20"/>
  <c r="N49" i="20"/>
  <c r="M44" i="20"/>
  <c r="N43" i="20"/>
  <c r="N38" i="20"/>
  <c r="M192" i="20"/>
  <c r="N191" i="20"/>
  <c r="N185" i="20"/>
  <c r="M180" i="20"/>
  <c r="N179" i="20"/>
  <c r="N173" i="20"/>
  <c r="N167" i="20"/>
  <c r="M162" i="20"/>
  <c r="N161" i="20"/>
  <c r="M156" i="20"/>
  <c r="N155" i="20"/>
  <c r="M151" i="20"/>
  <c r="N150" i="20"/>
  <c r="M145" i="20"/>
  <c r="N144" i="20"/>
  <c r="M139" i="20"/>
  <c r="N138" i="20"/>
  <c r="M133" i="20"/>
  <c r="N132" i="20"/>
  <c r="M127" i="20"/>
  <c r="N126" i="20"/>
  <c r="M121" i="20"/>
  <c r="N120" i="20"/>
  <c r="M109" i="20"/>
  <c r="N108" i="20"/>
  <c r="N102" i="20"/>
  <c r="M97" i="20"/>
  <c r="M91" i="20"/>
  <c r="N90" i="20"/>
  <c r="M85" i="20"/>
  <c r="N84" i="20"/>
  <c r="M79" i="20"/>
  <c r="M73" i="20"/>
  <c r="N72" i="20"/>
  <c r="M67" i="20"/>
  <c r="N66" i="20"/>
  <c r="M61" i="20"/>
  <c r="N60" i="20"/>
  <c r="M55" i="20"/>
  <c r="N54" i="20"/>
  <c r="M49" i="20"/>
  <c r="M43" i="20"/>
  <c r="N42" i="20"/>
  <c r="N37" i="20"/>
  <c r="N36" i="20"/>
  <c r="N31" i="20"/>
  <c r="D43" i="43"/>
  <c r="AD4" i="20"/>
  <c r="S7" i="20" a="1"/>
  <c r="S7" i="20" s="1"/>
  <c r="AD4" i="42"/>
  <c r="E42" i="43"/>
  <c r="H42" i="43" s="1"/>
  <c r="J42" i="43" s="1"/>
  <c r="H35" i="43"/>
  <c r="AD7" i="42"/>
  <c r="G19" i="43"/>
  <c r="N18" i="43"/>
  <c r="H36" i="43"/>
  <c r="H40" i="43"/>
  <c r="AD10" i="42"/>
  <c r="AH13" i="42"/>
  <c r="N40" i="43"/>
  <c r="Q40" i="43" s="1"/>
  <c r="S40" i="43" s="1"/>
  <c r="AH10" i="42"/>
  <c r="H33" i="43"/>
  <c r="J33" i="43" s="1"/>
  <c r="G33" i="43"/>
  <c r="P26" i="43"/>
  <c r="Q26" i="43"/>
  <c r="S26" i="43" s="1"/>
  <c r="P37" i="43"/>
  <c r="Q37" i="43"/>
  <c r="S37" i="43" s="1"/>
  <c r="G27" i="43"/>
  <c r="AG14" i="42"/>
  <c r="K8" i="42"/>
  <c r="AD9" i="42"/>
  <c r="K13" i="42"/>
  <c r="G37" i="43"/>
  <c r="N14" i="42"/>
  <c r="N35" i="43"/>
  <c r="K5" i="42"/>
  <c r="E38" i="43"/>
  <c r="AD8" i="42"/>
  <c r="AD6" i="42"/>
  <c r="O13" i="42"/>
  <c r="N19" i="43"/>
  <c r="G22" i="43"/>
  <c r="Q27" i="43"/>
  <c r="S27" i="43" s="1"/>
  <c r="P27" i="43"/>
  <c r="H41" i="43"/>
  <c r="J41" i="43" s="1"/>
  <c r="G41" i="43"/>
  <c r="Q20" i="43"/>
  <c r="P20" i="43"/>
  <c r="P39" i="43"/>
  <c r="Q39" i="43"/>
  <c r="S39" i="43" s="1"/>
  <c r="P42" i="43"/>
  <c r="Q42" i="43"/>
  <c r="S42" i="43" s="1"/>
  <c r="P25" i="43"/>
  <c r="Q25" i="43"/>
  <c r="S25" i="43" s="1"/>
  <c r="P33" i="43"/>
  <c r="Q33" i="43"/>
  <c r="S33" i="43" s="1"/>
  <c r="I34" i="43"/>
  <c r="R34" i="43"/>
  <c r="R43" i="43" s="1"/>
  <c r="O43" i="43"/>
  <c r="O28" i="43"/>
  <c r="R20" i="43"/>
  <c r="R28" i="43" s="1"/>
  <c r="N36" i="43"/>
  <c r="K11" i="42"/>
  <c r="I18" i="43"/>
  <c r="O6" i="42"/>
  <c r="N23" i="43"/>
  <c r="P24" i="43"/>
  <c r="K4" i="42"/>
  <c r="AD6" i="20"/>
  <c r="AE4" i="20"/>
  <c r="AD7" i="20"/>
  <c r="T2" i="3"/>
  <c r="N3" i="3" s="1"/>
  <c r="S4" i="20" a="1"/>
  <c r="S4" i="20" s="1"/>
  <c r="S23" i="20" a="1"/>
  <c r="S23" i="20" s="1"/>
  <c r="S5" i="20" a="1"/>
  <c r="S5" i="20" s="1"/>
  <c r="S6" i="20" a="1"/>
  <c r="S6" i="20" s="1"/>
  <c r="AD3" i="20"/>
  <c r="I47" i="43"/>
  <c r="AE3" i="20"/>
  <c r="AE7" i="20"/>
  <c r="AA14" i="1" a="1"/>
  <c r="AA14" i="1" s="1"/>
  <c r="Y14" i="1" a="1"/>
  <c r="Y14" i="1" s="1"/>
  <c r="Z14" i="1" a="1"/>
  <c r="Z14" i="1" s="1"/>
  <c r="X14" i="1" a="1"/>
  <c r="X14" i="1" s="1"/>
  <c r="AM11" i="20" a="1"/>
  <c r="AM11" i="20" s="1"/>
  <c r="AL11" i="20" a="1"/>
  <c r="AL11" i="20" s="1"/>
  <c r="Z10" i="1" a="1"/>
  <c r="Z10" i="1" s="1"/>
  <c r="AK11" i="20" a="1"/>
  <c r="AK11" i="20" s="1"/>
  <c r="X16" i="1" a="1"/>
  <c r="X16" i="1" s="1"/>
  <c r="AB16" i="1" a="1"/>
  <c r="AB16" i="1" s="1"/>
  <c r="Y16" i="1" a="1"/>
  <c r="Y16" i="1" s="1"/>
  <c r="Z16" i="1" a="1"/>
  <c r="Z16" i="1" s="1"/>
  <c r="X10" i="1" a="1"/>
  <c r="X10" i="1" s="1"/>
  <c r="AA10" i="1" a="1"/>
  <c r="AA10" i="1" s="1"/>
  <c r="AB10" i="1" a="1"/>
  <c r="AB10" i="1" s="1"/>
  <c r="AA2" i="1" a="1"/>
  <c r="AA2" i="1" s="1"/>
  <c r="AB2" i="1" a="1"/>
  <c r="AB2" i="1" s="1"/>
  <c r="Z2" i="1" a="1"/>
  <c r="Z2" i="1" s="1"/>
  <c r="AB9" i="1" a="1"/>
  <c r="AB9" i="1" s="1"/>
  <c r="Y9" i="1" a="1"/>
  <c r="Y9" i="1" s="1"/>
  <c r="Z9" i="1" a="1"/>
  <c r="Z9" i="1" s="1"/>
  <c r="AA9" i="1" a="1"/>
  <c r="AA9" i="1" s="1"/>
  <c r="Y8" i="1" a="1"/>
  <c r="Y8" i="1" s="1"/>
  <c r="AB8" i="1" a="1"/>
  <c r="AB8" i="1" s="1"/>
  <c r="Z8" i="1" a="1"/>
  <c r="Z8" i="1" s="1"/>
  <c r="AA8" i="1" a="1"/>
  <c r="AA8" i="1" s="1"/>
  <c r="AK7" i="20" a="1"/>
  <c r="AK7" i="20" s="1"/>
  <c r="AM7" i="20" a="1"/>
  <c r="AM7" i="20" s="1"/>
  <c r="AL7" i="20" a="1"/>
  <c r="AL7" i="20" s="1"/>
  <c r="Y5" i="1" a="1"/>
  <c r="Y5" i="1" s="1"/>
  <c r="Z5" i="1" a="1"/>
  <c r="Z5" i="1" s="1"/>
  <c r="AA5" i="1" a="1"/>
  <c r="AA5" i="1" s="1"/>
  <c r="AB5" i="1" a="1"/>
  <c r="AB5" i="1" s="1"/>
  <c r="Z7" i="1" a="1"/>
  <c r="Z7" i="1" s="1"/>
  <c r="AA7" i="1" a="1"/>
  <c r="AA7" i="1" s="1"/>
  <c r="AB7" i="1" a="1"/>
  <c r="AB7" i="1" s="1"/>
  <c r="Y3" i="1" a="1"/>
  <c r="Y3" i="1" s="1"/>
  <c r="AB3" i="1" a="1"/>
  <c r="AB3" i="1" s="1"/>
  <c r="Z3" i="1" a="1"/>
  <c r="Z3" i="1" s="1"/>
  <c r="AA3" i="1" a="1"/>
  <c r="AA3" i="1" s="1"/>
  <c r="AM4" i="20" a="1"/>
  <c r="AM4" i="20" s="1"/>
  <c r="AL4" i="20" a="1"/>
  <c r="AL4" i="20" s="1"/>
  <c r="AK4" i="20" a="1"/>
  <c r="AK4" i="20" s="1"/>
  <c r="AM5" i="20" a="1"/>
  <c r="AM5" i="20" s="1"/>
  <c r="AK5" i="20" a="1"/>
  <c r="AK5" i="20" s="1"/>
  <c r="AL5" i="20" a="1"/>
  <c r="AL5" i="20" s="1"/>
  <c r="AJ3" i="20" a="1"/>
  <c r="AJ3" i="20" s="1"/>
  <c r="AK3" i="20" a="1"/>
  <c r="AK3" i="20" s="1"/>
  <c r="AM3" i="20" a="1"/>
  <c r="AM3" i="20" s="1"/>
  <c r="AL3" i="20" a="1"/>
  <c r="AL3" i="20" s="1"/>
  <c r="AM6" i="20" a="1"/>
  <c r="AM6" i="20" s="1"/>
  <c r="AL6" i="20" a="1"/>
  <c r="AL6" i="20" s="1"/>
  <c r="AK6" i="20" a="1"/>
  <c r="AK6" i="20" s="1"/>
  <c r="AB4" i="1" a="1"/>
  <c r="AB4" i="1" s="1"/>
  <c r="AA4" i="1" a="1"/>
  <c r="AA4" i="1" s="1"/>
  <c r="Y4" i="1" a="1"/>
  <c r="Y4" i="1" s="1"/>
  <c r="Z4" i="1" a="1"/>
  <c r="Z4" i="1" s="1"/>
  <c r="AA6" i="1" a="1"/>
  <c r="AA6" i="1" s="1"/>
  <c r="AB6" i="1" a="1"/>
  <c r="AB6" i="1" s="1"/>
  <c r="Y6" i="1" a="1"/>
  <c r="Y6" i="1" s="1"/>
  <c r="Z6" i="1" a="1"/>
  <c r="Z6" i="1" s="1"/>
  <c r="AH4" i="20"/>
  <c r="N4" i="3" a="1"/>
  <c r="N4" i="3" s="1"/>
  <c r="Y11" i="1" a="1"/>
  <c r="Y11" i="1" s="1"/>
  <c r="AA11" i="1" a="1"/>
  <c r="AA11" i="1" s="1"/>
  <c r="AB11" i="1" a="1"/>
  <c r="AB11" i="1" s="1"/>
  <c r="X11" i="1" a="1"/>
  <c r="X11" i="1" s="1"/>
  <c r="S17" i="17"/>
  <c r="AD5" i="20"/>
  <c r="AE5" i="20"/>
  <c r="S24" i="20" a="1"/>
  <c r="S24" i="20" s="1"/>
  <c r="Y2" i="1" a="1"/>
  <c r="Y7" i="1" a="1"/>
  <c r="AJ5" i="20" a="1"/>
  <c r="AJ4" i="20" a="1"/>
  <c r="AJ6" i="20" a="1"/>
  <c r="M29" i="21"/>
  <c r="A29" i="21"/>
  <c r="M23" i="21"/>
  <c r="A23" i="21"/>
  <c r="M24" i="21"/>
  <c r="A26" i="21"/>
  <c r="AJ7" i="20" a="1"/>
  <c r="M25" i="21"/>
  <c r="A25" i="21"/>
  <c r="M28" i="21"/>
  <c r="M27" i="21"/>
  <c r="M26" i="21"/>
  <c r="A28" i="21"/>
  <c r="A24" i="21"/>
  <c r="A27" i="21"/>
  <c r="X9" i="1" a="1"/>
  <c r="X7" i="1" a="1"/>
  <c r="X8" i="1" a="1"/>
  <c r="X10" i="20"/>
  <c r="X5" i="1" a="1"/>
  <c r="A20" i="21"/>
  <c r="M22" i="21"/>
  <c r="X2" i="1" a="1"/>
  <c r="M21" i="21"/>
  <c r="X4" i="1" a="1"/>
  <c r="A21" i="21"/>
  <c r="A19" i="21"/>
  <c r="M19" i="21"/>
  <c r="A22" i="21"/>
  <c r="X3" i="1" a="1"/>
  <c r="M20" i="21"/>
  <c r="X6" i="1" a="1"/>
  <c r="Q12" i="17" l="1"/>
  <c r="M5" i="19" s="1"/>
  <c r="N28" i="43"/>
  <c r="X9" i="3"/>
  <c r="N43" i="43"/>
  <c r="S11" i="17"/>
  <c r="V9" i="3"/>
  <c r="R11" i="17"/>
  <c r="AK12" i="20" a="1"/>
  <c r="AK12" i="20" s="1"/>
  <c r="AM12" i="20" a="1"/>
  <c r="AM12" i="20" s="1"/>
  <c r="S12" i="17"/>
  <c r="AJ14" i="20" a="1"/>
  <c r="AJ14" i="20" s="1"/>
  <c r="AL12" i="20" a="1"/>
  <c r="AL12" i="20" s="1"/>
  <c r="AK14" i="20" a="1"/>
  <c r="AK14" i="20" s="1"/>
  <c r="W7" i="3"/>
  <c r="AL14" i="20" a="1"/>
  <c r="AL14" i="20" s="1"/>
  <c r="AK13" i="20" a="1"/>
  <c r="AK13" i="20" s="1"/>
  <c r="AM13" i="20" a="1"/>
  <c r="AM13" i="20" s="1"/>
  <c r="U7" i="3"/>
  <c r="AL13" i="20" a="1"/>
  <c r="AL13" i="20" s="1"/>
  <c r="W9" i="3"/>
  <c r="T7" i="3"/>
  <c r="AK10" i="20" a="1"/>
  <c r="AK10" i="20" s="1"/>
  <c r="J35" i="43"/>
  <c r="G35" i="43"/>
  <c r="D29" i="21"/>
  <c r="P29" i="21" s="1"/>
  <c r="G29" i="21" s="1"/>
  <c r="D28" i="21"/>
  <c r="P28" i="21" s="1"/>
  <c r="G28" i="21" s="1"/>
  <c r="D27" i="21"/>
  <c r="P27" i="21" s="1"/>
  <c r="G27" i="21" s="1"/>
  <c r="D26" i="21"/>
  <c r="P26" i="21" s="1"/>
  <c r="G26" i="21" s="1"/>
  <c r="AJ10" i="20" a="1"/>
  <c r="AJ10" i="20" s="1"/>
  <c r="P22" i="43"/>
  <c r="AL10" i="20" a="1"/>
  <c r="AL10" i="20" s="1"/>
  <c r="AM10" i="20" a="1"/>
  <c r="AM10" i="20" s="1"/>
  <c r="AH14" i="42"/>
  <c r="G26" i="43"/>
  <c r="P21" i="43"/>
  <c r="P34" i="43"/>
  <c r="G36" i="43"/>
  <c r="C74" i="21"/>
  <c r="D21" i="21"/>
  <c r="P21" i="21" s="1"/>
  <c r="G21" i="21" s="1"/>
  <c r="D24" i="21"/>
  <c r="P24" i="21" s="1"/>
  <c r="G24" i="21" s="1"/>
  <c r="C20" i="21"/>
  <c r="D20" i="21"/>
  <c r="P20" i="21" s="1"/>
  <c r="G20" i="21" s="1"/>
  <c r="D19" i="21"/>
  <c r="P19" i="21" s="1"/>
  <c r="G19" i="21" s="1"/>
  <c r="C23" i="21"/>
  <c r="D22" i="21"/>
  <c r="P22" i="21" s="1"/>
  <c r="G22" i="21" s="1"/>
  <c r="C24" i="21"/>
  <c r="C29" i="21"/>
  <c r="D38" i="21"/>
  <c r="Q38" i="21" s="1"/>
  <c r="R38" i="21" s="1"/>
  <c r="F38" i="21" s="1"/>
  <c r="O38" i="21" s="1"/>
  <c r="C21" i="21"/>
  <c r="O14" i="42"/>
  <c r="J40" i="43"/>
  <c r="G40" i="43"/>
  <c r="I24" i="43"/>
  <c r="G24" i="43"/>
  <c r="C45" i="21"/>
  <c r="D37" i="21"/>
  <c r="P37" i="21" s="1"/>
  <c r="C53" i="21"/>
  <c r="C22" i="21"/>
  <c r="C59" i="21"/>
  <c r="Q45" i="21"/>
  <c r="R45" i="21" s="1"/>
  <c r="F45" i="21" s="1"/>
  <c r="O45" i="21" s="1"/>
  <c r="C36" i="21"/>
  <c r="C94" i="21"/>
  <c r="Q33" i="21"/>
  <c r="R33" i="21" s="1"/>
  <c r="F33" i="21" s="1"/>
  <c r="O33" i="21" s="1"/>
  <c r="AJ4" i="20"/>
  <c r="AJ5" i="20"/>
  <c r="D23" i="21"/>
  <c r="P23" i="21" s="1"/>
  <c r="G23" i="21" s="1"/>
  <c r="D64" i="21"/>
  <c r="P64" i="21" s="1"/>
  <c r="AB13" i="1" a="1"/>
  <c r="AB13" i="1" s="1"/>
  <c r="X12" i="1" a="1"/>
  <c r="X12" i="1" s="1"/>
  <c r="W1" i="1"/>
  <c r="AB15" i="1" a="1"/>
  <c r="AB15" i="1" s="1"/>
  <c r="AA13" i="1" a="1"/>
  <c r="AA13" i="1" s="1"/>
  <c r="X15" i="1" a="1"/>
  <c r="X15" i="1" s="1"/>
  <c r="Y15" i="1" a="1"/>
  <c r="Y15" i="1" s="1"/>
  <c r="Z15" i="1" a="1"/>
  <c r="Z15" i="1" s="1"/>
  <c r="Z13" i="1" a="1"/>
  <c r="Z13" i="1" s="1"/>
  <c r="Y13" i="1" a="1"/>
  <c r="Y13" i="1" s="1"/>
  <c r="V1" i="1"/>
  <c r="AB12" i="1" a="1"/>
  <c r="AB12" i="1" s="1"/>
  <c r="AA12" i="1" a="1"/>
  <c r="AA12" i="1" s="1"/>
  <c r="Y12" i="1" a="1"/>
  <c r="Y12" i="1" s="1"/>
  <c r="S7" i="3"/>
  <c r="B19" i="50"/>
  <c r="AJ7" i="20"/>
  <c r="D103" i="21"/>
  <c r="P103" i="21" s="1"/>
  <c r="G20" i="43"/>
  <c r="D89" i="21"/>
  <c r="P89" i="21" s="1"/>
  <c r="C82" i="21"/>
  <c r="C62" i="21"/>
  <c r="C84" i="21"/>
  <c r="C19" i="21"/>
  <c r="D93" i="21"/>
  <c r="Q93" i="21" s="1"/>
  <c r="R93" i="21" s="1"/>
  <c r="F93" i="21" s="1"/>
  <c r="O93" i="21" s="1"/>
  <c r="S20" i="43"/>
  <c r="D35" i="21"/>
  <c r="Q35" i="21" s="1"/>
  <c r="R35" i="21" s="1"/>
  <c r="F35" i="21" s="1"/>
  <c r="O35" i="21" s="1"/>
  <c r="C28" i="21"/>
  <c r="D98" i="21"/>
  <c r="Q98" i="21" s="1"/>
  <c r="R98" i="21" s="1"/>
  <c r="F98" i="21" s="1"/>
  <c r="O98" i="21" s="1"/>
  <c r="Q31" i="21"/>
  <c r="R31" i="21" s="1"/>
  <c r="F31" i="21" s="1"/>
  <c r="O31" i="21" s="1"/>
  <c r="Q74" i="21"/>
  <c r="R74" i="21" s="1"/>
  <c r="F74" i="21" s="1"/>
  <c r="O74" i="21" s="1"/>
  <c r="J36" i="43"/>
  <c r="Q41" i="43"/>
  <c r="S41" i="43" s="1"/>
  <c r="P41" i="43"/>
  <c r="F28" i="43"/>
  <c r="D60" i="21"/>
  <c r="Q60" i="21" s="1"/>
  <c r="R60" i="21" s="1"/>
  <c r="F60" i="21" s="1"/>
  <c r="O60" i="21" s="1"/>
  <c r="C71" i="21"/>
  <c r="C107" i="21"/>
  <c r="C97" i="21"/>
  <c r="Q77" i="21"/>
  <c r="R77" i="21" s="1"/>
  <c r="F77" i="21" s="1"/>
  <c r="O77" i="21" s="1"/>
  <c r="D92" i="21"/>
  <c r="P92" i="21" s="1"/>
  <c r="D54" i="21"/>
  <c r="P54" i="21" s="1"/>
  <c r="Q57" i="21"/>
  <c r="R57" i="21" s="1"/>
  <c r="F57" i="21" s="1"/>
  <c r="O57" i="21" s="1"/>
  <c r="D41" i="21"/>
  <c r="Q41" i="21" s="1"/>
  <c r="R41" i="21" s="1"/>
  <c r="F41" i="21" s="1"/>
  <c r="O41" i="21" s="1"/>
  <c r="G57" i="21"/>
  <c r="D39" i="21"/>
  <c r="P39" i="21" s="1"/>
  <c r="C52" i="21"/>
  <c r="D115" i="21"/>
  <c r="P115" i="21" s="1"/>
  <c r="C90" i="21"/>
  <c r="C77" i="21"/>
  <c r="D95" i="21"/>
  <c r="P95" i="21" s="1"/>
  <c r="Q97" i="21"/>
  <c r="R97" i="21" s="1"/>
  <c r="F97" i="21" s="1"/>
  <c r="O97" i="21" s="1"/>
  <c r="Q106" i="21"/>
  <c r="R106" i="21" s="1"/>
  <c r="F106" i="21" s="1"/>
  <c r="O106" i="21" s="1"/>
  <c r="D69" i="21"/>
  <c r="Q69" i="21" s="1"/>
  <c r="R69" i="21" s="1"/>
  <c r="F69" i="21" s="1"/>
  <c r="O69" i="21" s="1"/>
  <c r="D116" i="21"/>
  <c r="Q116" i="21" s="1"/>
  <c r="R116" i="21" s="1"/>
  <c r="F116" i="21" s="1"/>
  <c r="O116" i="21" s="1"/>
  <c r="D114" i="21"/>
  <c r="P114" i="21" s="1"/>
  <c r="D109" i="21"/>
  <c r="P109" i="21" s="1"/>
  <c r="C88" i="21"/>
  <c r="Q59" i="21"/>
  <c r="R59" i="21" s="1"/>
  <c r="F59" i="21" s="1"/>
  <c r="O59" i="21" s="1"/>
  <c r="D46" i="21"/>
  <c r="Q46" i="21" s="1"/>
  <c r="R46" i="21" s="1"/>
  <c r="F46" i="21" s="1"/>
  <c r="O46" i="21" s="1"/>
  <c r="C78" i="21"/>
  <c r="D66" i="21"/>
  <c r="P66" i="21" s="1"/>
  <c r="C108" i="21"/>
  <c r="D67" i="21"/>
  <c r="P67" i="21" s="1"/>
  <c r="C81" i="21"/>
  <c r="Q80" i="21"/>
  <c r="R80" i="21" s="1"/>
  <c r="F80" i="21" s="1"/>
  <c r="O80" i="21" s="1"/>
  <c r="C44" i="21"/>
  <c r="C31" i="21"/>
  <c r="D99" i="21"/>
  <c r="P99" i="21" s="1"/>
  <c r="D49" i="21"/>
  <c r="P49" i="21" s="1"/>
  <c r="D112" i="21"/>
  <c r="P112" i="21" s="1"/>
  <c r="C106" i="21"/>
  <c r="G97" i="21"/>
  <c r="Q91" i="21"/>
  <c r="R91" i="21" s="1"/>
  <c r="F91" i="21" s="1"/>
  <c r="O91" i="21" s="1"/>
  <c r="Q65" i="21"/>
  <c r="R65" i="21" s="1"/>
  <c r="F65" i="21" s="1"/>
  <c r="O65" i="21" s="1"/>
  <c r="P106" i="21"/>
  <c r="D104" i="21"/>
  <c r="P104" i="21" s="1"/>
  <c r="D83" i="21"/>
  <c r="Q83" i="21" s="1"/>
  <c r="R83" i="21" s="1"/>
  <c r="F83" i="21" s="1"/>
  <c r="O83" i="21" s="1"/>
  <c r="Q85" i="21"/>
  <c r="R85" i="21" s="1"/>
  <c r="F85" i="21" s="1"/>
  <c r="O85" i="21" s="1"/>
  <c r="C26" i="21"/>
  <c r="C117" i="21"/>
  <c r="D40" i="21"/>
  <c r="P40" i="21" s="1"/>
  <c r="D70" i="21"/>
  <c r="P70" i="21" s="1"/>
  <c r="Q47" i="21"/>
  <c r="R47" i="21" s="1"/>
  <c r="F47" i="21" s="1"/>
  <c r="O47" i="21" s="1"/>
  <c r="Q71" i="21"/>
  <c r="R71" i="21" s="1"/>
  <c r="F71" i="21" s="1"/>
  <c r="O71" i="21" s="1"/>
  <c r="D43" i="21"/>
  <c r="P43" i="21" s="1"/>
  <c r="Q51" i="21"/>
  <c r="R51" i="21" s="1"/>
  <c r="F51" i="21" s="1"/>
  <c r="O51" i="21" s="1"/>
  <c r="D61" i="21"/>
  <c r="P61" i="21" s="1"/>
  <c r="C86" i="21"/>
  <c r="C47" i="21"/>
  <c r="D76" i="21"/>
  <c r="P76" i="21" s="1"/>
  <c r="C27" i="21"/>
  <c r="D96" i="21"/>
  <c r="Q96" i="21" s="1"/>
  <c r="R96" i="21" s="1"/>
  <c r="F96" i="21" s="1"/>
  <c r="O96" i="21" s="1"/>
  <c r="D72" i="21"/>
  <c r="Q72" i="21" s="1"/>
  <c r="R72" i="21" s="1"/>
  <c r="F72" i="21" s="1"/>
  <c r="O72" i="21" s="1"/>
  <c r="Q90" i="21"/>
  <c r="R90" i="21" s="1"/>
  <c r="F90" i="21" s="1"/>
  <c r="O90" i="21" s="1"/>
  <c r="Q87" i="21"/>
  <c r="R87" i="21" s="1"/>
  <c r="F87" i="21" s="1"/>
  <c r="O87" i="21" s="1"/>
  <c r="Q79" i="21"/>
  <c r="R79" i="21" s="1"/>
  <c r="F79" i="21" s="1"/>
  <c r="O79" i="21" s="1"/>
  <c r="C91" i="21"/>
  <c r="C51" i="21"/>
  <c r="D110" i="21"/>
  <c r="P110" i="21" s="1"/>
  <c r="Q107" i="21"/>
  <c r="R107" i="21" s="1"/>
  <c r="F107" i="21" s="1"/>
  <c r="O107" i="21" s="1"/>
  <c r="Q86" i="21"/>
  <c r="R86" i="21" s="1"/>
  <c r="F86" i="21" s="1"/>
  <c r="O86" i="21" s="1"/>
  <c r="D56" i="21"/>
  <c r="P56" i="21" s="1"/>
  <c r="D73" i="21"/>
  <c r="P73" i="21" s="1"/>
  <c r="Q113" i="21"/>
  <c r="R113" i="21" s="1"/>
  <c r="F113" i="21" s="1"/>
  <c r="O113" i="21" s="1"/>
  <c r="C87" i="21"/>
  <c r="Q108" i="21"/>
  <c r="R108" i="21" s="1"/>
  <c r="F108" i="21" s="1"/>
  <c r="O108" i="21" s="1"/>
  <c r="Q50" i="21"/>
  <c r="R50" i="21" s="1"/>
  <c r="F50" i="21" s="1"/>
  <c r="O50" i="21" s="1"/>
  <c r="Q34" i="21"/>
  <c r="R34" i="21" s="1"/>
  <c r="F34" i="21" s="1"/>
  <c r="O34" i="21" s="1"/>
  <c r="C79" i="21"/>
  <c r="D105" i="21"/>
  <c r="P105" i="21" s="1"/>
  <c r="C50" i="21"/>
  <c r="D55" i="21"/>
  <c r="Q55" i="21" s="1"/>
  <c r="R55" i="21" s="1"/>
  <c r="F55" i="21" s="1"/>
  <c r="O55" i="21" s="1"/>
  <c r="C85" i="21"/>
  <c r="P33" i="21"/>
  <c r="P90" i="21"/>
  <c r="C75" i="21"/>
  <c r="Q58" i="21"/>
  <c r="R58" i="21" s="1"/>
  <c r="F58" i="21" s="1"/>
  <c r="O58" i="21" s="1"/>
  <c r="Q94" i="21"/>
  <c r="R94" i="21" s="1"/>
  <c r="F94" i="21" s="1"/>
  <c r="O94" i="21" s="1"/>
  <c r="Q78" i="21"/>
  <c r="R78" i="21" s="1"/>
  <c r="F78" i="21" s="1"/>
  <c r="O78" i="21" s="1"/>
  <c r="P113" i="21"/>
  <c r="C57" i="21"/>
  <c r="Q111" i="21"/>
  <c r="R111" i="21" s="1"/>
  <c r="F111" i="21" s="1"/>
  <c r="O111" i="21" s="1"/>
  <c r="Q100" i="21"/>
  <c r="R100" i="21" s="1"/>
  <c r="F100" i="21" s="1"/>
  <c r="O100" i="21" s="1"/>
  <c r="D32" i="21"/>
  <c r="Q32" i="21" s="1"/>
  <c r="R32" i="21" s="1"/>
  <c r="F32" i="21" s="1"/>
  <c r="O32" i="21" s="1"/>
  <c r="C113" i="21"/>
  <c r="C100" i="21"/>
  <c r="Q63" i="21"/>
  <c r="R63" i="21" s="1"/>
  <c r="F63" i="21" s="1"/>
  <c r="O63" i="21" s="1"/>
  <c r="C58" i="21"/>
  <c r="D48" i="21"/>
  <c r="P48" i="21" s="1"/>
  <c r="D101" i="21"/>
  <c r="P101" i="21" s="1"/>
  <c r="Q84" i="21"/>
  <c r="R84" i="21" s="1"/>
  <c r="F84" i="21" s="1"/>
  <c r="O84" i="21" s="1"/>
  <c r="C34" i="21"/>
  <c r="C111" i="21"/>
  <c r="Q117" i="21"/>
  <c r="R117" i="21" s="1"/>
  <c r="F117" i="21" s="1"/>
  <c r="O117" i="21" s="1"/>
  <c r="D102" i="21"/>
  <c r="P102" i="21" s="1"/>
  <c r="C80" i="21"/>
  <c r="D42" i="21"/>
  <c r="P42" i="21" s="1"/>
  <c r="C65" i="21"/>
  <c r="C68" i="21"/>
  <c r="C33" i="21"/>
  <c r="Q75" i="21"/>
  <c r="R75" i="21" s="1"/>
  <c r="F75" i="21" s="1"/>
  <c r="O75" i="21" s="1"/>
  <c r="Q36" i="21"/>
  <c r="R36" i="21" s="1"/>
  <c r="F36" i="21" s="1"/>
  <c r="O36" i="21" s="1"/>
  <c r="C63" i="21"/>
  <c r="Q68" i="21"/>
  <c r="R68" i="21" s="1"/>
  <c r="F68" i="21" s="1"/>
  <c r="O68" i="21" s="1"/>
  <c r="Q52" i="21"/>
  <c r="R52" i="21" s="1"/>
  <c r="F52" i="21" s="1"/>
  <c r="O52" i="21" s="1"/>
  <c r="Q81" i="21"/>
  <c r="R81" i="21" s="1"/>
  <c r="F81" i="21" s="1"/>
  <c r="O81" i="21" s="1"/>
  <c r="D30" i="21"/>
  <c r="P30" i="21" s="1"/>
  <c r="I21" i="43"/>
  <c r="H34" i="43"/>
  <c r="J34" i="43" s="1"/>
  <c r="P40" i="43"/>
  <c r="K14" i="42"/>
  <c r="E43" i="43"/>
  <c r="G42" i="43"/>
  <c r="Q18" i="43"/>
  <c r="S18" i="43" s="1"/>
  <c r="P18" i="43"/>
  <c r="E28" i="43"/>
  <c r="G21" i="43"/>
  <c r="AD14" i="42"/>
  <c r="H38" i="43"/>
  <c r="J38" i="43" s="1"/>
  <c r="G38" i="43"/>
  <c r="P19" i="43"/>
  <c r="Q19" i="43"/>
  <c r="S19" i="43" s="1"/>
  <c r="P35" i="43"/>
  <c r="Q35" i="43"/>
  <c r="S35" i="43" s="1"/>
  <c r="G39" i="43"/>
  <c r="I39" i="43"/>
  <c r="P23" i="43"/>
  <c r="Q23" i="43"/>
  <c r="S23" i="43" s="1"/>
  <c r="G23" i="43"/>
  <c r="P36" i="43"/>
  <c r="Q36" i="43"/>
  <c r="F43" i="43"/>
  <c r="X4" i="1"/>
  <c r="AJ6" i="20"/>
  <c r="X3" i="1"/>
  <c r="X7" i="1"/>
  <c r="X8" i="1"/>
  <c r="X2" i="1"/>
  <c r="X6" i="1"/>
  <c r="Y2" i="1"/>
  <c r="Y7" i="1"/>
  <c r="X5" i="1"/>
  <c r="X9" i="1"/>
  <c r="P53" i="21"/>
  <c r="Q53" i="21"/>
  <c r="R53" i="21" s="1"/>
  <c r="F53" i="21" s="1"/>
  <c r="O53" i="21" s="1"/>
  <c r="C25" i="21"/>
  <c r="D25" i="21"/>
  <c r="P88" i="21"/>
  <c r="Q88" i="21"/>
  <c r="R88" i="21" s="1"/>
  <c r="F88" i="21" s="1"/>
  <c r="O88" i="21" s="1"/>
  <c r="Q44" i="21"/>
  <c r="R44" i="21" s="1"/>
  <c r="F44" i="21" s="1"/>
  <c r="O44" i="21" s="1"/>
  <c r="P44" i="21"/>
  <c r="P82" i="21"/>
  <c r="Q82" i="21"/>
  <c r="R82" i="21" s="1"/>
  <c r="F82" i="21" s="1"/>
  <c r="O82" i="21" s="1"/>
  <c r="P62" i="21"/>
  <c r="Q62" i="21"/>
  <c r="R62" i="21" s="1"/>
  <c r="F62" i="21" s="1"/>
  <c r="O62" i="21" s="1"/>
  <c r="S21" i="43"/>
  <c r="H23" i="43" l="1"/>
  <c r="J23" i="43" s="1"/>
  <c r="Q29" i="21"/>
  <c r="R29" i="21" s="1"/>
  <c r="F29" i="21" s="1"/>
  <c r="O29" i="21" s="1"/>
  <c r="Q28" i="21"/>
  <c r="R28" i="21" s="1"/>
  <c r="F28" i="21" s="1"/>
  <c r="O28" i="21" s="1"/>
  <c r="Q27" i="21"/>
  <c r="R27" i="21" s="1"/>
  <c r="F27" i="21" s="1"/>
  <c r="O27" i="21" s="1"/>
  <c r="Q26" i="21"/>
  <c r="R26" i="21" s="1"/>
  <c r="F26" i="21" s="1"/>
  <c r="O26" i="21" s="1"/>
  <c r="I28" i="43"/>
  <c r="D19" i="50" s="1"/>
  <c r="Q20" i="21"/>
  <c r="R20" i="21" s="1"/>
  <c r="F20" i="21" s="1"/>
  <c r="O20" i="21" s="1"/>
  <c r="Q22" i="21"/>
  <c r="R22" i="21" s="1"/>
  <c r="F22" i="21" s="1"/>
  <c r="O22" i="21" s="1"/>
  <c r="P38" i="21"/>
  <c r="Q24" i="21"/>
  <c r="R24" i="21" s="1"/>
  <c r="F24" i="21" s="1"/>
  <c r="O24" i="21" s="1"/>
  <c r="Q21" i="21"/>
  <c r="R21" i="21" s="1"/>
  <c r="F21" i="21" s="1"/>
  <c r="O21" i="21" s="1"/>
  <c r="Q19" i="21"/>
  <c r="R19" i="21" s="1"/>
  <c r="F19" i="21" s="1"/>
  <c r="O19" i="21" s="1"/>
  <c r="P28" i="43"/>
  <c r="Q37" i="21"/>
  <c r="R37" i="21" s="1"/>
  <c r="F37" i="21" s="1"/>
  <c r="O37" i="21" s="1"/>
  <c r="Q23" i="21"/>
  <c r="R23" i="21" s="1"/>
  <c r="F23" i="21" s="1"/>
  <c r="O23" i="21" s="1"/>
  <c r="Q64" i="21"/>
  <c r="R64" i="21" s="1"/>
  <c r="F64" i="21" s="1"/>
  <c r="O64" i="21" s="1"/>
  <c r="N7" i="3"/>
  <c r="N8" i="3"/>
  <c r="N9" i="3"/>
  <c r="Q103" i="21"/>
  <c r="R103" i="21" s="1"/>
  <c r="F103" i="21" s="1"/>
  <c r="O103" i="21" s="1"/>
  <c r="Q89" i="21"/>
  <c r="R89" i="21" s="1"/>
  <c r="F89" i="21" s="1"/>
  <c r="O89" i="21" s="1"/>
  <c r="P93" i="21"/>
  <c r="P35" i="21"/>
  <c r="P98" i="21"/>
  <c r="P41" i="21"/>
  <c r="Q92" i="21"/>
  <c r="R92" i="21" s="1"/>
  <c r="F92" i="21" s="1"/>
  <c r="O92" i="21" s="1"/>
  <c r="P116" i="21"/>
  <c r="P60" i="21"/>
  <c r="Q54" i="21"/>
  <c r="R54" i="21" s="1"/>
  <c r="F54" i="21" s="1"/>
  <c r="O54" i="21" s="1"/>
  <c r="P55" i="21"/>
  <c r="P72" i="21"/>
  <c r="Q112" i="21"/>
  <c r="R112" i="21" s="1"/>
  <c r="F112" i="21" s="1"/>
  <c r="O112" i="21" s="1"/>
  <c r="Q70" i="21"/>
  <c r="R70" i="21" s="1"/>
  <c r="F70" i="21" s="1"/>
  <c r="O70" i="21" s="1"/>
  <c r="Q95" i="21"/>
  <c r="R95" i="21" s="1"/>
  <c r="F95" i="21" s="1"/>
  <c r="O95" i="21" s="1"/>
  <c r="Q39" i="21"/>
  <c r="R39" i="21" s="1"/>
  <c r="F39" i="21" s="1"/>
  <c r="O39" i="21" s="1"/>
  <c r="Q114" i="21"/>
  <c r="R114" i="21" s="1"/>
  <c r="F114" i="21" s="1"/>
  <c r="O114" i="21" s="1"/>
  <c r="Q115" i="21"/>
  <c r="R115" i="21" s="1"/>
  <c r="F115" i="21" s="1"/>
  <c r="O115" i="21" s="1"/>
  <c r="Q104" i="21"/>
  <c r="R104" i="21" s="1"/>
  <c r="F104" i="21" s="1"/>
  <c r="O104" i="21" s="1"/>
  <c r="P69" i="21"/>
  <c r="P83" i="21"/>
  <c r="Q49" i="21"/>
  <c r="R49" i="21" s="1"/>
  <c r="F49" i="21" s="1"/>
  <c r="O49" i="21" s="1"/>
  <c r="Q109" i="21"/>
  <c r="R109" i="21" s="1"/>
  <c r="F109" i="21" s="1"/>
  <c r="O109" i="21" s="1"/>
  <c r="Q67" i="21"/>
  <c r="R67" i="21" s="1"/>
  <c r="F67" i="21" s="1"/>
  <c r="O67" i="21" s="1"/>
  <c r="P46" i="21"/>
  <c r="Q66" i="21"/>
  <c r="R66" i="21" s="1"/>
  <c r="F66" i="21" s="1"/>
  <c r="O66" i="21" s="1"/>
  <c r="Q110" i="21"/>
  <c r="R110" i="21" s="1"/>
  <c r="F110" i="21" s="1"/>
  <c r="O110" i="21" s="1"/>
  <c r="Q99" i="21"/>
  <c r="R99" i="21" s="1"/>
  <c r="F99" i="21" s="1"/>
  <c r="O99" i="21" s="1"/>
  <c r="Q105" i="21"/>
  <c r="R105" i="21" s="1"/>
  <c r="F105" i="21" s="1"/>
  <c r="O105" i="21" s="1"/>
  <c r="Q43" i="21"/>
  <c r="R43" i="21" s="1"/>
  <c r="F43" i="21" s="1"/>
  <c r="O43" i="21" s="1"/>
  <c r="Q61" i="21"/>
  <c r="R61" i="21" s="1"/>
  <c r="F61" i="21" s="1"/>
  <c r="O61" i="21" s="1"/>
  <c r="Q76" i="21"/>
  <c r="R76" i="21" s="1"/>
  <c r="F76" i="21" s="1"/>
  <c r="O76" i="21" s="1"/>
  <c r="Q40" i="21"/>
  <c r="R40" i="21" s="1"/>
  <c r="F40" i="21" s="1"/>
  <c r="O40" i="21" s="1"/>
  <c r="Q56" i="21"/>
  <c r="R56" i="21" s="1"/>
  <c r="F56" i="21" s="1"/>
  <c r="O56" i="21" s="1"/>
  <c r="P96" i="21"/>
  <c r="Q42" i="21"/>
  <c r="R42" i="21" s="1"/>
  <c r="F42" i="21" s="1"/>
  <c r="O42" i="21" s="1"/>
  <c r="Q101" i="21"/>
  <c r="R101" i="21" s="1"/>
  <c r="F101" i="21" s="1"/>
  <c r="O101" i="21" s="1"/>
  <c r="Q73" i="21"/>
  <c r="R73" i="21" s="1"/>
  <c r="F73" i="21" s="1"/>
  <c r="O73" i="21" s="1"/>
  <c r="Q30" i="21"/>
  <c r="R30" i="21" s="1"/>
  <c r="F30" i="21" s="1"/>
  <c r="O30" i="21" s="1"/>
  <c r="Q48" i="21"/>
  <c r="R48" i="21" s="1"/>
  <c r="F48" i="21" s="1"/>
  <c r="O48" i="21" s="1"/>
  <c r="P32" i="21"/>
  <c r="Q102" i="21"/>
  <c r="R102" i="21" s="1"/>
  <c r="F102" i="21" s="1"/>
  <c r="O102" i="21" s="1"/>
  <c r="D10" i="4"/>
  <c r="Q28" i="43"/>
  <c r="H43" i="43"/>
  <c r="G28" i="43"/>
  <c r="G43" i="43"/>
  <c r="S28" i="43"/>
  <c r="P43" i="43"/>
  <c r="S36" i="43"/>
  <c r="S43" i="43" s="1"/>
  <c r="Q43" i="43"/>
  <c r="I43" i="43"/>
  <c r="J39" i="43"/>
  <c r="J43" i="43" s="1"/>
  <c r="P25" i="21"/>
  <c r="G25" i="21" s="1"/>
  <c r="Q25" i="21"/>
  <c r="R25" i="21" s="1"/>
  <c r="F25" i="21" s="1"/>
  <c r="O25" i="21" s="1"/>
  <c r="H19" i="43" l="1"/>
  <c r="J19" i="43" s="1"/>
  <c r="H26" i="43"/>
  <c r="J26" i="43" s="1"/>
  <c r="H27" i="43"/>
  <c r="J27" i="43" s="1"/>
  <c r="H24" i="43"/>
  <c r="J24" i="43" s="1"/>
  <c r="H22" i="43"/>
  <c r="J22" i="43" s="1"/>
  <c r="H21" i="43"/>
  <c r="J21" i="43" s="1"/>
  <c r="H25" i="43"/>
  <c r="J25" i="43" s="1"/>
  <c r="H20" i="43"/>
  <c r="J20" i="43" s="1"/>
  <c r="B16" i="50"/>
  <c r="D16" i="50" s="1"/>
  <c r="B3" i="43"/>
  <c r="D28" i="43" l="1"/>
  <c r="B28" i="43"/>
  <c r="L5" i="19"/>
  <c r="J18" i="43" l="1"/>
  <c r="J28" i="43" s="1"/>
  <c r="H28" i="43"/>
  <c r="B2" i="43" s="1"/>
  <c r="K5" i="1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abiswas</author>
  </authors>
  <commentList>
    <comment ref="A18" authorId="0" shapeId="0" xr:uid="{00000000-0006-0000-0400-000001000000}">
      <text>
        <r>
          <rPr>
            <sz val="10"/>
            <color indexed="81"/>
            <rFont val="Tahoma"/>
            <family val="2"/>
          </rPr>
          <t>Effort includes efforts made by Architects &amp; developers</t>
        </r>
      </text>
    </comment>
    <comment ref="A19" authorId="0" shapeId="0" xr:uid="{00000000-0006-0000-0400-000002000000}">
      <text>
        <r>
          <rPr>
            <sz val="10"/>
            <color indexed="81"/>
            <rFont val="Tahoma"/>
            <family val="2"/>
          </rPr>
          <t>This includes efforts made by the testing team in test execution, planning, etc</t>
        </r>
      </text>
    </comment>
    <comment ref="A20" authorId="0" shapeId="0" xr:uid="{00000000-0006-0000-0400-000003000000}">
      <text>
        <r>
          <rPr>
            <sz val="10"/>
            <color indexed="81"/>
            <rFont val="Tahoma"/>
            <family val="2"/>
          </rPr>
          <t>This includes efforts made by the Graphics &amp; UI development team</t>
        </r>
      </text>
    </comment>
    <comment ref="A21" authorId="0" shapeId="0" xr:uid="{00000000-0006-0000-0400-000004000000}">
      <text>
        <r>
          <rPr>
            <sz val="10"/>
            <color indexed="81"/>
            <rFont val="Tahoma"/>
            <family val="2"/>
          </rPr>
          <t>This includes efforts made by the Technical Writing team, in technical writing, documentation, etc. efforts</t>
        </r>
      </text>
    </comment>
    <comment ref="A22" authorId="0" shapeId="0" xr:uid="{00000000-0006-0000-0400-000005000000}">
      <text>
        <r>
          <rPr>
            <sz val="10"/>
            <color indexed="81"/>
            <rFont val="Tahoma"/>
            <family val="2"/>
          </rPr>
          <t>This includes efforts made by the Quality Assurance team in process, audit and other activities related to the project</t>
        </r>
      </text>
    </comment>
    <comment ref="A23" authorId="0" shapeId="0" xr:uid="{00000000-0006-0000-0400-000006000000}">
      <text>
        <r>
          <rPr>
            <sz val="10"/>
            <color indexed="81"/>
            <rFont val="Tahoma"/>
            <family val="2"/>
          </rPr>
          <t>This includes efforts which may have gone into Project Management activities, coordination activities for the project, and all other efforts for the project not covered under the Given effort-heads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abiswas</author>
  </authors>
  <commentList>
    <comment ref="B3" authorId="0" shapeId="0" xr:uid="{00000000-0006-0000-0500-000001000000}">
      <text>
        <r>
          <rPr>
            <sz val="10"/>
            <color indexed="81"/>
            <rFont val="Tahoma"/>
            <family val="2"/>
          </rPr>
          <t>Effort includes efforts made by  developers</t>
        </r>
      </text>
    </comment>
    <comment ref="B4" authorId="0" shapeId="0" xr:uid="{00000000-0006-0000-0500-000002000000}">
      <text>
        <r>
          <rPr>
            <sz val="10"/>
            <color indexed="81"/>
            <rFont val="Tahoma"/>
            <family val="2"/>
          </rPr>
          <t>This includes efforts made by the testing team in test execution, planning, etc</t>
        </r>
      </text>
    </comment>
    <comment ref="B5" authorId="0" shapeId="0" xr:uid="{00000000-0006-0000-0500-000003000000}">
      <text>
        <r>
          <rPr>
            <sz val="10"/>
            <color indexed="81"/>
            <rFont val="Tahoma"/>
            <family val="2"/>
          </rPr>
          <t>This includes efforts made by the Graphics &amp; UI development team</t>
        </r>
      </text>
    </comment>
    <comment ref="B6" authorId="0" shapeId="0" xr:uid="{00000000-0006-0000-0500-000004000000}">
      <text>
        <r>
          <rPr>
            <sz val="10"/>
            <color indexed="81"/>
            <rFont val="Tahoma"/>
            <family val="2"/>
          </rPr>
          <t>This includes efforts made by the Technical Writing team, in technical writing, documentation, etc. efforts</t>
        </r>
      </text>
    </comment>
    <comment ref="B7" authorId="0" shapeId="0" xr:uid="{00000000-0006-0000-0500-000005000000}">
      <text>
        <r>
          <rPr>
            <sz val="10"/>
            <color indexed="81"/>
            <rFont val="Tahoma"/>
            <family val="2"/>
          </rPr>
          <t>This includes efforts made by the Quality Assurance team in process, audit and other activities related to the project</t>
        </r>
      </text>
    </comment>
    <comment ref="B8" authorId="0" shapeId="0" xr:uid="{00000000-0006-0000-0500-000006000000}">
      <text>
        <r>
          <rPr>
            <sz val="10"/>
            <color indexed="81"/>
            <rFont val="Tahoma"/>
            <family val="2"/>
          </rPr>
          <t>This includes efforts which may have gone into Project Management activities, coordination activities for the project, and all other efforts for the project not covered under the Given effort-heads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abiswas</author>
    <author>Subrata Roy</author>
  </authors>
  <commentList>
    <comment ref="A4" authorId="0" shapeId="0" xr:uid="{00000000-0006-0000-0700-000001000000}">
      <text>
        <r>
          <rPr>
            <sz val="10"/>
            <color indexed="81"/>
            <rFont val="Tahoma"/>
            <family val="2"/>
          </rPr>
          <t>Effort includes efforts made by  developers</t>
        </r>
      </text>
    </comment>
    <comment ref="A5" authorId="0" shapeId="0" xr:uid="{00000000-0006-0000-0700-000002000000}">
      <text>
        <r>
          <rPr>
            <sz val="10"/>
            <color indexed="81"/>
            <rFont val="Tahoma"/>
            <family val="2"/>
          </rPr>
          <t>This includes efforts made by the testing team in test execution, planning, etc</t>
        </r>
      </text>
    </comment>
    <comment ref="A6" authorId="0" shapeId="0" xr:uid="{00000000-0006-0000-0700-000003000000}">
      <text>
        <r>
          <rPr>
            <sz val="10"/>
            <color indexed="81"/>
            <rFont val="Tahoma"/>
            <family val="2"/>
          </rPr>
          <t>This includes efforts made by the Graphics &amp; UI development team</t>
        </r>
      </text>
    </comment>
    <comment ref="A7" authorId="0" shapeId="0" xr:uid="{00000000-0006-0000-0700-000004000000}">
      <text>
        <r>
          <rPr>
            <sz val="10"/>
            <color indexed="81"/>
            <rFont val="Tahoma"/>
            <family val="2"/>
          </rPr>
          <t>This includes efforts made by the Technical Writing team, in technical writing, documentation, etc. efforts</t>
        </r>
      </text>
    </comment>
    <comment ref="A8" authorId="0" shapeId="0" xr:uid="{00000000-0006-0000-0700-000005000000}">
      <text>
        <r>
          <rPr>
            <sz val="10"/>
            <color indexed="81"/>
            <rFont val="Tahoma"/>
            <family val="2"/>
          </rPr>
          <t>This includes efforts made by the Quality Assurance team in process, audit and other activities related to the project</t>
        </r>
      </text>
    </comment>
    <comment ref="A9" authorId="0" shapeId="0" xr:uid="{00000000-0006-0000-0700-000006000000}">
      <text>
        <r>
          <rPr>
            <sz val="10"/>
            <color indexed="81"/>
            <rFont val="Tahoma"/>
            <family val="2"/>
          </rPr>
          <t>This includes efforts which may have gone into Project Management activities, coordination activities for the project, and all other efforts for the project not covered under the Given effort-heads</t>
        </r>
      </text>
    </comment>
    <comment ref="AL10" authorId="0" shapeId="0" xr:uid="{00000000-0006-0000-0700-000007000000}">
      <text>
        <r>
          <rPr>
            <sz val="10"/>
            <color indexed="81"/>
            <rFont val="Tahoma"/>
            <family val="2"/>
          </rPr>
          <t>Effort includes efforts made by  developers</t>
        </r>
      </text>
    </comment>
    <comment ref="AL11" authorId="0" shapeId="0" xr:uid="{00000000-0006-0000-0700-000008000000}">
      <text>
        <r>
          <rPr>
            <sz val="10"/>
            <color indexed="81"/>
            <rFont val="Tahoma"/>
            <family val="2"/>
          </rPr>
          <t>This includes efforts made by the testing team in test execution, planning, etc</t>
        </r>
      </text>
    </comment>
    <comment ref="AL12" authorId="0" shapeId="0" xr:uid="{00000000-0006-0000-0700-000009000000}">
      <text>
        <r>
          <rPr>
            <sz val="10"/>
            <color indexed="81"/>
            <rFont val="Tahoma"/>
            <family val="2"/>
          </rPr>
          <t>This includes efforts made by the Graphics &amp; UI development team</t>
        </r>
      </text>
    </comment>
    <comment ref="AL13" authorId="0" shapeId="0" xr:uid="{00000000-0006-0000-0700-00000A000000}">
      <text>
        <r>
          <rPr>
            <sz val="10"/>
            <color indexed="81"/>
            <rFont val="Tahoma"/>
            <family val="2"/>
          </rPr>
          <t>This includes efforts made by the Technical Writing team, in technical writing, documentation, etc. efforts</t>
        </r>
      </text>
    </comment>
    <comment ref="AL14" authorId="0" shapeId="0" xr:uid="{00000000-0006-0000-0700-00000B000000}">
      <text>
        <r>
          <rPr>
            <sz val="10"/>
            <color indexed="81"/>
            <rFont val="Tahoma"/>
            <family val="2"/>
          </rPr>
          <t>This includes efforts made by the Quality Assurance team in process, audit and other activities related to the project</t>
        </r>
      </text>
    </comment>
    <comment ref="AL15" authorId="0" shapeId="0" xr:uid="{00000000-0006-0000-0700-00000C000000}">
      <text>
        <r>
          <rPr>
            <sz val="10"/>
            <color indexed="81"/>
            <rFont val="Tahoma"/>
            <family val="2"/>
          </rPr>
          <t>This includes efforts which may have gone into Project Management activities, coordination activities for the project, and all other efforts for the project not covered under the Given effort-heads</t>
        </r>
      </text>
    </comment>
    <comment ref="G16" authorId="1" shapeId="0" xr:uid="{00000000-0006-0000-0700-00000D000000}">
      <text>
        <r>
          <rPr>
            <b/>
            <sz val="9"/>
            <color indexed="81"/>
            <rFont val="Tahoma"/>
            <family val="2"/>
          </rPr>
          <t>Subrata Roy:</t>
        </r>
        <r>
          <rPr>
            <sz val="9"/>
            <color indexed="81"/>
            <rFont val="Tahoma"/>
            <family val="2"/>
          </rPr>
          <t xml:space="preserve">
Resource Type      Type Description
SEG:  Project Team Effort (Man-Hrs) (SEG)    
CTT:  Testing Team Effort (Man-Hrs) (CTT)    
GRA:  Graphics Efforts (Man-Hrs) (GRA)    
TWR:  Tech. Writer Efforts (Man-Hrs) (TWR)    
QAG:  QAG Efforts (Man-Hrs) (QAG)    
ORG:  Organizational Efforts (Man-Hrs) (ORG)    
PMS:  PM Efforts (Man-Hrs) (PMS)    
ARC:  Architecture (Man-Hrs) (ARC)    
BAS:  Business Analyst Efforts (Man-Hrs) (BAS)    
PMO:  PMO Efforts (Man-Hrs) (PMO)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Manish Das</author>
    <author>Neetu Dhawan</author>
  </authors>
  <commentList>
    <comment ref="B2" authorId="0" shapeId="0" xr:uid="{00000000-0006-0000-0900-000001000000}">
      <text>
        <r>
          <rPr>
            <b/>
            <sz val="9"/>
            <color indexed="81"/>
            <rFont val="Tahoma"/>
            <family val="2"/>
          </rPr>
          <t>Manish Das:</t>
        </r>
        <r>
          <rPr>
            <sz val="9"/>
            <color indexed="81"/>
            <rFont val="Tahoma"/>
            <family val="2"/>
          </rPr>
          <t xml:space="preserve">
1. People or Manpower
2. Infrastructure or Machine
3. Process or Method
4. Supplier or Material
5. External Environment or Mother Nature</t>
        </r>
      </text>
    </comment>
    <comment ref="C2" authorId="1" shapeId="0" xr:uid="{00000000-0006-0000-0900-000002000000}">
      <text>
        <r>
          <rPr>
            <b/>
            <sz val="9"/>
            <color indexed="81"/>
            <rFont val="Tahoma"/>
            <family val="2"/>
          </rPr>
          <t>Neetu Dhawan:</t>
        </r>
        <r>
          <rPr>
            <sz val="9"/>
            <color indexed="81"/>
            <rFont val="Tahoma"/>
            <family val="2"/>
          </rPr>
          <t xml:space="preserve">
Mention the  role or entity who identified the risk. Also the means of identification can be mentioned.</t>
        </r>
      </text>
    </comment>
    <comment ref="D2" authorId="1" shapeId="0" xr:uid="{00000000-0006-0000-0900-000003000000}">
      <text>
        <r>
          <rPr>
            <b/>
            <sz val="9"/>
            <color indexed="81"/>
            <rFont val="Tahoma"/>
            <family val="2"/>
          </rPr>
          <t>Neetu Dhawan:</t>
        </r>
        <r>
          <rPr>
            <sz val="9"/>
            <color indexed="81"/>
            <rFont val="Tahoma"/>
            <family val="2"/>
          </rPr>
          <t xml:space="preserve">
QMS Process: http://192.168.101.25/itonline/qms1/query.asp/
</t>
        </r>
      </text>
    </comment>
    <comment ref="J2" authorId="0" shapeId="0" xr:uid="{00000000-0006-0000-0900-000004000000}">
      <text>
        <r>
          <rPr>
            <b/>
            <sz val="9"/>
            <color indexed="81"/>
            <rFont val="Tahoma"/>
            <family val="2"/>
          </rPr>
          <t>Manish Das:</t>
        </r>
        <r>
          <rPr>
            <sz val="9"/>
            <color indexed="81"/>
            <rFont val="Tahoma"/>
            <family val="2"/>
          </rPr>
          <t xml:space="preserve">
0.1  Rare
0.3 Possible
0.5 Likely
0.7 Often
0.9 Almost certain </t>
        </r>
      </text>
    </comment>
    <comment ref="K2" authorId="0" shapeId="0" xr:uid="{00000000-0006-0000-0900-000005000000}">
      <text>
        <r>
          <rPr>
            <b/>
            <sz val="9"/>
            <color indexed="81"/>
            <rFont val="Tahoma"/>
            <family val="2"/>
          </rPr>
          <t>Manish Das:</t>
        </r>
        <r>
          <rPr>
            <sz val="9"/>
            <color indexed="81"/>
            <rFont val="Tahoma"/>
            <family val="2"/>
          </rPr>
          <t xml:space="preserve">
0. Not Applicable
1. Insignificant
3. Minor
5. Moderate
7. Major
9. Catastrophic</t>
        </r>
      </text>
    </comment>
    <comment ref="L2" authorId="0" shapeId="0" xr:uid="{00000000-0006-0000-0900-000006000000}">
      <text>
        <r>
          <rPr>
            <b/>
            <sz val="9"/>
            <color indexed="81"/>
            <rFont val="Tahoma"/>
            <family val="2"/>
          </rPr>
          <t>Manish Das:</t>
        </r>
        <r>
          <rPr>
            <sz val="9"/>
            <color indexed="81"/>
            <rFont val="Tahoma"/>
            <family val="2"/>
          </rPr>
          <t xml:space="preserve">
0. Not Applicable
1. Insignificant
3. Minor
5. Moderate
7. Major
9. Catastrophic</t>
        </r>
      </text>
    </comment>
    <comment ref="M2" authorId="0" shapeId="0" xr:uid="{00000000-0006-0000-0900-000007000000}">
      <text>
        <r>
          <rPr>
            <b/>
            <sz val="9"/>
            <color indexed="81"/>
            <rFont val="Tahoma"/>
            <family val="2"/>
          </rPr>
          <t>Manish Das:</t>
        </r>
        <r>
          <rPr>
            <sz val="9"/>
            <color indexed="81"/>
            <rFont val="Tahoma"/>
            <family val="2"/>
          </rPr>
          <t xml:space="preserve">
0. Not Applicable
1. Insignificant
3. Minor
5. Moderate
7. Major
9. Catastrophic</t>
        </r>
      </text>
    </comment>
    <comment ref="N2" authorId="0" shapeId="0" xr:uid="{00000000-0006-0000-0900-000008000000}">
      <text>
        <r>
          <rPr>
            <b/>
            <sz val="9"/>
            <color indexed="81"/>
            <rFont val="Tahoma"/>
            <family val="2"/>
          </rPr>
          <t>Manish Das:</t>
        </r>
        <r>
          <rPr>
            <sz val="9"/>
            <color indexed="81"/>
            <rFont val="Tahoma"/>
            <family val="2"/>
          </rPr>
          <t xml:space="preserve">
0. Not Applicable
1. Insignificant
3. Minor
5. Moderate
7. Major
9. Catastrophic</t>
        </r>
      </text>
    </comment>
    <comment ref="P2" authorId="0" shapeId="0" xr:uid="{00000000-0006-0000-0900-000009000000}">
      <text>
        <r>
          <rPr>
            <b/>
            <sz val="9"/>
            <color indexed="81"/>
            <rFont val="Tahoma"/>
            <family val="2"/>
          </rPr>
          <t>Manish Das:</t>
        </r>
        <r>
          <rPr>
            <sz val="9"/>
            <color indexed="81"/>
            <rFont val="Tahoma"/>
            <family val="2"/>
          </rPr>
          <t xml:space="preserve">
0. Not Applicable
1. Insignificant
3. Minor
5. Moderate
7. Major
9. Catastrophic</t>
        </r>
      </text>
    </comment>
    <comment ref="Q2" authorId="0" shapeId="0" xr:uid="{00000000-0006-0000-0900-00000A000000}">
      <text>
        <r>
          <rPr>
            <b/>
            <sz val="9"/>
            <color indexed="81"/>
            <rFont val="Tahoma"/>
            <family val="2"/>
          </rPr>
          <t>Manish Das:</t>
        </r>
        <r>
          <rPr>
            <sz val="9"/>
            <color indexed="81"/>
            <rFont val="Tahoma"/>
            <family val="2"/>
          </rPr>
          <t xml:space="preserve">
0. Not Applicable
1. Insignificant
3. Minor
5. Moderate
7. Major
9. Catastrophic</t>
        </r>
      </text>
    </comment>
    <comment ref="R2" authorId="0" shapeId="0" xr:uid="{00000000-0006-0000-0900-00000B000000}">
      <text>
        <r>
          <rPr>
            <b/>
            <sz val="9"/>
            <color indexed="81"/>
            <rFont val="Tahoma"/>
            <family val="2"/>
          </rPr>
          <t>Manish Das:</t>
        </r>
        <r>
          <rPr>
            <sz val="9"/>
            <color indexed="81"/>
            <rFont val="Tahoma"/>
            <family val="2"/>
          </rPr>
          <t xml:space="preserve">
0.1  Rare
0.3 Possible
0.5 Likely
0.7 Often
0.9 Almost certain 
</t>
        </r>
      </text>
    </comment>
    <comment ref="S2" authorId="0" shapeId="0" xr:uid="{00000000-0006-0000-0900-00000C000000}">
      <text>
        <r>
          <rPr>
            <b/>
            <sz val="9"/>
            <color indexed="81"/>
            <rFont val="Tahoma"/>
            <family val="2"/>
          </rPr>
          <t>Manish Das:</t>
        </r>
        <r>
          <rPr>
            <sz val="9"/>
            <color indexed="81"/>
            <rFont val="Tahoma"/>
            <family val="2"/>
          </rPr>
          <t xml:space="preserve">
0. Not Applicable
1. Insignificant
3. Minor
5. Moderate
7. Major
9. Catastrophic</t>
        </r>
      </text>
    </comment>
    <comment ref="T2" authorId="0" shapeId="0" xr:uid="{00000000-0006-0000-0900-00000D000000}">
      <text>
        <r>
          <rPr>
            <b/>
            <sz val="9"/>
            <color indexed="81"/>
            <rFont val="Tahoma"/>
            <family val="2"/>
          </rPr>
          <t>Manish Das:</t>
        </r>
        <r>
          <rPr>
            <sz val="9"/>
            <color indexed="81"/>
            <rFont val="Tahoma"/>
            <family val="2"/>
          </rPr>
          <t xml:space="preserve">
0. Not Applicable
1. Insignificant
3. Minor
5. Moderate
7. Major
9. Catastrophic</t>
        </r>
      </text>
    </comment>
    <comment ref="U2" authorId="0" shapeId="0" xr:uid="{00000000-0006-0000-0900-00000E000000}">
      <text>
        <r>
          <rPr>
            <b/>
            <sz val="9"/>
            <color indexed="81"/>
            <rFont val="Tahoma"/>
            <family val="2"/>
          </rPr>
          <t>Manish Das:</t>
        </r>
        <r>
          <rPr>
            <sz val="9"/>
            <color indexed="81"/>
            <rFont val="Tahoma"/>
            <family val="2"/>
          </rPr>
          <t xml:space="preserve">
0. Not Applicable
1. Insignificant
3. Minor
5. Moderate
7. Major
9. Catastrophic</t>
        </r>
      </text>
    </comment>
    <comment ref="V2" authorId="0" shapeId="0" xr:uid="{00000000-0006-0000-0900-00000F000000}">
      <text>
        <r>
          <rPr>
            <b/>
            <sz val="9"/>
            <color indexed="81"/>
            <rFont val="Tahoma"/>
            <family val="2"/>
          </rPr>
          <t>Manish Das:</t>
        </r>
        <r>
          <rPr>
            <sz val="9"/>
            <color indexed="81"/>
            <rFont val="Tahoma"/>
            <family val="2"/>
          </rPr>
          <t xml:space="preserve">
0. Not Applicable
1. Insignificant
3. Minor
5. Moderate
7. Major
9. Catastrophic</t>
        </r>
      </text>
    </comment>
    <comment ref="AA2" authorId="1" shapeId="0" xr:uid="{00000000-0006-0000-0900-000010000000}">
      <text>
        <r>
          <rPr>
            <b/>
            <sz val="9"/>
            <color indexed="81"/>
            <rFont val="Tahoma"/>
            <family val="2"/>
          </rPr>
          <t>Neetu Dhawan:</t>
        </r>
        <r>
          <rPr>
            <sz val="9"/>
            <color indexed="81"/>
            <rFont val="Tahoma"/>
            <family val="2"/>
          </rPr>
          <t xml:space="preserve">
This value can be in terms of $ value, INR or time (Hours spent)</t>
        </r>
      </text>
    </comment>
    <comment ref="AB2" authorId="1" shapeId="0" xr:uid="{00000000-0006-0000-0900-000011000000}">
      <text>
        <r>
          <rPr>
            <b/>
            <sz val="9"/>
            <color indexed="81"/>
            <rFont val="Tahoma"/>
            <family val="2"/>
          </rPr>
          <t>Neetu Dhawan:</t>
        </r>
        <r>
          <rPr>
            <sz val="9"/>
            <color indexed="81"/>
            <rFont val="Tahoma"/>
            <family val="2"/>
          </rPr>
          <t xml:space="preserve">
This value can be in terms of $ value, INR or time (Hours spent)</t>
        </r>
      </text>
    </comment>
    <comment ref="AC2" authorId="1" shapeId="0" xr:uid="{00000000-0006-0000-0900-000012000000}">
      <text>
        <r>
          <rPr>
            <b/>
            <sz val="9"/>
            <color indexed="81"/>
            <rFont val="Tahoma"/>
            <family val="2"/>
          </rPr>
          <t>Neetu Dhawan:</t>
        </r>
        <r>
          <rPr>
            <sz val="9"/>
            <color indexed="81"/>
            <rFont val="Tahoma"/>
            <family val="2"/>
          </rPr>
          <t xml:space="preserve">
This value can be in terms of $ value, INR or time (Hours spent)</t>
        </r>
      </text>
    </comment>
    <comment ref="AD2" authorId="0" shapeId="0" xr:uid="{00000000-0006-0000-0900-000013000000}">
      <text>
        <r>
          <rPr>
            <b/>
            <sz val="9"/>
            <color indexed="81"/>
            <rFont val="Tahoma"/>
            <family val="2"/>
          </rPr>
          <t>Manish Das:</t>
        </r>
        <r>
          <rPr>
            <sz val="9"/>
            <color indexed="81"/>
            <rFont val="Tahoma"/>
            <family val="2"/>
          </rPr>
          <t xml:space="preserve">
The Escalation threshold value indicates the value of risk index beyond which the escalation will be made. This value should be decided by Risk owner. E.G. risk index 0.9, beyond which follow-up action / mitigation is required.
Recommended value is 0.9 risk index</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Balasubramanian R.</author>
    <author>HCL Technologies Ltd</author>
  </authors>
  <commentList>
    <comment ref="J2" authorId="0" shapeId="0" xr:uid="{00000000-0006-0000-0A00-000001000000}">
      <text>
        <r>
          <rPr>
            <sz val="10"/>
            <color indexed="81"/>
            <rFont val="Tahoma"/>
            <family val="2"/>
          </rPr>
          <t xml:space="preserve">Actual effort needs to updated for ongoing activities. </t>
        </r>
      </text>
    </comment>
    <comment ref="P2" authorId="1" shapeId="0" xr:uid="{00000000-0006-0000-0A00-000002000000}">
      <text>
        <r>
          <rPr>
            <sz val="10"/>
            <color indexed="81"/>
            <rFont val="Tahoma"/>
            <family val="2"/>
          </rPr>
          <t>The deliverables identified will be used for "Quality of work"</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qaguest</author>
    <author>Balasubramanian R</author>
  </authors>
  <commentList>
    <comment ref="B18" authorId="0" shapeId="0" xr:uid="{00000000-0006-0000-0D00-000001000000}">
      <text>
        <r>
          <rPr>
            <sz val="9"/>
            <color indexed="81"/>
            <rFont val="Tahoma"/>
            <family val="2"/>
          </rPr>
          <t>Mention the Delivery / Milestone / Activity name here. This information needs to be updated for QOW computation.</t>
        </r>
      </text>
    </comment>
    <comment ref="E18" authorId="0" shapeId="0" xr:uid="{00000000-0006-0000-0D00-000002000000}">
      <text>
        <r>
          <rPr>
            <sz val="9"/>
            <color indexed="81"/>
            <rFont val="Tahoma"/>
            <family val="2"/>
          </rPr>
          <t>The feedback from the customer about the quality of the deliverable should be mentioned here</t>
        </r>
      </text>
    </comment>
    <comment ref="G18" authorId="1" shapeId="0" xr:uid="{00000000-0006-0000-0D00-000003000000}">
      <text>
        <r>
          <rPr>
            <sz val="9"/>
            <color indexed="81"/>
            <rFont val="Tahoma"/>
            <family val="2"/>
          </rPr>
          <t>This value is computed. Higher is better.</t>
        </r>
      </text>
    </comment>
    <comment ref="H18" authorId="1" shapeId="0" xr:uid="{00000000-0006-0000-0D00-000004000000}">
      <text>
        <r>
          <rPr>
            <sz val="9"/>
            <color indexed="81"/>
            <rFont val="Tahoma"/>
            <family val="2"/>
          </rPr>
          <t>The reference to the customer satisfaction on the specific deliverable (like Mails / MOM must be refered here</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Neetu Dhawan</author>
  </authors>
  <commentList>
    <comment ref="F1" authorId="0" shapeId="0" xr:uid="{00000000-0006-0000-1000-000001000000}">
      <text>
        <r>
          <rPr>
            <b/>
            <sz val="9"/>
            <color indexed="81"/>
            <rFont val="Tahoma"/>
            <family val="2"/>
          </rPr>
          <t>Neetu Dhawan:</t>
        </r>
        <r>
          <rPr>
            <sz val="9"/>
            <color indexed="81"/>
            <rFont val="Tahoma"/>
            <family val="2"/>
          </rPr>
          <t xml:space="preserve">
Name of the person who is driving the opportunity</t>
        </r>
      </text>
    </comment>
    <comment ref="G1" authorId="0" shapeId="0" xr:uid="{00000000-0006-0000-1000-000002000000}">
      <text>
        <r>
          <rPr>
            <b/>
            <sz val="9"/>
            <color indexed="81"/>
            <rFont val="Tahoma"/>
            <family val="2"/>
          </rPr>
          <t>Neetu Dhawan:</t>
        </r>
        <r>
          <rPr>
            <sz val="9"/>
            <color indexed="81"/>
            <rFont val="Tahoma"/>
            <family val="2"/>
          </rPr>
          <t xml:space="preserve">
QMS Process reference
http://192.168.101.25/itonline/qms1/query.asp/</t>
        </r>
      </text>
    </comment>
    <comment ref="H1" authorId="0" shapeId="0" xr:uid="{00000000-0006-0000-1000-000003000000}">
      <text>
        <r>
          <rPr>
            <b/>
            <sz val="9"/>
            <color indexed="81"/>
            <rFont val="Tahoma"/>
            <family val="2"/>
          </rPr>
          <t>Neetu Dhawan:</t>
        </r>
        <r>
          <rPr>
            <sz val="9"/>
            <color indexed="81"/>
            <rFont val="Tahoma"/>
            <family val="2"/>
          </rPr>
          <t xml:space="preserve">
This value can be in terms of $ value, INR or time (Hours saved)</t>
        </r>
      </text>
    </comment>
    <comment ref="I1" authorId="0" shapeId="0" xr:uid="{00000000-0006-0000-1000-000004000000}">
      <text>
        <r>
          <rPr>
            <b/>
            <sz val="9"/>
            <color indexed="81"/>
            <rFont val="Tahoma"/>
            <family val="2"/>
          </rPr>
          <t>Neetu Dhawan:</t>
        </r>
        <r>
          <rPr>
            <sz val="9"/>
            <color indexed="81"/>
            <rFont val="Tahoma"/>
            <family val="2"/>
          </rPr>
          <t xml:space="preserve">
This value can be in terms of $ value, INR or time (Hours saved)</t>
        </r>
      </text>
    </comment>
    <comment ref="J1" authorId="0" shapeId="0" xr:uid="{00000000-0006-0000-1000-000005000000}">
      <text>
        <r>
          <rPr>
            <b/>
            <sz val="9"/>
            <color indexed="81"/>
            <rFont val="Tahoma"/>
            <family val="2"/>
          </rPr>
          <t>Neetu Dhawan:</t>
        </r>
        <r>
          <rPr>
            <sz val="9"/>
            <color indexed="81"/>
            <rFont val="Tahoma"/>
            <family val="2"/>
          </rPr>
          <t xml:space="preserve">
Description of what is the benefit that we gain</t>
        </r>
      </text>
    </comment>
    <comment ref="K1" authorId="0" shapeId="0" xr:uid="{00000000-0006-0000-1000-000006000000}">
      <text>
        <r>
          <rPr>
            <b/>
            <sz val="9"/>
            <color indexed="81"/>
            <rFont val="Tahoma"/>
            <family val="2"/>
          </rPr>
          <t>Neetu Dhawan:</t>
        </r>
        <r>
          <rPr>
            <sz val="9"/>
            <color indexed="81"/>
            <rFont val="Tahoma"/>
            <family val="2"/>
          </rPr>
          <t xml:space="preserve">
Summarize If there will be an increase in process/ productivity </t>
        </r>
      </text>
    </comment>
    <comment ref="L1" authorId="0" shapeId="0" xr:uid="{00000000-0006-0000-1000-000007000000}">
      <text>
        <r>
          <rPr>
            <b/>
            <sz val="9"/>
            <color indexed="81"/>
            <rFont val="Tahoma"/>
            <family val="2"/>
          </rPr>
          <t>Neetu Dhawan:</t>
        </r>
        <r>
          <rPr>
            <sz val="9"/>
            <color indexed="81"/>
            <rFont val="Tahoma"/>
            <family val="2"/>
          </rPr>
          <t xml:space="preserve">
Description if any sales opportunity lies.</t>
        </r>
      </text>
    </comment>
  </commentList>
</comments>
</file>

<file path=xl/sharedStrings.xml><?xml version="1.0" encoding="utf-8"?>
<sst xmlns="http://schemas.openxmlformats.org/spreadsheetml/2006/main" count="1725" uniqueCount="1383">
  <si>
    <t>PMWB-Project Name_MonthYear</t>
  </si>
  <si>
    <t>Template ID</t>
  </si>
  <si>
    <t>ENPMT18</t>
  </si>
  <si>
    <t>Template Name</t>
  </si>
  <si>
    <t>Template Version</t>
  </si>
  <si>
    <t>Author</t>
  </si>
  <si>
    <t xml:space="preserve">  QMG</t>
  </si>
  <si>
    <t xml:space="preserve">    Changes made - </t>
  </si>
  <si>
    <t xml:space="preserve">    1. Change in InterraIT logo
    2. Restructuring of the document
    3. Risk updated as per ISMS</t>
  </si>
  <si>
    <t>Template Release Date</t>
  </si>
  <si>
    <t>Project Information</t>
  </si>
  <si>
    <t>Project Name</t>
  </si>
  <si>
    <t>Project Code/PIN</t>
  </si>
  <si>
    <t>Status</t>
  </si>
  <si>
    <t>Project Category</t>
  </si>
  <si>
    <t>Project Type</t>
  </si>
  <si>
    <t xml:space="preserve">Customer Name &amp; Address </t>
  </si>
  <si>
    <t xml:space="preserve">Mazda North American Operation(MNAO)
</t>
  </si>
  <si>
    <t>Customer's Line of Business</t>
  </si>
  <si>
    <t>Automotive</t>
  </si>
  <si>
    <t>Primary Contact Person</t>
  </si>
  <si>
    <t>Paula Neil(PNeil@mazdausa.com/1-949-727-6305</t>
  </si>
  <si>
    <t>Project Start Date in SOW</t>
  </si>
  <si>
    <t>Project Completion Date in SOW</t>
  </si>
  <si>
    <t>Plan Start Date</t>
  </si>
  <si>
    <t>Plan Completion Date</t>
  </si>
  <si>
    <t>Revised Plan Start Date</t>
  </si>
  <si>
    <t>Revised Plan Completion Date</t>
  </si>
  <si>
    <t>Actual Start Date</t>
  </si>
  <si>
    <t>Actual Completion Date</t>
  </si>
  <si>
    <t>Estimated Effort(Hrs)</t>
  </si>
  <si>
    <t>Approved Effort(Hrs)</t>
  </si>
  <si>
    <t>Actual Effort Consumed(Hrs)</t>
  </si>
  <si>
    <t>Remaining Effort</t>
  </si>
  <si>
    <t>SOW Onsite FTEs</t>
  </si>
  <si>
    <t>SOW Offshore FTEs</t>
  </si>
  <si>
    <t>Actual Onsite FTEs</t>
  </si>
  <si>
    <t>Actual Offshore FTEs</t>
  </si>
  <si>
    <t>Date</t>
  </si>
  <si>
    <t>Version No.</t>
  </si>
  <si>
    <t>Changes</t>
  </si>
  <si>
    <t>Updated by</t>
  </si>
  <si>
    <t>Customer name</t>
  </si>
  <si>
    <t>Links to Sheets</t>
  </si>
  <si>
    <t>Technology</t>
  </si>
  <si>
    <t>Programming Language</t>
  </si>
  <si>
    <t>Platform</t>
  </si>
  <si>
    <t>BU : SAP CS</t>
  </si>
  <si>
    <t>DE Development</t>
  </si>
  <si>
    <t>Bangalore - 23 Airport Road</t>
  </si>
  <si>
    <t>SAP Project Code</t>
  </si>
  <si>
    <t>Plan start date</t>
  </si>
  <si>
    <t>Control Panel</t>
  </si>
  <si>
    <t>Application</t>
  </si>
  <si>
    <t>1032/AF</t>
  </si>
  <si>
    <t>A7/ZSP</t>
  </si>
  <si>
    <t>BU : SAP Hewitt Associates</t>
  </si>
  <si>
    <t>MM Maintenance - Migration</t>
  </si>
  <si>
    <t>Bangalore - 33A Ulsoor Road</t>
  </si>
  <si>
    <t>Business Unit (SAP)</t>
  </si>
  <si>
    <t>Plan completion date</t>
  </si>
  <si>
    <t>Planning</t>
  </si>
  <si>
    <t>AS/400</t>
  </si>
  <si>
    <t>1st Generation default</t>
  </si>
  <si>
    <t>BU : SAP AMD</t>
  </si>
  <si>
    <t>MP Maintenance - Porting</t>
  </si>
  <si>
    <t>Bangalore - 5 100 Ft Road</t>
  </si>
  <si>
    <t>Business Model</t>
  </si>
  <si>
    <t>Revised start date</t>
  </si>
  <si>
    <t>Metrics plan</t>
  </si>
  <si>
    <t>Client/Server</t>
  </si>
  <si>
    <t>2nd Generation default</t>
  </si>
  <si>
    <t>Embedded</t>
  </si>
  <si>
    <t>BU : SAP Dom Projects</t>
  </si>
  <si>
    <t>MS Maintenance - Small SDLC</t>
  </si>
  <si>
    <t>Bangalore - 8, 9 GB Palya</t>
  </si>
  <si>
    <t>Revised completion date</t>
  </si>
  <si>
    <t>Staffing</t>
  </si>
  <si>
    <t>3rd Generation default</t>
  </si>
  <si>
    <t>JTAG</t>
  </si>
  <si>
    <t>BU : SAP NCR Projects</t>
  </si>
  <si>
    <t>PI Package Implementation</t>
  </si>
  <si>
    <t>Chennai - 158 Arcot Road</t>
  </si>
  <si>
    <t>Project Location</t>
  </si>
  <si>
    <t>Actual start date</t>
  </si>
  <si>
    <t>Training</t>
  </si>
  <si>
    <t>Enterprise Data Warehousing</t>
  </si>
  <si>
    <t>4th Generation default</t>
  </si>
  <si>
    <t>Linux</t>
  </si>
  <si>
    <t>BU : SAP B'lore</t>
  </si>
  <si>
    <t>PS Product Sales</t>
  </si>
  <si>
    <t>Chennai - 184 NSK Road</t>
  </si>
  <si>
    <t>Project Manager</t>
  </si>
  <si>
    <t>Actual completion date</t>
  </si>
  <si>
    <t>Subprocess goal tracking</t>
  </si>
  <si>
    <t>Imaging</t>
  </si>
  <si>
    <t>5th Generation default</t>
  </si>
  <si>
    <t>Mobile</t>
  </si>
  <si>
    <t>BU : SAP Kolkata</t>
  </si>
  <si>
    <t>SC Scoping</t>
  </si>
  <si>
    <t>Chennai - 30 C-in-C Road</t>
  </si>
  <si>
    <t>Senior Manager</t>
  </si>
  <si>
    <t>Initial estimated effort</t>
  </si>
  <si>
    <t>Risk Management</t>
  </si>
  <si>
    <t>Mainframe</t>
  </si>
  <si>
    <t>AAS Macro</t>
  </si>
  <si>
    <t>Nucleus</t>
  </si>
  <si>
    <t>BU : SAP Chennai - Rockwell</t>
  </si>
  <si>
    <t>TE Testing</t>
  </si>
  <si>
    <t>Chennai - 30 Ethiraj Salai</t>
  </si>
  <si>
    <t>Engineering Staff</t>
  </si>
  <si>
    <t>Revised effort</t>
  </si>
  <si>
    <t>Recruitment Plan</t>
  </si>
  <si>
    <t>Microsoft Technologies</t>
  </si>
  <si>
    <t>ABAP/4</t>
  </si>
  <si>
    <t>Open VMS</t>
  </si>
  <si>
    <t>BU : SAP Chennai - Others</t>
  </si>
  <si>
    <t>OT Other</t>
  </si>
  <si>
    <t>Chennai - 34-35 Haddows Road</t>
  </si>
  <si>
    <t>Initial estimate size</t>
  </si>
  <si>
    <t>Actual effort</t>
  </si>
  <si>
    <t>IT Services Plan</t>
  </si>
  <si>
    <t>Others</t>
  </si>
  <si>
    <t>ACCEL</t>
  </si>
  <si>
    <t>BU : SAP SMH</t>
  </si>
  <si>
    <t>Chennai - 43-44 Montieth Road</t>
  </si>
  <si>
    <t>Revised size</t>
  </si>
  <si>
    <t>Effort unit</t>
  </si>
  <si>
    <t>Size, Schedule and Effort</t>
  </si>
  <si>
    <t>Access</t>
  </si>
  <si>
    <t>UNIX</t>
  </si>
  <si>
    <t xml:space="preserve">BU : SAP ANZ </t>
  </si>
  <si>
    <t>Chennai - 50-53 Greams Road</t>
  </si>
  <si>
    <t>Actual Size</t>
  </si>
  <si>
    <t>Estimates revised on</t>
  </si>
  <si>
    <t>Verification data</t>
  </si>
  <si>
    <t>ACTOR</t>
  </si>
  <si>
    <t>Windows</t>
  </si>
  <si>
    <t>BU : SAP US</t>
  </si>
  <si>
    <t>Chennai - 51 JN Road</t>
  </si>
  <si>
    <t>Size Unit</t>
  </si>
  <si>
    <t>Primary Dev. Language</t>
  </si>
  <si>
    <t>Verification Summary</t>
  </si>
  <si>
    <t>Acumen</t>
  </si>
  <si>
    <t xml:space="preserve">BU : SAP Europe </t>
  </si>
  <si>
    <t>Chennai - 35 South Phase (Guindy)</t>
  </si>
  <si>
    <t>Project Technology</t>
  </si>
  <si>
    <t>Quality of work</t>
  </si>
  <si>
    <t>Ada 83</t>
  </si>
  <si>
    <t>BU : SAP COE</t>
  </si>
  <si>
    <t>Chennai - 602 Tidel Park</t>
  </si>
  <si>
    <t>Project Status</t>
  </si>
  <si>
    <t>Guidelines</t>
  </si>
  <si>
    <t>Phasewise EV-SV</t>
  </si>
  <si>
    <t>Ada 95</t>
  </si>
  <si>
    <t>BU : OU Teradyne</t>
  </si>
  <si>
    <t>Chennai - 78 South Phase Road (Ambattur)</t>
  </si>
  <si>
    <t>Accomplishments and Incidents</t>
  </si>
  <si>
    <t>Charts</t>
  </si>
  <si>
    <t>ADR/DL</t>
  </si>
  <si>
    <t>BU : OU Hewitt Associates</t>
  </si>
  <si>
    <t>Chennai - 84 Greams Road</t>
  </si>
  <si>
    <t>CR Information</t>
  </si>
  <si>
    <t>Corrective action</t>
  </si>
  <si>
    <t>ADR/IDEAL/PDL</t>
  </si>
  <si>
    <t>BU : OU BFSI</t>
  </si>
  <si>
    <t>Chennai - 64-66 South Phase Road (Ambattur)</t>
  </si>
  <si>
    <t>Rev</t>
  </si>
  <si>
    <t xml:space="preserve">Tracking effort in hours </t>
  </si>
  <si>
    <t>ADS/Batch</t>
  </si>
  <si>
    <t>BU : OU MFG</t>
  </si>
  <si>
    <t>Chennai - D12 &amp; 12B Industrial Estate (Ambattur)</t>
  </si>
  <si>
    <t>ADS/Online</t>
  </si>
  <si>
    <t>BU : OU HI Tech</t>
  </si>
  <si>
    <t>Chennai - J-16 Anna Nagar</t>
  </si>
  <si>
    <t>AI shell default</t>
  </si>
  <si>
    <t>BU : OU MPE</t>
  </si>
  <si>
    <t>Chennai - NM Road</t>
  </si>
  <si>
    <t>AI SHELLS</t>
  </si>
  <si>
    <t>BU : OU Telecon</t>
  </si>
  <si>
    <t>Chennai - PH Road</t>
  </si>
  <si>
    <t>ALGOL 68</t>
  </si>
  <si>
    <t>BU : OU Retail &amp; Others</t>
  </si>
  <si>
    <t>Chennai - PM Towers</t>
  </si>
  <si>
    <t>ALGOL W</t>
  </si>
  <si>
    <t>BU : OU Life Sciences</t>
  </si>
  <si>
    <t>Gurgaon (244) - Phase 1</t>
  </si>
  <si>
    <t>AMBUSH</t>
  </si>
  <si>
    <t>BU : OU COE/Skill Pool</t>
  </si>
  <si>
    <t>Gurgaon (3) - Phase 1</t>
  </si>
  <si>
    <t>AML</t>
  </si>
  <si>
    <t>BU : MBS</t>
  </si>
  <si>
    <t>Kolkata - Sector V, Salt Lake</t>
  </si>
  <si>
    <t>AMPPL II</t>
  </si>
  <si>
    <t>BU : Placement projects</t>
  </si>
  <si>
    <t>Noida (A/104) - Sector 58</t>
  </si>
  <si>
    <t xml:space="preserve"> </t>
  </si>
  <si>
    <t>ANSI BASIC</t>
  </si>
  <si>
    <t>BU : EAI - (India)</t>
  </si>
  <si>
    <t>Noida (A-1) - Sector 16</t>
  </si>
  <si>
    <t>ANSI COBOL 74</t>
  </si>
  <si>
    <t>BU : EAI - (Alayance)</t>
  </si>
  <si>
    <t>Noida (A-10/11) - Sector 3</t>
  </si>
  <si>
    <t>ANSI COBOL 85</t>
  </si>
  <si>
    <t>CBU : PEARSON</t>
  </si>
  <si>
    <t>Noida (A-11) - Sector 16</t>
  </si>
  <si>
    <t>ANSI SQL</t>
  </si>
  <si>
    <t>CBU: LN/ NE</t>
  </si>
  <si>
    <t>Noida (A-5) - Sector 24</t>
  </si>
  <si>
    <t>ANSWER/DB</t>
  </si>
  <si>
    <t>CBU: GTECH</t>
  </si>
  <si>
    <t>Noida (C-23) - Sector 58</t>
  </si>
  <si>
    <t>APL 360/370</t>
  </si>
  <si>
    <t>VERTICAL :GAMING</t>
  </si>
  <si>
    <t>Noida (C-39) - Sector 59</t>
  </si>
  <si>
    <t>APL default</t>
  </si>
  <si>
    <t>VERTICAL: PUBLISHING &amp; E-LEARNING</t>
  </si>
  <si>
    <t>Noida (B-34/3) - Sector 59</t>
  </si>
  <si>
    <t>APL*PLUS</t>
  </si>
  <si>
    <t>CBU: WK MPE</t>
  </si>
  <si>
    <t>Noida [A8 &amp; 9] – Sector 60</t>
  </si>
  <si>
    <t>APPLESOFT BASIC</t>
  </si>
  <si>
    <t xml:space="preserve"> IS - MPE - ECMP Documentum</t>
  </si>
  <si>
    <t>Other</t>
  </si>
  <si>
    <t>Application Builder</t>
  </si>
  <si>
    <t xml:space="preserve"> IS - MPE - ECMP Others</t>
  </si>
  <si>
    <t>Application Manager</t>
  </si>
  <si>
    <t>VERTICAL: ACS-HTM-NOIDA</t>
  </si>
  <si>
    <t>APS</t>
  </si>
  <si>
    <t>OBU: TECH SUPORT BGL</t>
  </si>
  <si>
    <t>APT</t>
  </si>
  <si>
    <t>OBU: TECH SUPPORT CHENNAI</t>
  </si>
  <si>
    <t>APTools</t>
  </si>
  <si>
    <t>OBU: ACS HYD</t>
  </si>
  <si>
    <t>ARC</t>
  </si>
  <si>
    <t xml:space="preserve"> IS - HTM - ECMP Documentum</t>
  </si>
  <si>
    <t>Ariel</t>
  </si>
  <si>
    <t xml:space="preserve"> IS - HTM - ECMP Others</t>
  </si>
  <si>
    <t>ARITY</t>
  </si>
  <si>
    <t>VERTICAL : PHARMA CHENNAI</t>
  </si>
  <si>
    <t>Arity PROLOG</t>
  </si>
  <si>
    <t>VERTICAL : HEALTHCARE CHENNAI</t>
  </si>
  <si>
    <t>ART</t>
  </si>
  <si>
    <t xml:space="preserve"> IS - LSH - ECMP Documentum</t>
  </si>
  <si>
    <t>ART Enterprise</t>
  </si>
  <si>
    <t xml:space="preserve"> IS - LSH - ECMP Others</t>
  </si>
  <si>
    <t>Artemis</t>
  </si>
  <si>
    <t>VERTICAL : TRANSPORTATION CHENNAI</t>
  </si>
  <si>
    <t>ART-IM</t>
  </si>
  <si>
    <t>VERTICAL : TRAVEL CHENNAI</t>
  </si>
  <si>
    <t>AS/SET</t>
  </si>
  <si>
    <t>VERTICAL: AUTO CHENNAI</t>
  </si>
  <si>
    <t>ASI/INQUIRY</t>
  </si>
  <si>
    <t>OBU : OTHERS CHENNAI</t>
  </si>
  <si>
    <t>ASK Windows</t>
  </si>
  <si>
    <t>VERTICAL: INFORMATION ANALYTICS</t>
  </si>
  <si>
    <t>ASP</t>
  </si>
  <si>
    <t xml:space="preserve"> IS - EV - ECMP Documentum</t>
  </si>
  <si>
    <t>Assembly (Basic)</t>
  </si>
  <si>
    <t xml:space="preserve"> IS - EV - ECMP Kol Non ERP</t>
  </si>
  <si>
    <t>Assembly (Macro)</t>
  </si>
  <si>
    <t xml:space="preserve"> IS - EV - ECMP Filenet PS</t>
  </si>
  <si>
    <t>Associative default</t>
  </si>
  <si>
    <t xml:space="preserve"> IS - EV - ECMP Others</t>
  </si>
  <si>
    <t>Autocoder</t>
  </si>
  <si>
    <t xml:space="preserve"> IS - EV - GGN Apps</t>
  </si>
  <si>
    <t>awk</t>
  </si>
  <si>
    <t>COE: TESTING COE</t>
  </si>
  <si>
    <t>Aztec C</t>
  </si>
  <si>
    <t>OBU : US-RETAIL</t>
  </si>
  <si>
    <t>BALM</t>
  </si>
  <si>
    <t>OBU : EUROPE-RETAIL</t>
  </si>
  <si>
    <t>BASE SAS</t>
  </si>
  <si>
    <t>OBU : APJ-RETAIL</t>
  </si>
  <si>
    <t>BASIC</t>
  </si>
  <si>
    <t>VERTICAL : VSPC-RETAIL</t>
  </si>
  <si>
    <t>BASIC A</t>
  </si>
  <si>
    <t>CBU : CS-RETAIL</t>
  </si>
  <si>
    <t>Basic assembly</t>
  </si>
  <si>
    <t>CBU : JAG-RETAIL</t>
  </si>
  <si>
    <t>Berkeley PASCAL</t>
  </si>
  <si>
    <t>OBU : BUSINESS DEVELOPMENT</t>
  </si>
  <si>
    <t>BETTER BASIC</t>
  </si>
  <si>
    <t>OBU: ECMP CHENNAI</t>
  </si>
  <si>
    <t>BLISS</t>
  </si>
  <si>
    <t>OBU: ACS KOLKATA</t>
  </si>
  <si>
    <t>BMSGEN</t>
  </si>
  <si>
    <t>OBU: ECMP DOCUMENTUM</t>
  </si>
  <si>
    <t>BOEINGCALC</t>
  </si>
  <si>
    <t>OBU: FILENET</t>
  </si>
  <si>
    <t>BTEQ</t>
  </si>
  <si>
    <t>CBU: J &amp; J</t>
  </si>
  <si>
    <t>C</t>
  </si>
  <si>
    <t>CBU: WK ECMP</t>
  </si>
  <si>
    <t>C Set2</t>
  </si>
  <si>
    <t>OBU: IBM-ECM</t>
  </si>
  <si>
    <t>C++</t>
  </si>
  <si>
    <t>OBU: VSPC GOVT</t>
  </si>
  <si>
    <t>C86Plus</t>
  </si>
  <si>
    <t>OBU: BUSINESS DEVELOPMENT, GOVT</t>
  </si>
  <si>
    <t>CA-dBFast</t>
  </si>
  <si>
    <t>OBU: GOVT. DELIVERY I</t>
  </si>
  <si>
    <t>CA-EARL</t>
  </si>
  <si>
    <t>OBU: GOVT. DELIVERY II</t>
  </si>
  <si>
    <t>CAST</t>
  </si>
  <si>
    <t xml:space="preserve"> IS - GOVERNMENT - ECMP Documentum</t>
  </si>
  <si>
    <t>CBASIC</t>
  </si>
  <si>
    <t xml:space="preserve"> IS - GOVERNMENT - ECMP Filenet PS</t>
  </si>
  <si>
    <t>CDADL</t>
  </si>
  <si>
    <t xml:space="preserve"> IS - GOVERNMENT - Delivery III</t>
  </si>
  <si>
    <t>CELLSIM</t>
  </si>
  <si>
    <t xml:space="preserve"> IS - GOVERNMENT - Delivery IV</t>
  </si>
  <si>
    <t>Centerline C++</t>
  </si>
  <si>
    <t xml:space="preserve"> IS - GOVERNMENT - ECMP Others</t>
  </si>
  <si>
    <t>CHILI</t>
  </si>
  <si>
    <t>OBU: GGN APPS</t>
  </si>
  <si>
    <t>CHILL</t>
  </si>
  <si>
    <t>CBU : GE NOIDA</t>
  </si>
  <si>
    <t>CICS</t>
  </si>
  <si>
    <t>OBU : MECA</t>
  </si>
  <si>
    <t>CLARION</t>
  </si>
  <si>
    <t>CBU : DSG APPS</t>
  </si>
  <si>
    <t>CLASCAL</t>
  </si>
  <si>
    <t>CBU : DSG INFRA</t>
  </si>
  <si>
    <t>CLI</t>
  </si>
  <si>
    <t xml:space="preserve"> IS - DSG - App Dev Services</t>
  </si>
  <si>
    <t>CLIPPER</t>
  </si>
  <si>
    <t xml:space="preserve"> IS - DSG - App Support Services</t>
  </si>
  <si>
    <t>CLIPPER DB</t>
  </si>
  <si>
    <t xml:space="preserve"> IS - DSG - Offshore / Transition</t>
  </si>
  <si>
    <t>CLOS</t>
  </si>
  <si>
    <t xml:space="preserve"> IS - DSG - Production Services</t>
  </si>
  <si>
    <t>CLOUT</t>
  </si>
  <si>
    <t xml:space="preserve"> IS - Support - HR</t>
  </si>
  <si>
    <t>CMS2</t>
  </si>
  <si>
    <t xml:space="preserve"> IS - Support - Finance</t>
  </si>
  <si>
    <t>CMSGEN</t>
  </si>
  <si>
    <t xml:space="preserve"> IS - Support - LOB Head Office</t>
  </si>
  <si>
    <t>COBOL</t>
  </si>
  <si>
    <t xml:space="preserve">BU : Mainframe CoE </t>
  </si>
  <si>
    <t>COBOL II</t>
  </si>
  <si>
    <t xml:space="preserve">BU : AS/400 CoE </t>
  </si>
  <si>
    <t>Cobol/400</t>
  </si>
  <si>
    <t xml:space="preserve">BU : Hitachi CoE </t>
  </si>
  <si>
    <t>COBRA</t>
  </si>
  <si>
    <t xml:space="preserve">BU : DWBI CoE </t>
  </si>
  <si>
    <t>CodeCenter</t>
  </si>
  <si>
    <t>BU : SCM Practice</t>
  </si>
  <si>
    <t>Cofac</t>
  </si>
  <si>
    <t xml:space="preserve">BU : IT Consulting </t>
  </si>
  <si>
    <t>COGEN</t>
  </si>
  <si>
    <t>BU : Business Consulting Services</t>
  </si>
  <si>
    <t>COGNOS</t>
  </si>
  <si>
    <t>BU : Architecture Reengineering Services</t>
  </si>
  <si>
    <t>COGO</t>
  </si>
  <si>
    <t>BU : ATS</t>
  </si>
  <si>
    <t>ColdFussion</t>
  </si>
  <si>
    <t>BU - 1</t>
  </si>
  <si>
    <t>COMAL</t>
  </si>
  <si>
    <t>BU - 2 (Aero double bubble with ACS)</t>
  </si>
  <si>
    <t>COMIT II</t>
  </si>
  <si>
    <t>BU - 3</t>
  </si>
  <si>
    <t>Common LISP</t>
  </si>
  <si>
    <t>BU - 4</t>
  </si>
  <si>
    <t>Concurrent PASCAL</t>
  </si>
  <si>
    <t>BU - 5</t>
  </si>
  <si>
    <t>CONNIVER</t>
  </si>
  <si>
    <t>BU - 6</t>
  </si>
  <si>
    <t>CoolGen</t>
  </si>
  <si>
    <t>BU - 7  (SCB)</t>
  </si>
  <si>
    <t>CORAL 66</t>
  </si>
  <si>
    <t>BU - 8</t>
  </si>
  <si>
    <t>CORVET</t>
  </si>
  <si>
    <t>BU - 1 : Skandia (post-SSD)</t>
  </si>
  <si>
    <t>CorVision</t>
  </si>
  <si>
    <t>BU - 2</t>
  </si>
  <si>
    <t>CPL</t>
  </si>
  <si>
    <t>Crystal Reports</t>
  </si>
  <si>
    <t>CSL</t>
  </si>
  <si>
    <t>CSP</t>
  </si>
  <si>
    <t>BU - 6: Chile (pre-SSD)</t>
  </si>
  <si>
    <t>CSSL</t>
  </si>
  <si>
    <t>CULPRIT</t>
  </si>
  <si>
    <t>CxPERT</t>
  </si>
  <si>
    <t>CYGNET</t>
  </si>
  <si>
    <t>Data base default</t>
  </si>
  <si>
    <t>Dataflex</t>
  </si>
  <si>
    <t>DO 1- Trade Management Services</t>
  </si>
  <si>
    <t>Datatrieve</t>
  </si>
  <si>
    <t>DO 2- Settlement Services</t>
  </si>
  <si>
    <t>dBase III</t>
  </si>
  <si>
    <t>DO 3- Reconciliation Services</t>
  </si>
  <si>
    <t>dBase IV</t>
  </si>
  <si>
    <t>DO 4- Data Management Services</t>
  </si>
  <si>
    <t>DCL</t>
  </si>
  <si>
    <t>DO 5- Assets Services &amp; Controlling</t>
  </si>
  <si>
    <t>Decision support default</t>
  </si>
  <si>
    <t xml:space="preserve">DO 6A - Research </t>
  </si>
  <si>
    <t>DEC-RALLY</t>
  </si>
  <si>
    <t>DO 6B - Analytics</t>
  </si>
  <si>
    <t>DELPHI</t>
  </si>
  <si>
    <t>DO 7- Debt Inssuncs &amp; Pymt</t>
  </si>
  <si>
    <t>DL/1</t>
  </si>
  <si>
    <t>N S Ganesh</t>
  </si>
  <si>
    <t>DNA-4</t>
  </si>
  <si>
    <t>ERS-ESS-SBU1-CHN-JBU-CoE</t>
  </si>
  <si>
    <t>DOS Batch Files</t>
  </si>
  <si>
    <t>ERS-ESS-SBU1-CHN-VLSI</t>
  </si>
  <si>
    <t>DSP Assembly</t>
  </si>
  <si>
    <t>ERS-ESS-SBU1-CHN-JBU</t>
  </si>
  <si>
    <t>DTABL</t>
  </si>
  <si>
    <t>ERS-ESS-SBU1-CHN-HW</t>
  </si>
  <si>
    <t>DTIPT</t>
  </si>
  <si>
    <t>ERS-ESS-SBU1-NCR-HW</t>
  </si>
  <si>
    <t>DYANA</t>
  </si>
  <si>
    <t>ERS-ESS-SBU1-NCR-VLSI</t>
  </si>
  <si>
    <t>DYNAMO-III</t>
  </si>
  <si>
    <t>ERS-ESS-SBU1-NCR-CONS</t>
  </si>
  <si>
    <t>EASEL</t>
  </si>
  <si>
    <t>ERS-ESS-SBU1-CHN-CONS</t>
  </si>
  <si>
    <t>EASY</t>
  </si>
  <si>
    <t>ERS-ESS-SBU2-NCR-SPEG1</t>
  </si>
  <si>
    <t>EASYTRIEVE+</t>
  </si>
  <si>
    <t>ERS-ESS-SBU2-GGN-FILENET</t>
  </si>
  <si>
    <t>Eclipse</t>
  </si>
  <si>
    <t>ERS-ESS-SBU2-CHN-SPEG3</t>
  </si>
  <si>
    <t>EDA/SQL</t>
  </si>
  <si>
    <t>ERS-ESS-SBU2-NCR-SPEG2</t>
  </si>
  <si>
    <t>ED-Scheme 3.4</t>
  </si>
  <si>
    <t>ERS-ESS-SBU2-CHN-SPEG2</t>
  </si>
  <si>
    <t>EIFFEL</t>
  </si>
  <si>
    <t>ERS-ESS-SBU3-CHN-AERO</t>
  </si>
  <si>
    <t>ENFORM</t>
  </si>
  <si>
    <t>ERS-ESS-SBU3-BLR-AERO</t>
  </si>
  <si>
    <t>English-based default</t>
  </si>
  <si>
    <t>ERS-ESS-SBU4-CHN-AUTO</t>
  </si>
  <si>
    <t>Ensemble</t>
  </si>
  <si>
    <t>ERS-ESS-SBU4-CHN-INDUST</t>
  </si>
  <si>
    <t>EPOS</t>
  </si>
  <si>
    <t>ERS-ESS-SBU4-CHN-MEDICAL</t>
  </si>
  <si>
    <t>Erlang</t>
  </si>
  <si>
    <t>ERS-ESS-SBU4-NCR-MEDICAL</t>
  </si>
  <si>
    <t>ESF</t>
  </si>
  <si>
    <t>ERS-ESS-SBU4-CHN-SEMI</t>
  </si>
  <si>
    <t>ESPADVISOR</t>
  </si>
  <si>
    <t>ERS-ESS-SBU5-CHN-PA</t>
  </si>
  <si>
    <t>ESPL/I</t>
  </si>
  <si>
    <t>ERS-ESS-SBU5-CHN-ME</t>
  </si>
  <si>
    <t>EUCLID</t>
  </si>
  <si>
    <t>ERS-ESS-SBU5-CHN-IODC</t>
  </si>
  <si>
    <t>EXCEL 1-2</t>
  </si>
  <si>
    <t>ERS-ESS-SBU5-BLR-IODC</t>
  </si>
  <si>
    <t>EXCEL 3-4</t>
  </si>
  <si>
    <t>ERS-ESS-SBU5-CHN-SS1</t>
  </si>
  <si>
    <t>EXCEL 5</t>
  </si>
  <si>
    <t>ERS-ESS-SBU5-CHN-SS2</t>
  </si>
  <si>
    <t>EXPRESS</t>
  </si>
  <si>
    <t>ERS-ESS-SBU5-CHN-SS3</t>
  </si>
  <si>
    <t>EXSYS</t>
  </si>
  <si>
    <t>ERS-ESS-SBU5-CHN-MODC</t>
  </si>
  <si>
    <t>Extended Common LISP</t>
  </si>
  <si>
    <t>ERS-TEL-TSG-CHN-NETWORK</t>
  </si>
  <si>
    <t>EZNOMAD</t>
  </si>
  <si>
    <t>ERS-TEL-TSG-CHN-TELECOM</t>
  </si>
  <si>
    <t>Facets</t>
  </si>
  <si>
    <t>ERS-TEL-TSG-NCR-TELECOM</t>
  </si>
  <si>
    <t>FactoryLink IV</t>
  </si>
  <si>
    <t>ERS-TEL-TSG-NCR-COMVERSE</t>
  </si>
  <si>
    <t>FAME</t>
  </si>
  <si>
    <t>ERS-TEL-CODC-ACCT MGMT</t>
  </si>
  <si>
    <t>FileMaker Pro</t>
  </si>
  <si>
    <t>ERS-TEL-CODC-ENG-PING</t>
  </si>
  <si>
    <t>FLAVORS</t>
  </si>
  <si>
    <t>ERS-TEL-CODC-ENG-ATEG</t>
  </si>
  <si>
    <t>FLEX</t>
  </si>
  <si>
    <t>ERS-TEL-CODC-ENG-NMTG-LMS</t>
  </si>
  <si>
    <t>FlexGen</t>
  </si>
  <si>
    <t>ERS-TEL-CODC-ENG-ESPG</t>
  </si>
  <si>
    <t>FOCUS</t>
  </si>
  <si>
    <t>ERS-TEL-CODC-ENG-WESTG</t>
  </si>
  <si>
    <t>FOIL</t>
  </si>
  <si>
    <t>ERS-TEL-CODC-ENG-NMTG-ACSE</t>
  </si>
  <si>
    <t>Forte</t>
  </si>
  <si>
    <t>ERS-TEL-CODC-ENG-PDETG</t>
  </si>
  <si>
    <t>FORTH</t>
  </si>
  <si>
    <t>ERS-TEL-CODC-ENG-SCUBE</t>
  </si>
  <si>
    <t>FORTRAN</t>
  </si>
  <si>
    <t>ERS-TEL-CODC-ENG-CSSG</t>
  </si>
  <si>
    <t>FORTRAN 66</t>
  </si>
  <si>
    <t>ERS-TEL-CODC-ENG-NMTG-CMP</t>
  </si>
  <si>
    <t>FORTRAN 71</t>
  </si>
  <si>
    <t>ERS-TEL-CODC-ENG-ISEG</t>
  </si>
  <si>
    <t>FORTRAN 77</t>
  </si>
  <si>
    <t>ERS-TEL-CODC-ENG-HERSG</t>
  </si>
  <si>
    <t>FORTRAN 90</t>
  </si>
  <si>
    <t>ERS - SEMI - EQUIP - CHN</t>
  </si>
  <si>
    <t>FORTRAN 95</t>
  </si>
  <si>
    <t>ERS-SEMI-TERADYNE</t>
  </si>
  <si>
    <t>FORTRAN II</t>
  </si>
  <si>
    <t>ERS-SEMI-BLR</t>
  </si>
  <si>
    <t>FORTRAN 2.6</t>
  </si>
  <si>
    <t>ERS-SEMI-KTODC</t>
  </si>
  <si>
    <t>Foundation</t>
  </si>
  <si>
    <t>ERS-SEG-CHN-IDG</t>
  </si>
  <si>
    <t>FOXPRO 1</t>
  </si>
  <si>
    <t>ERS-SEG-CHN-TECH CoE</t>
  </si>
  <si>
    <t>FOXPRO 2.5</t>
  </si>
  <si>
    <t>FRAMEWORK</t>
  </si>
  <si>
    <t>G2</t>
  </si>
  <si>
    <t>GAMMA</t>
  </si>
  <si>
    <t>Genascript</t>
  </si>
  <si>
    <t>GENER/OL</t>
  </si>
  <si>
    <t>GENEXUS</t>
  </si>
  <si>
    <t>GENIFER</t>
  </si>
  <si>
    <t>GeODE 2.0</t>
  </si>
  <si>
    <t>GFA Basic</t>
  </si>
  <si>
    <t>GML</t>
  </si>
  <si>
    <t>Golden Common LISP</t>
  </si>
  <si>
    <t>GPSS</t>
  </si>
  <si>
    <t>GUEST</t>
  </si>
  <si>
    <t>Guru</t>
  </si>
  <si>
    <t>GW BASIC</t>
  </si>
  <si>
    <t>Haskell</t>
  </si>
  <si>
    <t>High C</t>
  </si>
  <si>
    <t>HLEVEL</t>
  </si>
  <si>
    <t>HP BASIC</t>
  </si>
  <si>
    <t>HTML 2.0</t>
  </si>
  <si>
    <t>HTML 3.0</t>
  </si>
  <si>
    <t>HTML 4.0</t>
  </si>
  <si>
    <t>Huron</t>
  </si>
  <si>
    <t>IBM ADF I</t>
  </si>
  <si>
    <t>IBM ADF II</t>
  </si>
  <si>
    <t>IBM Advanced BASIC</t>
  </si>
  <si>
    <t>IBM CICS/VS</t>
  </si>
  <si>
    <t>IBM Compiled BASIC</t>
  </si>
  <si>
    <t>IBM VS COBOL</t>
  </si>
  <si>
    <t>IBM VS COBOL II</t>
  </si>
  <si>
    <t>IBM OS/390 COBOL</t>
  </si>
  <si>
    <t>ICES</t>
  </si>
  <si>
    <t>ICON</t>
  </si>
  <si>
    <t>IDMS</t>
  </si>
  <si>
    <t>IEF</t>
  </si>
  <si>
    <t>IEW</t>
  </si>
  <si>
    <t>IFPS/PLUS</t>
  </si>
  <si>
    <t>IMPRS</t>
  </si>
  <si>
    <t>INFORMIX</t>
  </si>
  <si>
    <t>INGRES</t>
  </si>
  <si>
    <t>INQUIRE</t>
  </si>
  <si>
    <t>INSIGHT2</t>
  </si>
  <si>
    <t>INSTALL/1</t>
  </si>
  <si>
    <t>INTELLECT</t>
  </si>
  <si>
    <t>INTERLISP</t>
  </si>
  <si>
    <t>Interpreted BASIC</t>
  </si>
  <si>
    <t>Interpreted C</t>
  </si>
  <si>
    <t>IQLISP</t>
  </si>
  <si>
    <t>IQRP</t>
  </si>
  <si>
    <t>JANUS</t>
  </si>
  <si>
    <t>JAVA</t>
  </si>
  <si>
    <t>JAVA script</t>
  </si>
  <si>
    <t>JCL</t>
  </si>
  <si>
    <t>JOSS</t>
  </si>
  <si>
    <t>JOVIAL</t>
  </si>
  <si>
    <t>JSP</t>
  </si>
  <si>
    <t>KAPPA</t>
  </si>
  <si>
    <t>KBMS</t>
  </si>
  <si>
    <t>KCL</t>
  </si>
  <si>
    <t>KEE</t>
  </si>
  <si>
    <t>Keyplus</t>
  </si>
  <si>
    <t>KL</t>
  </si>
  <si>
    <t>KLO</t>
  </si>
  <si>
    <t>KNOWOL</t>
  </si>
  <si>
    <t>KRL</t>
  </si>
  <si>
    <t>KSH</t>
  </si>
  <si>
    <t>Ladder Logic</t>
  </si>
  <si>
    <t>LAMBIT/L</t>
  </si>
  <si>
    <t>Lattice C</t>
  </si>
  <si>
    <t>Liana</t>
  </si>
  <si>
    <t>LILITH</t>
  </si>
  <si>
    <t>LINC II</t>
  </si>
  <si>
    <t>LISP</t>
  </si>
  <si>
    <t>LOGLISP</t>
  </si>
  <si>
    <t>LOOPS</t>
  </si>
  <si>
    <t>LOTUS 123 DOS</t>
  </si>
  <si>
    <t>LOTUS Macros</t>
  </si>
  <si>
    <t>LOTUS NOTES</t>
  </si>
  <si>
    <t>LUCID 3D</t>
  </si>
  <si>
    <t>LYRIC</t>
  </si>
  <si>
    <t>M</t>
  </si>
  <si>
    <t>macFORTH</t>
  </si>
  <si>
    <t>MACH1</t>
  </si>
  <si>
    <t>Machine language</t>
  </si>
  <si>
    <t>Macro assembly</t>
  </si>
  <si>
    <t>MAESTRO</t>
  </si>
  <si>
    <t>MAGEC</t>
  </si>
  <si>
    <t>MAGIK</t>
  </si>
  <si>
    <t>MAKE</t>
  </si>
  <si>
    <t>MANTIS</t>
  </si>
  <si>
    <t>MAPPER</t>
  </si>
  <si>
    <t>MARK IV</t>
  </si>
  <si>
    <t>MARK V</t>
  </si>
  <si>
    <t>MATHCAD</t>
  </si>
  <si>
    <t>MDL</t>
  </si>
  <si>
    <t>MENTOR</t>
  </si>
  <si>
    <t>MESA</t>
  </si>
  <si>
    <t>Microfocus COBOL</t>
  </si>
  <si>
    <t>microFORTH</t>
  </si>
  <si>
    <t>Microsoft C</t>
  </si>
  <si>
    <t>MicroStep</t>
  </si>
  <si>
    <t>Miranda</t>
  </si>
  <si>
    <t>Model 204</t>
  </si>
  <si>
    <t>MODULA 2</t>
  </si>
  <si>
    <t>MOSAIC</t>
  </si>
  <si>
    <t>MS C++  Ver 7</t>
  </si>
  <si>
    <t>MS Compiled BASIC</t>
  </si>
  <si>
    <t>MSL</t>
  </si>
  <si>
    <t>muLISP</t>
  </si>
  <si>
    <t>MUMPS</t>
  </si>
  <si>
    <t>NASTRAN</t>
  </si>
  <si>
    <t>NATURAL 1</t>
  </si>
  <si>
    <t>NATURAL 2</t>
  </si>
  <si>
    <t>NATURAL Construct</t>
  </si>
  <si>
    <t>Natural language</t>
  </si>
  <si>
    <t>NETRON/CAP</t>
  </si>
  <si>
    <t>NEXPERT</t>
  </si>
  <si>
    <t>NIAL</t>
  </si>
  <si>
    <t>NOMAD2</t>
  </si>
  <si>
    <t>Non-procedural default</t>
  </si>
  <si>
    <t>Notes VIP</t>
  </si>
  <si>
    <t>Nroff</t>
  </si>
  <si>
    <t>OBJECT Assembler</t>
  </si>
  <si>
    <t>Object LISP</t>
  </si>
  <si>
    <t>Object LOGO</t>
  </si>
  <si>
    <t>Object PASCAL</t>
  </si>
  <si>
    <t>Object Star</t>
  </si>
  <si>
    <t>Objective-C</t>
  </si>
  <si>
    <t>Object-Oriented default</t>
  </si>
  <si>
    <t>ObjectVIEW</t>
  </si>
  <si>
    <t>OGL</t>
  </si>
  <si>
    <t>OMNIS 7</t>
  </si>
  <si>
    <t>OODL</t>
  </si>
  <si>
    <t>OPS</t>
  </si>
  <si>
    <t>OPS5</t>
  </si>
  <si>
    <t>ORACLE</t>
  </si>
  <si>
    <t>Oracle Developer/2000</t>
  </si>
  <si>
    <t>Oscar</t>
  </si>
  <si>
    <t>PACBASE</t>
  </si>
  <si>
    <t>PACE</t>
  </si>
  <si>
    <t>PARADOX/PAL</t>
  </si>
  <si>
    <t>PASCAL</t>
  </si>
  <si>
    <t>PC FOCUS</t>
  </si>
  <si>
    <t>PDL Millenium</t>
  </si>
  <si>
    <t>PDP-11 ADE</t>
  </si>
  <si>
    <t>PERL</t>
  </si>
  <si>
    <t>Persistance Object Builder</t>
  </si>
  <si>
    <t>PILOT</t>
  </si>
  <si>
    <t>PL/I</t>
  </si>
  <si>
    <t>PL/I OS Version3</t>
  </si>
  <si>
    <t>PL/M</t>
  </si>
  <si>
    <t>PL/S</t>
  </si>
  <si>
    <t>PL/SQL</t>
  </si>
  <si>
    <t>PLANIT</t>
  </si>
  <si>
    <t>PLANNER</t>
  </si>
  <si>
    <t>PLANPERFECT 1</t>
  </si>
  <si>
    <t>PLATO</t>
  </si>
  <si>
    <t>polyFORTH</t>
  </si>
  <si>
    <t>POP</t>
  </si>
  <si>
    <t>POPLOG</t>
  </si>
  <si>
    <t>Power BASIC</t>
  </si>
  <si>
    <t>PowerBuilder</t>
  </si>
  <si>
    <t>POWERHOUSE</t>
  </si>
  <si>
    <t>PPL (Plus)</t>
  </si>
  <si>
    <t>Problem-oriented default</t>
  </si>
  <si>
    <t>Pro-C</t>
  </si>
  <si>
    <t>Procedural default</t>
  </si>
  <si>
    <t>Professional PASCAL</t>
  </si>
  <si>
    <t>Program Generator default</t>
  </si>
  <si>
    <t>PROGRESS V4</t>
  </si>
  <si>
    <t>PRO-IV</t>
  </si>
  <si>
    <t>PROLOG</t>
  </si>
  <si>
    <t>PROSE</t>
  </si>
  <si>
    <t>PROTEUS</t>
  </si>
  <si>
    <t>PYTHON</t>
  </si>
  <si>
    <t>QBasic</t>
  </si>
  <si>
    <t>QBE</t>
  </si>
  <si>
    <t>QMF</t>
  </si>
  <si>
    <t>QNIAL</t>
  </si>
  <si>
    <t>QUATTRO</t>
  </si>
  <si>
    <t>QUATTRO PRO</t>
  </si>
  <si>
    <t>Query default</t>
  </si>
  <si>
    <t>QUICK BASIC 1</t>
  </si>
  <si>
    <t>QUICK BASIC 2</t>
  </si>
  <si>
    <t>QUICK BASIC 3</t>
  </si>
  <si>
    <t>Quick C</t>
  </si>
  <si>
    <t>Quickbuild</t>
  </si>
  <si>
    <t>QUIZ</t>
  </si>
  <si>
    <t>RALLY</t>
  </si>
  <si>
    <t>RAMIS II</t>
  </si>
  <si>
    <t>RapidGen</t>
  </si>
  <si>
    <t>RATFOR</t>
  </si>
  <si>
    <t>RDB</t>
  </si>
  <si>
    <t>REALIA</t>
  </si>
  <si>
    <t>Realizer1.0</t>
  </si>
  <si>
    <t>Realizer2.0</t>
  </si>
  <si>
    <t>RELATE/3000</t>
  </si>
  <si>
    <t>Reuse default</t>
  </si>
  <si>
    <t>REXX (MVS)</t>
  </si>
  <si>
    <t>REXX (OS/2)</t>
  </si>
  <si>
    <t>RM BASIC</t>
  </si>
  <si>
    <t>RM COBOL</t>
  </si>
  <si>
    <t>RM FORTRAN</t>
  </si>
  <si>
    <t>RPGI</t>
  </si>
  <si>
    <t>RPGII</t>
  </si>
  <si>
    <t>RPGIII</t>
  </si>
  <si>
    <t>RT-Expert1.4</t>
  </si>
  <si>
    <t>SAIL</t>
  </si>
  <si>
    <t>SAPIENS</t>
  </si>
  <si>
    <t>SAS</t>
  </si>
  <si>
    <t>SAVVY</t>
  </si>
  <si>
    <t>SBASIC</t>
  </si>
  <si>
    <t>SCEPTRE</t>
  </si>
  <si>
    <t>SCHEME</t>
  </si>
  <si>
    <t>Screen painter default</t>
  </si>
  <si>
    <t>SELCOPY</t>
  </si>
  <si>
    <t>SEQUAL</t>
  </si>
  <si>
    <t>SHELL</t>
  </si>
  <si>
    <t>SIMPLAN</t>
  </si>
  <si>
    <t>SIMSCRIPT</t>
  </si>
  <si>
    <t>SIMULA</t>
  </si>
  <si>
    <t>SIMULA 67</t>
  </si>
  <si>
    <t>Simulation default</t>
  </si>
  <si>
    <t>SMALLTALK286</t>
  </si>
  <si>
    <t>SMALLTALK80</t>
  </si>
  <si>
    <t>SMALLTALK/V</t>
  </si>
  <si>
    <t>SNAP</t>
  </si>
  <si>
    <t>SNOBOL2-4</t>
  </si>
  <si>
    <t>SoftScreen</t>
  </si>
  <si>
    <t>SOLO</t>
  </si>
  <si>
    <t>SPEAKEASY</t>
  </si>
  <si>
    <t>Spinnaker PPL</t>
  </si>
  <si>
    <t>S-PLUS</t>
  </si>
  <si>
    <t>Spreadsheet default</t>
  </si>
  <si>
    <t>SPS</t>
  </si>
  <si>
    <t>SPSS</t>
  </si>
  <si>
    <t>SQL</t>
  </si>
  <si>
    <t>SQL-Windows</t>
  </si>
  <si>
    <t>Statistical default</t>
  </si>
  <si>
    <t>STRATEGEM</t>
  </si>
  <si>
    <t>STRESS</t>
  </si>
  <si>
    <t>Strongly typed default</t>
  </si>
  <si>
    <t>STYLE</t>
  </si>
  <si>
    <t>SUPERBASE 1.3</t>
  </si>
  <si>
    <t>SURPASS</t>
  </si>
  <si>
    <t>SYBASE</t>
  </si>
  <si>
    <t>Symantec C++</t>
  </si>
  <si>
    <t>SYMBOLANG</t>
  </si>
  <si>
    <t>Synchroworks</t>
  </si>
  <si>
    <t>SYNON/2E</t>
  </si>
  <si>
    <t>System-W</t>
  </si>
  <si>
    <t>Tandem Access Language</t>
  </si>
  <si>
    <t>TCL</t>
  </si>
  <si>
    <t>TELON</t>
  </si>
  <si>
    <t>TESSARACT</t>
  </si>
  <si>
    <t>THE TWIN</t>
  </si>
  <si>
    <t>THEMIS</t>
  </si>
  <si>
    <t>TI-IEF</t>
  </si>
  <si>
    <t>Topspeed C++</t>
  </si>
  <si>
    <t>TRANSFORM</t>
  </si>
  <si>
    <t>TRANSLISP PLUS</t>
  </si>
  <si>
    <t>TREET</t>
  </si>
  <si>
    <t>TREETRAN</t>
  </si>
  <si>
    <t>TRS80 BASIC II,III</t>
  </si>
  <si>
    <t>TRUE BASIC</t>
  </si>
  <si>
    <t>Turbo C</t>
  </si>
  <si>
    <t>TURBO C++</t>
  </si>
  <si>
    <t>TURBO EXPERT</t>
  </si>
  <si>
    <t>Turbo PASCAL &gt;5</t>
  </si>
  <si>
    <t>Turbo PASCAL 1-4</t>
  </si>
  <si>
    <t>Turbo PASCAL 4-5</t>
  </si>
  <si>
    <t>Turbo PROLOG</t>
  </si>
  <si>
    <t>TURING</t>
  </si>
  <si>
    <t>TUTOR</t>
  </si>
  <si>
    <t>TWAICE</t>
  </si>
  <si>
    <t>UCSD PASCAL</t>
  </si>
  <si>
    <t>UFO/IMS</t>
  </si>
  <si>
    <t>UHELP</t>
  </si>
  <si>
    <t>UNIFACE</t>
  </si>
  <si>
    <t>UNIX Shell Scripts</t>
  </si>
  <si>
    <t>VAX ACMS</t>
  </si>
  <si>
    <t>VAX ADE</t>
  </si>
  <si>
    <t>VECTRAN</t>
  </si>
  <si>
    <t>VHDL</t>
  </si>
  <si>
    <t>Visible C</t>
  </si>
  <si>
    <t>Visible COBOL</t>
  </si>
  <si>
    <t>Visicalc 1</t>
  </si>
  <si>
    <t>Visual 4.0</t>
  </si>
  <si>
    <t>Visual Basic1</t>
  </si>
  <si>
    <t>Visual Basic2</t>
  </si>
  <si>
    <t>Visual Basic3</t>
  </si>
  <si>
    <t>Visual Basic4</t>
  </si>
  <si>
    <t>Visual Basic5</t>
  </si>
  <si>
    <t>Visual Basic6</t>
  </si>
  <si>
    <t>Visual Basic DOS</t>
  </si>
  <si>
    <t>Visual C++</t>
  </si>
  <si>
    <t>Visual C++6</t>
  </si>
  <si>
    <t>Visual COBOL</t>
  </si>
  <si>
    <t>Visual FoxPro</t>
  </si>
  <si>
    <t>Visual J</t>
  </si>
  <si>
    <t>Visual Objects</t>
  </si>
  <si>
    <t>VisualAge</t>
  </si>
  <si>
    <t>VisualGen</t>
  </si>
  <si>
    <t>VS-REXX</t>
  </si>
  <si>
    <t>VULCAN</t>
  </si>
  <si>
    <t>VZ Programmer</t>
  </si>
  <si>
    <t>WARP X</t>
  </si>
  <si>
    <t>WATCOM C</t>
  </si>
  <si>
    <t>WATCOM C/386</t>
  </si>
  <si>
    <t>Waterloo C</t>
  </si>
  <si>
    <t>Waterloo PASCAL</t>
  </si>
  <si>
    <t>WATFIV</t>
  </si>
  <si>
    <t>WATFOR</t>
  </si>
  <si>
    <t>WHIP</t>
  </si>
  <si>
    <t>Wizard</t>
  </si>
  <si>
    <t>XLISP</t>
  </si>
  <si>
    <t>XML</t>
  </si>
  <si>
    <t>YACC</t>
  </si>
  <si>
    <t>YACC++</t>
  </si>
  <si>
    <t>ZBASIC</t>
  </si>
  <si>
    <t>ZIM</t>
  </si>
  <si>
    <t>ZLISP</t>
  </si>
  <si>
    <t>Schedule</t>
  </si>
  <si>
    <t>Effort</t>
  </si>
  <si>
    <t>WDD</t>
  </si>
  <si>
    <t>Productivity</t>
  </si>
  <si>
    <t xml:space="preserve"> Project Status Review </t>
  </si>
  <si>
    <t>Planned Productivity ( Till Current period)</t>
  </si>
  <si>
    <t>Resource Level</t>
  </si>
  <si>
    <t>No#</t>
  </si>
  <si>
    <t>Project Start Dt.</t>
  </si>
  <si>
    <t>Actual Productivity  ( Till Current period)</t>
  </si>
  <si>
    <t>L1</t>
  </si>
  <si>
    <t>L5</t>
  </si>
  <si>
    <t>L9</t>
  </si>
  <si>
    <t>Project End Dt.</t>
  </si>
  <si>
    <t>Current Team Size</t>
  </si>
  <si>
    <t>L2</t>
  </si>
  <si>
    <t>L6</t>
  </si>
  <si>
    <t>L10</t>
  </si>
  <si>
    <t>Current Date</t>
  </si>
  <si>
    <t xml:space="preserve">No. of Persons Resigned </t>
  </si>
  <si>
    <t>L3</t>
  </si>
  <si>
    <t>L7</t>
  </si>
  <si>
    <r>
      <t xml:space="preserve">No. of Persons currently </t>
    </r>
    <r>
      <rPr>
        <b/>
        <sz val="10"/>
        <color indexed="60"/>
        <rFont val="Arial"/>
        <family val="2"/>
      </rPr>
      <t>Not</t>
    </r>
    <r>
      <rPr>
        <b/>
        <sz val="10"/>
        <rFont val="Arial"/>
        <family val="2"/>
      </rPr>
      <t xml:space="preserve"> Available in project</t>
    </r>
  </si>
  <si>
    <t>L4</t>
  </si>
  <si>
    <t>L8</t>
  </si>
  <si>
    <t xml:space="preserve">Note - Please put the efforts belonging to the 'current cumulative' blocks to 'Upto last period' block </t>
  </si>
  <si>
    <t>1. PROJECT EFFORT</t>
  </si>
  <si>
    <t>Effort  as per Type (Man-hours)</t>
  </si>
  <si>
    <t>Offshore</t>
  </si>
  <si>
    <t>Onsite</t>
  </si>
  <si>
    <t>Upto Last Period</t>
  </si>
  <si>
    <t>Current Period</t>
  </si>
  <si>
    <t>Current Cumulative</t>
  </si>
  <si>
    <t>Planned</t>
  </si>
  <si>
    <t xml:space="preserve">Actual </t>
  </si>
  <si>
    <t>Deviation (%)</t>
  </si>
  <si>
    <t>Actual</t>
  </si>
  <si>
    <t>Project Team Effort (Man-Hrs)</t>
  </si>
  <si>
    <t>Testing Team Effort (Man-Hrs)</t>
  </si>
  <si>
    <t>Graphics Efforts (Man-Hrs)</t>
  </si>
  <si>
    <t>Tech. Writer Efforts (Man-Hrs)</t>
  </si>
  <si>
    <t>QA Efforts (Man-Hrs)</t>
  </si>
  <si>
    <t>Organizational Efforts (Man-Hrs)</t>
  </si>
  <si>
    <t>PM Efforts (Man-Hrs)</t>
  </si>
  <si>
    <t>Architecture (Man-Hrs)</t>
  </si>
  <si>
    <t>Business Analyst Efforts (Man-Hrs)</t>
  </si>
  <si>
    <t>PMO Efforts (Man-Hrs)</t>
  </si>
  <si>
    <t>Total Project Efforts (Man-Hrs)</t>
  </si>
  <si>
    <t>Effort as per Resource Level (Man-hours)</t>
  </si>
  <si>
    <t>2. PROJECT SIZE (FP / Other count)</t>
  </si>
  <si>
    <t>Project Size in FP/ other-Count</t>
  </si>
  <si>
    <t>Initial</t>
  </si>
  <si>
    <t>Last Calculated</t>
  </si>
  <si>
    <t>Current Calculated</t>
  </si>
  <si>
    <t>Deviation</t>
  </si>
  <si>
    <t>Value (FP/ Other-Count)</t>
  </si>
  <si>
    <t>Resource Type</t>
  </si>
  <si>
    <t>Type Description</t>
  </si>
  <si>
    <t>Availibility Status</t>
  </si>
  <si>
    <t>Issue Status</t>
  </si>
  <si>
    <t>Vertical</t>
  </si>
  <si>
    <t>A</t>
  </si>
  <si>
    <t>ISV</t>
  </si>
  <si>
    <t>SEG</t>
  </si>
  <si>
    <t>Project Team Effort (Man-Hrs) (SEG)</t>
  </si>
  <si>
    <t xml:space="preserve">Not Available </t>
  </si>
  <si>
    <t>Open</t>
  </si>
  <si>
    <t>B</t>
  </si>
  <si>
    <t>CTT</t>
  </si>
  <si>
    <t>Testing Team Effort (Man-Hrs) (CTT)</t>
  </si>
  <si>
    <t>Resigned</t>
  </si>
  <si>
    <t>Closed</t>
  </si>
  <si>
    <t>Manufacturing</t>
  </si>
  <si>
    <t>GRA</t>
  </si>
  <si>
    <t>Graphics Efforts (Man-Hrs) (GRA)</t>
  </si>
  <si>
    <t>Available</t>
  </si>
  <si>
    <t>In Progress</t>
  </si>
  <si>
    <t>D</t>
  </si>
  <si>
    <t>Retail</t>
  </si>
  <si>
    <t>TWR</t>
  </si>
  <si>
    <t>Tech. Writer Efforts (Man-Hrs) (TWR)</t>
  </si>
  <si>
    <t>FS</t>
  </si>
  <si>
    <t>QAG</t>
  </si>
  <si>
    <t>QAG Efforts (Man-Hrs) (QAG)</t>
  </si>
  <si>
    <t>Emerging Business</t>
  </si>
  <si>
    <t>ORG</t>
  </si>
  <si>
    <t>Organizational Efforts (Man-Hrs) (ORG)</t>
  </si>
  <si>
    <t>SSDG</t>
  </si>
  <si>
    <t>PMS</t>
  </si>
  <si>
    <t>PM Efforts (Man-Hrs) (PMS)</t>
  </si>
  <si>
    <t>Public Sector</t>
  </si>
  <si>
    <t>Architecture (Man-Hrs) (ARC)</t>
  </si>
  <si>
    <t>BAS</t>
  </si>
  <si>
    <t>Business Analyst Efforts (Man-Hrs) (BAS)</t>
  </si>
  <si>
    <t>PMO</t>
  </si>
  <si>
    <t>PMO Efforts (Man-Hrs) (PMO)</t>
  </si>
  <si>
    <t>S. No.</t>
  </si>
  <si>
    <t>Training Requirement</t>
  </si>
  <si>
    <t>Type of training</t>
  </si>
  <si>
    <t>No. of people to be trained</t>
  </si>
  <si>
    <t>People to be trained (names)</t>
  </si>
  <si>
    <t>People trained (names)</t>
  </si>
  <si>
    <t>Training completion date</t>
  </si>
  <si>
    <t>Training effort in person hours</t>
  </si>
  <si>
    <t>Remarks</t>
  </si>
  <si>
    <t>Current Manpower Status Report ( Resource Type Wise)</t>
  </si>
  <si>
    <t>Current Manpower Status Report ( Resource Level Wise)</t>
  </si>
  <si>
    <t>Effort  Type(Man-hours)</t>
  </si>
  <si>
    <t>Resource Level  (Man-hours)</t>
  </si>
  <si>
    <t>Total Project Efforts</t>
  </si>
  <si>
    <t>Employee Code</t>
  </si>
  <si>
    <t>Name of Resource</t>
  </si>
  <si>
    <t>Level</t>
  </si>
  <si>
    <t>Type</t>
  </si>
  <si>
    <t>Offshore Effort (Current Month)</t>
  </si>
  <si>
    <t>Onsite (Current Month)</t>
  </si>
  <si>
    <t>%Billable (Planned in  Current Month)</t>
  </si>
  <si>
    <t>%Billable (Actual in  Current Month)</t>
  </si>
  <si>
    <t>Effort Planned</t>
  </si>
  <si>
    <t>Effort Spent</t>
  </si>
  <si>
    <t>Id.</t>
  </si>
  <si>
    <t>Objective</t>
  </si>
  <si>
    <t>Source of Objective</t>
  </si>
  <si>
    <t>Metric</t>
  </si>
  <si>
    <t>Unit</t>
  </si>
  <si>
    <t>Required measures</t>
  </si>
  <si>
    <t>Definition</t>
  </si>
  <si>
    <t>Priority</t>
  </si>
  <si>
    <t>Organization baseline (if applicable)</t>
  </si>
  <si>
    <t>SDC / Centre baseline</t>
  </si>
  <si>
    <t>Project Goal</t>
  </si>
  <si>
    <t>Upper specification limit</t>
  </si>
  <si>
    <t>Lower specification limit</t>
  </si>
  <si>
    <t>Current Value</t>
  </si>
  <si>
    <t>Analysis model / methodologies</t>
  </si>
  <si>
    <t>Tracking remarks</t>
  </si>
  <si>
    <t xml:space="preserve">Improve Delivery Variances </t>
  </si>
  <si>
    <t>Organizational Measurement Objectives</t>
  </si>
  <si>
    <t>Effort Variation - Initial</t>
  </si>
  <si>
    <t>%</t>
  </si>
  <si>
    <t>Initial effort estimated and Actual effort</t>
  </si>
  <si>
    <r>
      <t xml:space="preserve">(Actual effort - Estimated effort) x 100
</t>
    </r>
    <r>
      <rPr>
        <sz val="11"/>
        <rFont val="Arial"/>
        <family val="2"/>
      </rPr>
      <t>Estimated effort</t>
    </r>
  </si>
  <si>
    <t>Medium</t>
  </si>
  <si>
    <t>Effort Variation - Baselined</t>
  </si>
  <si>
    <t>Last baselined effort estimate and Actual effort</t>
  </si>
  <si>
    <r>
      <t xml:space="preserve">(Actual effort - Baselined effort) x 100
</t>
    </r>
    <r>
      <rPr>
        <sz val="11"/>
        <rFont val="Arial"/>
        <family val="2"/>
      </rPr>
      <t>Baslined effort</t>
    </r>
  </si>
  <si>
    <t>High</t>
  </si>
  <si>
    <t>Schedule Variation - Initial</t>
  </si>
  <si>
    <t>(Actual completion date - Estimated completion date) x 100 / (Estimated duration)</t>
  </si>
  <si>
    <t>Schedule Variation - Baselined</t>
  </si>
  <si>
    <t>(Actual completion date - Last Baselined completion date) x 100 / (Last baselined duration)</t>
  </si>
  <si>
    <t xml:space="preserve">Improve Productivity and reduce Cost of Software Production  </t>
  </si>
  <si>
    <t>Actual Size and effort data</t>
  </si>
  <si>
    <r>
      <t>Actual Size</t>
    </r>
    <r>
      <rPr>
        <sz val="11"/>
        <rFont val="Arial"/>
        <family val="2"/>
      </rPr>
      <t xml:space="preserve">
Actual Effort</t>
    </r>
  </si>
  <si>
    <t>Reduce Pre and Post Delivery Defects in all Deliveries</t>
  </si>
  <si>
    <t>Weighted Defect density</t>
  </si>
  <si>
    <t>Actual Size, Review issues and test defects</t>
  </si>
  <si>
    <t>Total Weighted Defects found / Actual project size</t>
  </si>
  <si>
    <t>Review efficiency</t>
  </si>
  <si>
    <t>Total review issues and testing issues</t>
  </si>
  <si>
    <t>[(No. of Weighted Defects found in Review) / Total No. of Weighted Defects found before Delivery (both Reviews and Testing) ]* 100</t>
  </si>
  <si>
    <t>Defect removal efficiency</t>
  </si>
  <si>
    <t>Defects detected before release and post release defects</t>
  </si>
  <si>
    <t>DRE= (E/ E+D) x 100 where  
E = weighted Pre-delivery errors (detected during all QC / QA) activities
D= weighted Post –delivery Defects</t>
  </si>
  <si>
    <t>Current</t>
  </si>
  <si>
    <t>Date identified</t>
  </si>
  <si>
    <t>Risk Category</t>
  </si>
  <si>
    <t>Risk Source</t>
  </si>
  <si>
    <t>Process where Identified</t>
  </si>
  <si>
    <t>Risk Title</t>
  </si>
  <si>
    <t>Risk description</t>
  </si>
  <si>
    <t>Relevant ISMS Control</t>
  </si>
  <si>
    <t xml:space="preserve">Relevance (ISMS, QMS, Both) </t>
  </si>
  <si>
    <t>Owner</t>
  </si>
  <si>
    <t>Probability</t>
  </si>
  <si>
    <t>Impact on Cost</t>
  </si>
  <si>
    <t>Impact on Schedule</t>
  </si>
  <si>
    <t>Impact on Scope</t>
  </si>
  <si>
    <t>Impact on Quality</t>
  </si>
  <si>
    <t>Regulatory Impact</t>
  </si>
  <si>
    <t>Normalized Impact</t>
  </si>
  <si>
    <t>Risk Index - Initial</t>
  </si>
  <si>
    <t>Risk Index - Current</t>
  </si>
  <si>
    <t>Risk Treatment Plan (Accept, Mitigate, Avoid, Transfer)</t>
  </si>
  <si>
    <t>Cost of Risk</t>
  </si>
  <si>
    <t>Cost of Mitigation Plan</t>
  </si>
  <si>
    <t>Cost / Benefit ratio</t>
  </si>
  <si>
    <t>Escalation threshold</t>
  </si>
  <si>
    <t>Mitigation plan</t>
  </si>
  <si>
    <t>Contingency plan</t>
  </si>
  <si>
    <t>External (Impacts customer) /
Internal</t>
  </si>
  <si>
    <t>Update date</t>
  </si>
  <si>
    <t>Rev Prob</t>
  </si>
  <si>
    <t>Rev Impact</t>
  </si>
  <si>
    <t>Rev Risk index</t>
  </si>
  <si>
    <t>Status-1</t>
  </si>
  <si>
    <t>NA</t>
  </si>
  <si>
    <t>Mitigate</t>
  </si>
  <si>
    <t>Internal</t>
  </si>
  <si>
    <t>Yes</t>
  </si>
  <si>
    <t>Transfer</t>
  </si>
  <si>
    <t>Project Phases</t>
  </si>
  <si>
    <t>Schedule Metrics</t>
  </si>
  <si>
    <t>Effort Metrics</t>
  </si>
  <si>
    <t>Not started</t>
  </si>
  <si>
    <t>In progress</t>
  </si>
  <si>
    <t>Waiting for inputs</t>
  </si>
  <si>
    <t>Deferred</t>
  </si>
  <si>
    <t>Completed</t>
  </si>
  <si>
    <t>Milestone Completion</t>
  </si>
  <si>
    <t>Estimated Start Date</t>
  </si>
  <si>
    <t>Estimated Completion Date</t>
  </si>
  <si>
    <t>Last Baselined Start Date</t>
  </si>
  <si>
    <t>Last Baselined Completion Date</t>
  </si>
  <si>
    <t>Estimated Effort in Person hours</t>
  </si>
  <si>
    <t>Revised Effort in Person hours</t>
  </si>
  <si>
    <t>Actual Effort in Person hours</t>
  </si>
  <si>
    <r>
      <t>SV</t>
    </r>
    <r>
      <rPr>
        <b/>
        <vertAlign val="subscript"/>
        <sz val="10"/>
        <rFont val="Arial"/>
        <family val="2"/>
      </rPr>
      <t>A</t>
    </r>
    <r>
      <rPr>
        <b/>
        <sz val="10"/>
        <rFont val="Arial"/>
        <family val="2"/>
      </rPr>
      <t xml:space="preserve"> (Cumulative)</t>
    </r>
  </si>
  <si>
    <r>
      <t>SV</t>
    </r>
    <r>
      <rPr>
        <b/>
        <vertAlign val="subscript"/>
        <sz val="10"/>
        <rFont val="Arial"/>
        <family val="2"/>
      </rPr>
      <t>B</t>
    </r>
    <r>
      <rPr>
        <b/>
        <sz val="10"/>
        <rFont val="Arial"/>
        <family val="2"/>
      </rPr>
      <t xml:space="preserve"> (Cumulative)</t>
    </r>
  </si>
  <si>
    <r>
      <t>EV</t>
    </r>
    <r>
      <rPr>
        <b/>
        <vertAlign val="subscript"/>
        <sz val="10"/>
        <rFont val="Arial"/>
        <family val="2"/>
      </rPr>
      <t>A</t>
    </r>
    <r>
      <rPr>
        <b/>
        <sz val="10"/>
        <rFont val="Arial"/>
        <family val="2"/>
      </rPr>
      <t xml:space="preserve"> (Cumulative)</t>
    </r>
  </si>
  <si>
    <r>
      <t>EV</t>
    </r>
    <r>
      <rPr>
        <b/>
        <vertAlign val="subscript"/>
        <sz val="10"/>
        <rFont val="Arial"/>
        <family val="2"/>
      </rPr>
      <t>B</t>
    </r>
    <r>
      <rPr>
        <b/>
        <sz val="10"/>
        <rFont val="Arial"/>
        <family val="2"/>
      </rPr>
      <t xml:space="preserve"> (Cumulative)</t>
    </r>
  </si>
  <si>
    <t>Activity Status</t>
  </si>
  <si>
    <t>Customer Deliverable</t>
  </si>
  <si>
    <t>Est Effort Cumulative</t>
  </si>
  <si>
    <t>Rev. Effort Cumulative</t>
  </si>
  <si>
    <t>Act Effort - Cumulative</t>
  </si>
  <si>
    <t>Customer deliverable?</t>
  </si>
  <si>
    <t>Row num</t>
  </si>
  <si>
    <t>Applicable phases</t>
  </si>
  <si>
    <t>Size Units</t>
  </si>
  <si>
    <r>
      <t>Project SV</t>
    </r>
    <r>
      <rPr>
        <vertAlign val="subscript"/>
        <sz val="10"/>
        <color indexed="9"/>
        <rFont val="Arial"/>
        <family val="2"/>
      </rPr>
      <t>A</t>
    </r>
    <r>
      <rPr>
        <sz val="10"/>
        <color indexed="9"/>
        <rFont val="Arial"/>
        <family val="2"/>
      </rPr>
      <t xml:space="preserve"> goal</t>
    </r>
  </si>
  <si>
    <t>Project SVB Goal</t>
  </si>
  <si>
    <t>Project EVA goal</t>
  </si>
  <si>
    <t>Project EVB Goal</t>
  </si>
  <si>
    <t>Actual Vs. Initial estimated productivity</t>
  </si>
  <si>
    <t>Actual Vs. Last baselined productivity</t>
  </si>
  <si>
    <t>Rev. St Date</t>
  </si>
  <si>
    <t>Rev. End Date</t>
  </si>
  <si>
    <t>Sch. Variance</t>
  </si>
  <si>
    <t>Size unit1</t>
  </si>
  <si>
    <t>Size unit2</t>
  </si>
  <si>
    <t>Size unit3</t>
  </si>
  <si>
    <t>Size unit4</t>
  </si>
  <si>
    <t>Size unit5</t>
  </si>
  <si>
    <t>EVA</t>
  </si>
  <si>
    <t>EVB</t>
  </si>
  <si>
    <t>SVA</t>
  </si>
  <si>
    <t>SVB</t>
  </si>
  <si>
    <t>QOW Index</t>
  </si>
  <si>
    <t>Analysis and Design-Rel1</t>
  </si>
  <si>
    <t>Analysis</t>
  </si>
  <si>
    <t>Development and Unit Testing-Rel-1</t>
  </si>
  <si>
    <t>Build</t>
  </si>
  <si>
    <t>System Integration Testing - Rel-1</t>
  </si>
  <si>
    <t>No</t>
  </si>
  <si>
    <t>Code Modification</t>
  </si>
  <si>
    <t>User Acceptance Testing - Rel-1</t>
  </si>
  <si>
    <t>Code Study</t>
  </si>
  <si>
    <t>Production Deployment Rel-1</t>
  </si>
  <si>
    <t>Coding</t>
  </si>
  <si>
    <t>Post Production Deployment Support - Rel-1</t>
  </si>
  <si>
    <t>Post Production Deployment Support</t>
  </si>
  <si>
    <t>Fix testing</t>
  </si>
  <si>
    <t>Func Spec</t>
  </si>
  <si>
    <t>Gerber Generation</t>
  </si>
  <si>
    <t>HD and PS</t>
  </si>
  <si>
    <t>High level design</t>
  </si>
  <si>
    <t>Integration testing</t>
  </si>
  <si>
    <t>Knowledge Gathering</t>
  </si>
  <si>
    <t>Knowledge Transfer and Set-up</t>
  </si>
  <si>
    <t>Pre-UAT Demo</t>
  </si>
  <si>
    <t>Pilot Conversion</t>
  </si>
  <si>
    <t>Place and Route</t>
  </si>
  <si>
    <t>Project Planning</t>
  </si>
  <si>
    <t>Production Deployment</t>
  </si>
  <si>
    <t>Regression Testing</t>
  </si>
  <si>
    <t>Reqt Collection / Analysis</t>
  </si>
  <si>
    <t>Requirements specification</t>
  </si>
  <si>
    <t>Schematics</t>
  </si>
  <si>
    <t>Simulation</t>
  </si>
  <si>
    <t>Synthesis</t>
  </si>
  <si>
    <t>Symbol Creation</t>
  </si>
  <si>
    <t>System and Requirements Study</t>
  </si>
  <si>
    <t>System testing</t>
  </si>
  <si>
    <t>Tech Spec</t>
  </si>
  <si>
    <t>Test Execution and Defect Management</t>
  </si>
  <si>
    <t>Test Planning</t>
  </si>
  <si>
    <t>UAT</t>
  </si>
  <si>
    <t>Unit testing</t>
  </si>
  <si>
    <t>Applicable project phases</t>
  </si>
  <si>
    <t>Size measurement unit for phases</t>
  </si>
  <si>
    <t>Phase List</t>
  </si>
  <si>
    <t>Size Measure</t>
  </si>
  <si>
    <t>Equivalent Standard SDLC Phase</t>
  </si>
  <si>
    <t>Analysis and design</t>
  </si>
  <si>
    <t>Hours</t>
  </si>
  <si>
    <t>Components</t>
  </si>
  <si>
    <t>Coding and unit testing</t>
  </si>
  <si>
    <t>Feature points</t>
  </si>
  <si>
    <t>Package &amp; release</t>
  </si>
  <si>
    <t>Requirement Specification</t>
  </si>
  <si>
    <t>System integration testing</t>
  </si>
  <si>
    <t>Func. Modules</t>
  </si>
  <si>
    <t>Construction</t>
  </si>
  <si>
    <t>High Level design</t>
  </si>
  <si>
    <t>User acceptance testing</t>
  </si>
  <si>
    <t>Function points</t>
  </si>
  <si>
    <t>Low Level design</t>
  </si>
  <si>
    <t>Icons</t>
  </si>
  <si>
    <t xml:space="preserve">Post production support </t>
  </si>
  <si>
    <t>NCSLOC</t>
  </si>
  <si>
    <t>Testing</t>
  </si>
  <si>
    <t>Paths</t>
  </si>
  <si>
    <t>Acceptance</t>
  </si>
  <si>
    <t>Screens</t>
  </si>
  <si>
    <t>System function points</t>
  </si>
  <si>
    <t>Test cases</t>
  </si>
  <si>
    <t>Use cases</t>
  </si>
  <si>
    <t>DFC</t>
  </si>
  <si>
    <t>SV</t>
  </si>
  <si>
    <t>Delivery accepted without any comments</t>
  </si>
  <si>
    <t>SV &gt;=25%</t>
  </si>
  <si>
    <t>Delivery accepted with minor comments</t>
  </si>
  <si>
    <t>SV &gt;=20%</t>
  </si>
  <si>
    <t>Delivery accepted with 1-2 major comments</t>
  </si>
  <si>
    <t>SV &gt;=15%</t>
  </si>
  <si>
    <t>Delivery accepted with many major comments</t>
  </si>
  <si>
    <t>SV &gt;=10%</t>
  </si>
  <si>
    <t>Delivery not accepted</t>
  </si>
  <si>
    <t>SV&gt;=5%</t>
  </si>
  <si>
    <t>Not applicable</t>
  </si>
  <si>
    <t>SV&lt;5%</t>
  </si>
  <si>
    <t>Not Applicable</t>
  </si>
  <si>
    <t>Delivery Quality</t>
  </si>
  <si>
    <t>Batch / Activity / Work Product</t>
  </si>
  <si>
    <t>Delivery details</t>
  </si>
  <si>
    <t>Plan Delivery date</t>
  </si>
  <si>
    <t>Actual Delivery date</t>
  </si>
  <si>
    <t>Feedback from customer</t>
  </si>
  <si>
    <t>Delivery Schedule Variation</t>
  </si>
  <si>
    <t>Delivery quality index</t>
  </si>
  <si>
    <t>Customer feedback communication reference</t>
  </si>
  <si>
    <t>Delivery Feedback</t>
  </si>
  <si>
    <t>SV-Range</t>
  </si>
  <si>
    <t>SV - Bin</t>
  </si>
  <si>
    <t xml:space="preserve">Probability Scale </t>
  </si>
  <si>
    <t>Description</t>
  </si>
  <si>
    <t>Almost Certain</t>
  </si>
  <si>
    <t>Very High Likelihood of occurrence (almost inevitable); occurrence is expected; It would be surprising if this does not happen; Likely to occur once in 3-6 months or known incident is last 3-6 months</t>
  </si>
  <si>
    <t>Often</t>
  </si>
  <si>
    <t xml:space="preserve">High Likelihood of occurrence; occurrence is probable; more likely to happen than not Likely to occur within 1 year or known incident in last 1 year
</t>
  </si>
  <si>
    <t>Likely</t>
  </si>
  <si>
    <t xml:space="preserve">Moderate Likelihood of occurrence; occurrence is occasional; just as likely to happen as not. Likely to occur within 1-3 years or known incident in last 1-3 years
</t>
  </si>
  <si>
    <t>Possible</t>
  </si>
  <si>
    <t xml:space="preserve">Low Likelihood of occurrence; occurrence is unusual; less likely to happen that not. Likely to occur within 3-5 years or known incident in last 3-5 years
</t>
  </si>
  <si>
    <t>Rare</t>
  </si>
  <si>
    <t>Very Low Likelihood of occurrence; occurrence is unprecedented; It would be surprising if this does happen. Likely to occur within 10 years or known incident in last 10 years or has happened in past</t>
  </si>
  <si>
    <t>Possible impact values of risk on Cost, Schedule, Scope, Quality, Regulatory are as follows:</t>
  </si>
  <si>
    <t xml:space="preserve">Impact Scale </t>
  </si>
  <si>
    <t>Impact</t>
  </si>
  <si>
    <t>Insignificant</t>
  </si>
  <si>
    <t>Minor</t>
  </si>
  <si>
    <t>Moderate</t>
  </si>
  <si>
    <t>Major</t>
  </si>
  <si>
    <t>Catastrophic</t>
  </si>
  <si>
    <r>
      <rPr>
        <b/>
        <sz val="11"/>
        <rFont val="Arial"/>
        <family val="2"/>
      </rPr>
      <t>Note:</t>
    </r>
    <r>
      <rPr>
        <sz val="11"/>
        <rFont val="Arial"/>
        <family val="2"/>
      </rPr>
      <t xml:space="preserve">
The Initial Probability and Impact values in Columns J to O reflect the risk assessment as of the date the risk was identified, prior to any controls being implemented (i.e., risk calculated without controls).
The Current Probability and Impact values in Columns R to W represent the risk assessment as of the date the risk was reviewed or addressed, after controls have been applied (i.e., risk calculated with controls).</t>
    </r>
  </si>
  <si>
    <t>Normalized Impact Calculation</t>
  </si>
  <si>
    <t>It represents the average of the five impact categories: Cost Impact, Schedule Impact, Scope Impact, Quality Impact, and Regulatory Impact.</t>
  </si>
  <si>
    <t>Risk Index Calculation</t>
  </si>
  <si>
    <t>It is the multiplication of the Normalized Impact and Probability.</t>
  </si>
  <si>
    <t>Risk Treatment Plan</t>
  </si>
  <si>
    <t>Types</t>
  </si>
  <si>
    <t>Accept</t>
  </si>
  <si>
    <t>Formally acknowledging and accepting the residual risk based on an informed decision, where the risk level is deemed tolerable in relation to the organization’s risk criteria.</t>
  </si>
  <si>
    <t>Sharing or transferring the impact of a risk to a third party (e.g., through contractual arrangements, outsourcing, or insurance) while retaining accountability for managing the risk.</t>
  </si>
  <si>
    <t>Avoid</t>
  </si>
  <si>
    <t>Eliminating the risk by discontinuing the activities that cause it or by adopting alternative, less risky processes, technologies, or policies.</t>
  </si>
  <si>
    <t>Implementing risk controls to reduce the likelihood of occurrence and/or the potential impact of a risk to an acceptable level</t>
  </si>
  <si>
    <t>Risk Acceptance Criteria</t>
  </si>
  <si>
    <r>
      <t>Risks with a Risk Value (Risk Index – Current) of</t>
    </r>
    <r>
      <rPr>
        <b/>
        <sz val="11"/>
        <rFont val="Arial"/>
        <family val="2"/>
      </rPr>
      <t xml:space="preserve"> less than 1.5</t>
    </r>
    <r>
      <rPr>
        <sz val="11"/>
        <rFont val="Arial"/>
        <family val="2"/>
      </rPr>
      <t xml:space="preserve"> are considered </t>
    </r>
    <r>
      <rPr>
        <b/>
        <sz val="11"/>
        <rFont val="Arial"/>
        <family val="2"/>
      </rPr>
      <t>acceptable</t>
    </r>
    <r>
      <rPr>
        <sz val="11"/>
        <rFont val="Arial"/>
        <family val="2"/>
      </rPr>
      <t xml:space="preserve"> and </t>
    </r>
    <r>
      <rPr>
        <b/>
        <sz val="11"/>
        <rFont val="Arial"/>
        <family val="2"/>
      </rPr>
      <t>will not be subjected to additional risk treatment</t>
    </r>
    <r>
      <rPr>
        <sz val="11"/>
        <rFont val="Arial"/>
        <family val="2"/>
      </rPr>
      <t>.
Risks with a Risk Value of 1.5</t>
    </r>
    <r>
      <rPr>
        <b/>
        <sz val="11"/>
        <rFont val="Arial"/>
        <family val="2"/>
      </rPr>
      <t xml:space="preserve"> or higher</t>
    </r>
    <r>
      <rPr>
        <sz val="11"/>
        <rFont val="Arial"/>
        <family val="2"/>
      </rPr>
      <t xml:space="preserve"> will be addressed through one or more of the four defined risk treatment methods: Accept, Avoid, Mitigate and Transfer.</t>
    </r>
  </si>
  <si>
    <t>Description of Issue</t>
  </si>
  <si>
    <t>Issue Raised By</t>
  </si>
  <si>
    <t>Date of Issue Raised</t>
  </si>
  <si>
    <t>Assigned To/ Responsibility</t>
  </si>
  <si>
    <t>Resolution steps</t>
  </si>
  <si>
    <t>Target Date of Closure</t>
  </si>
  <si>
    <t>Actual Closure Date</t>
  </si>
  <si>
    <t>Comments</t>
  </si>
  <si>
    <t>No.</t>
  </si>
  <si>
    <t>Date Identified</t>
  </si>
  <si>
    <t>Opportunity Title</t>
  </si>
  <si>
    <t>Opportunity Description</t>
  </si>
  <si>
    <t>External (Impacts Customer)/ 
Internal</t>
  </si>
  <si>
    <t>Owner driving</t>
  </si>
  <si>
    <t>Process Where Identified</t>
  </si>
  <si>
    <t>Cost Benefit
(Dept/ Org. context)</t>
  </si>
  <si>
    <t>Revenue Benefit
(Dept/ Org context)</t>
  </si>
  <si>
    <t>Knowledge Benefit
(Deptt. / org context)</t>
  </si>
  <si>
    <t>Process Efficiency or Productivity
(Deptt./  org context)</t>
  </si>
  <si>
    <t>Sales Opportunity
(org context)</t>
  </si>
  <si>
    <t>Next Action Item</t>
  </si>
  <si>
    <t>Last Updated On</t>
  </si>
  <si>
    <t>Project Name (only applicable for MAZDA-ADS)</t>
  </si>
  <si>
    <t>Total Planned effort (only applicable for MAZDA-ADS individual projects)</t>
  </si>
  <si>
    <t>Phase</t>
  </si>
  <si>
    <t>Module/Submodule</t>
  </si>
  <si>
    <t>Verification activity</t>
  </si>
  <si>
    <t>Estimated effort (person hours)</t>
  </si>
  <si>
    <t>Actual effort (person hours)</t>
  </si>
  <si>
    <t>Major defects</t>
  </si>
  <si>
    <t>Minor defects</t>
  </si>
  <si>
    <t>Trivial defects</t>
  </si>
  <si>
    <t>Total defects</t>
  </si>
  <si>
    <t>Closed defects</t>
  </si>
  <si>
    <t>Weighted defects</t>
  </si>
  <si>
    <t>Estimated rework (person hours)</t>
  </si>
  <si>
    <t>Actual rework (person hours)</t>
  </si>
  <si>
    <t>Review-Peer review inspection</t>
  </si>
  <si>
    <t>System Integration testing</t>
  </si>
  <si>
    <t>Production deployment</t>
  </si>
  <si>
    <t>Post production support</t>
  </si>
  <si>
    <t>Internal Verification defects</t>
  </si>
  <si>
    <t>Review</t>
  </si>
  <si>
    <t>Work product type / unit</t>
  </si>
  <si>
    <t>Verification effort</t>
  </si>
  <si>
    <t>Total Size</t>
  </si>
  <si>
    <t>Rework effort</t>
  </si>
  <si>
    <t>Testing effort</t>
  </si>
  <si>
    <t>Phase - wk pdt</t>
  </si>
  <si>
    <t>Major issues / defects</t>
  </si>
  <si>
    <t>Minor issues /d efects</t>
  </si>
  <si>
    <t>Trivial issues / defects</t>
  </si>
  <si>
    <t>External Verification defects</t>
  </si>
  <si>
    <t>PROJECT CLOSURE REPORT</t>
  </si>
  <si>
    <t xml:space="preserve">PROJECT NAME </t>
  </si>
  <si>
    <t>Recorded by</t>
  </si>
  <si>
    <t>DATE PREPARED</t>
  </si>
  <si>
    <t>PARTICIPANTS</t>
  </si>
  <si>
    <t>PROJECT OVERVIEW</t>
  </si>
  <si>
    <t>Goals and objectives of the project</t>
  </si>
  <si>
    <t>Original criteria for project success</t>
  </si>
  <si>
    <t>Was the project completed according to the original expectation?</t>
  </si>
  <si>
    <t>PROJECT HIGHLIGHTS</t>
  </si>
  <si>
    <t>Major accomplishments?</t>
  </si>
  <si>
    <t>Methods worked well?</t>
  </si>
  <si>
    <t>Found to be particularly useful to accomplish the project</t>
  </si>
  <si>
    <t>PROJECT CHALLENGES</t>
  </si>
  <si>
    <t xml:space="preserve">What elements of the project went wrong? </t>
  </si>
  <si>
    <t>What specific processes need improvement?</t>
  </si>
  <si>
    <t>How can these processes be improved in the future?</t>
  </si>
  <si>
    <t>What were the key problem areas (i.e., budgeting, scheduling, etc.)?</t>
  </si>
  <si>
    <t>List any technical challenges.</t>
  </si>
  <si>
    <t xml:space="preserve">POST-PROJECT TASKS, if any </t>
  </si>
  <si>
    <t>Mention any continuing development and maintenance objectives.</t>
  </si>
  <si>
    <t>What actions still need to be completed, and who is responsible for completing them?</t>
  </si>
  <si>
    <t>Project Performance Key Indicators</t>
  </si>
  <si>
    <t>PLANNING PHASE</t>
  </si>
  <si>
    <t>KPIs</t>
  </si>
  <si>
    <t>ACHIEVED?</t>
  </si>
  <si>
    <t>COMMENTS</t>
  </si>
  <si>
    <t>Project plans and scheduling were well documented, complete with adequate structure and detail</t>
  </si>
  <si>
    <t xml:space="preserve">Project schedule contained all elements of project  </t>
  </si>
  <si>
    <t>Tasks were clearly defined</t>
  </si>
  <si>
    <t xml:space="preserve">Stakeholders had adequate input in planning process   </t>
  </si>
  <si>
    <t xml:space="preserve">Requirements were gathered and clearly documented </t>
  </si>
  <si>
    <t>Criteria were clear for all phases of project</t>
  </si>
  <si>
    <t>EXECUTION</t>
  </si>
  <si>
    <t xml:space="preserve">Project reached its original goals   </t>
  </si>
  <si>
    <t xml:space="preserve">Unexpected changes that occurred were of manageable frequency and intensity   </t>
  </si>
  <si>
    <t>Project baselines (i.e., time, scope, cost) were thoughtfully managed</t>
  </si>
  <si>
    <t>Multiple change request came in between the project</t>
  </si>
  <si>
    <t xml:space="preserve">Fundamental project management processes (i.e., risk and issue management) were efficient  </t>
  </si>
  <si>
    <t>Project progress was tracked and reported in accurate, organized manner</t>
  </si>
  <si>
    <t>Through WSR, Weekly Status Call, Weekly Delivery Call, Business Call, and Management Review meeting</t>
  </si>
  <si>
    <t>RESOURCE FACTORS</t>
  </si>
  <si>
    <t>Project manager reported to appropriate parties</t>
  </si>
  <si>
    <t>Project management was effective</t>
  </si>
  <si>
    <t>Project team was organized and adequately staffed</t>
  </si>
  <si>
    <t>No SME was involved in the Project, Inadequate and inappropriate resources got engaged. Abruptly withdrawal of the resources</t>
  </si>
  <si>
    <t xml:space="preserve">Project manager and team received proper training   </t>
  </si>
  <si>
    <t>There was efficient communication among project team members</t>
  </si>
  <si>
    <t xml:space="preserve">Functional areas collaborated effectively    </t>
  </si>
  <si>
    <t>NoFunctional SME was involved</t>
  </si>
  <si>
    <t xml:space="preserve">Conflicting goals did not cause interdepartmental problems  </t>
  </si>
  <si>
    <t>OVERALL</t>
  </si>
  <si>
    <t xml:space="preserve">Original cost and schedule projections were accurate   </t>
  </si>
  <si>
    <t>Assumptions were wrong which badly effected schedule &amp; cost</t>
  </si>
  <si>
    <t xml:space="preserve">Deliverables were presented on time within schedule   </t>
  </si>
  <si>
    <t>80% Delivery was on time</t>
  </si>
  <si>
    <t xml:space="preserve">Project was concluded within  budget   </t>
  </si>
  <si>
    <t xml:space="preserve">Change control was constructive </t>
  </si>
  <si>
    <t xml:space="preserve">External dependencies were known and handled effectively    </t>
  </si>
  <si>
    <t>Some of External Dependencies were not known</t>
  </si>
  <si>
    <t>Internal &amp; Customer Defects were within the permissible limit</t>
  </si>
  <si>
    <t>Project objectives were met</t>
  </si>
  <si>
    <t>Business objectives were met</t>
  </si>
  <si>
    <t>Feedback on Processes</t>
  </si>
  <si>
    <t xml:space="preserve"> &lt;List all Good and ineffective practices related to Project management, process methodology, project controlling, technology etc &gt;</t>
  </si>
  <si>
    <t>Practices</t>
  </si>
  <si>
    <t>Effect on Project</t>
  </si>
  <si>
    <t>Best Practices</t>
  </si>
  <si>
    <t>Ineffective Practices</t>
  </si>
  <si>
    <t>Best Practices Contributed to Knowledge Management System</t>
  </si>
  <si>
    <t>All the required artifacts were documented properly</t>
  </si>
  <si>
    <t xml:space="preserve">Project Perfomance </t>
  </si>
  <si>
    <t>Criteria</t>
  </si>
  <si>
    <t>Budgeted Cost</t>
  </si>
  <si>
    <t>$</t>
  </si>
  <si>
    <t>Actual Cost</t>
  </si>
  <si>
    <t>Cost Variance</t>
  </si>
  <si>
    <t>Schedule Variance</t>
  </si>
  <si>
    <t>Planned Vs Actual Work Hours</t>
  </si>
  <si>
    <t>Effort Variance</t>
  </si>
  <si>
    <t>Resource Utilization</t>
  </si>
  <si>
    <t>Overdue Tasks/Cross Deadlines</t>
  </si>
  <si>
    <t>Tasks % completed on time</t>
  </si>
  <si>
    <t xml:space="preserve">No of Defects identified During SIT </t>
  </si>
  <si>
    <t>No of Defects identified during UAT</t>
  </si>
  <si>
    <t>Customer Satisfaction Score</t>
  </si>
  <si>
    <t>Last Audit Score</t>
  </si>
  <si>
    <t>Project Name:</t>
  </si>
  <si>
    <t>Stakeholders</t>
  </si>
  <si>
    <t>Ideas:</t>
  </si>
  <si>
    <t>Win/Issue</t>
  </si>
  <si>
    <t>Describe what happened</t>
  </si>
  <si>
    <t>How Does This Change Future Projects?</t>
  </si>
  <si>
    <t>Action Items</t>
  </si>
  <si>
    <t>Resource Name</t>
  </si>
  <si>
    <t>Role in  project</t>
  </si>
  <si>
    <t>Nos of tasks Alloted</t>
  </si>
  <si>
    <t>Nos of task Comepleted on time</t>
  </si>
  <si>
    <t>On time completetion %</t>
  </si>
  <si>
    <t>Planned Hour</t>
  </si>
  <si>
    <t>Time(Hour) Spent</t>
  </si>
  <si>
    <t>Effort Variation</t>
  </si>
  <si>
    <t>No of defects/Major</t>
  </si>
  <si>
    <t>Number of Project Milestones Achieved On Time</t>
  </si>
  <si>
    <t xml:space="preserve"> Training  (Technology / Module / Domain ) Initiation / Participation  </t>
  </si>
  <si>
    <t xml:space="preserve">Any New Technology/Domain Learned </t>
  </si>
  <si>
    <t>Any Customer Complaints</t>
  </si>
  <si>
    <t>DM</t>
  </si>
  <si>
    <t>PM</t>
  </si>
  <si>
    <t>BSA</t>
  </si>
  <si>
    <t>SME</t>
  </si>
  <si>
    <t>Architect</t>
  </si>
  <si>
    <t>Tech Lead</t>
  </si>
  <si>
    <t>Module Lead</t>
  </si>
  <si>
    <t>Developer</t>
  </si>
  <si>
    <t>Sr. Developer</t>
  </si>
  <si>
    <t>QE Head</t>
  </si>
  <si>
    <t>QE</t>
  </si>
  <si>
    <t>UI/UX Dev</t>
  </si>
  <si>
    <t>Consultant</t>
  </si>
  <si>
    <t>Contractor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</si>
</sst>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quot;$&quot;#,##0_);[Red]\(&quot;$&quot;#,##0\)"/>
    <numFmt numFmtId="165" formatCode="d/mmm/yy"/>
    <numFmt numFmtId="166" formatCode="0.00\ &quot;%&quot;"/>
    <numFmt numFmtId="167" formatCode="0.00\ &quot;PH&quot;"/>
    <numFmt numFmtId="168" formatCode="[$-409]d\-mmm\-yy;@"/>
    <numFmt numFmtId="169" formatCode="[$-409]d/mmm/yy;@"/>
    <numFmt numFmtId="170" formatCode="[$-14009]dd/mm/yyyy;@"/>
    <numFmt numFmtId="171" formatCode="[$-409]mmmm\ d\,\ yyyy;@"/>
    <numFmt numFmtId="172" formatCode="[$-F800]dddd\,\ mmmm\ dd\,\ yyyy"/>
    <numFmt numFmtId="173" formatCode="&quot;$&quot;#,##0.00"/>
    <numFmt numFmtId="174" formatCode="[$-14009]d\ mmmm\ yyyy;@"/>
  </numFmts>
  <fonts count="59" x14ac:knownFonts="1">
    <font>
      <sz val="10"/>
      <name val="Arial"/>
    </font>
    <font>
      <sz val="11"/>
      <color theme="1"/>
      <name val="Calibri"/>
      <family val="2"/>
      <scheme val="minor"/>
    </font>
    <font>
      <sz val="10"/>
      <name val="Arial"/>
      <family val="2"/>
    </font>
    <font>
      <u/>
      <sz val="10"/>
      <color indexed="12"/>
      <name val="Arial"/>
      <family val="2"/>
    </font>
    <font>
      <b/>
      <sz val="10"/>
      <name val="Arial"/>
      <family val="2"/>
    </font>
    <font>
      <sz val="10"/>
      <name val="Arial"/>
      <family val="2"/>
    </font>
    <font>
      <sz val="10"/>
      <color indexed="9"/>
      <name val="Arial"/>
      <family val="2"/>
    </font>
    <font>
      <sz val="10"/>
      <color indexed="81"/>
      <name val="Tahoma"/>
      <family val="2"/>
    </font>
    <font>
      <u/>
      <sz val="10"/>
      <name val="Arial"/>
      <family val="2"/>
    </font>
    <font>
      <sz val="9"/>
      <color indexed="81"/>
      <name val="Tahoma"/>
      <family val="2"/>
    </font>
    <font>
      <sz val="10"/>
      <color indexed="12"/>
      <name val="Arial"/>
      <family val="2"/>
    </font>
    <font>
      <sz val="10"/>
      <color indexed="62"/>
      <name val="Arial"/>
      <family val="2"/>
    </font>
    <font>
      <b/>
      <sz val="16"/>
      <name val="Arial"/>
      <family val="2"/>
    </font>
    <font>
      <sz val="10"/>
      <color indexed="10"/>
      <name val="Arial"/>
      <family val="2"/>
    </font>
    <font>
      <vertAlign val="subscript"/>
      <sz val="10"/>
      <color indexed="9"/>
      <name val="Arial"/>
      <family val="2"/>
    </font>
    <font>
      <sz val="9"/>
      <name val="Palatino Linotype"/>
      <family val="1"/>
    </font>
    <font>
      <b/>
      <sz val="9"/>
      <name val="Palatino Linotype"/>
      <family val="1"/>
    </font>
    <font>
      <sz val="10"/>
      <name val="Times New Roman"/>
      <family val="1"/>
    </font>
    <font>
      <sz val="11"/>
      <name val="Arial"/>
      <family val="2"/>
    </font>
    <font>
      <u/>
      <sz val="11"/>
      <name val="Arial"/>
      <family val="2"/>
    </font>
    <font>
      <b/>
      <sz val="11"/>
      <name val="Arial"/>
      <family val="2"/>
    </font>
    <font>
      <b/>
      <sz val="12"/>
      <name val="Arial"/>
      <family val="2"/>
    </font>
    <font>
      <b/>
      <sz val="10"/>
      <name val="Verdana"/>
      <family val="2"/>
    </font>
    <font>
      <sz val="8"/>
      <name val="Arial"/>
      <family val="2"/>
    </font>
    <font>
      <sz val="10"/>
      <name val="Verdana"/>
      <family val="2"/>
    </font>
    <font>
      <b/>
      <sz val="10"/>
      <color indexed="60"/>
      <name val="Arial"/>
      <family val="2"/>
    </font>
    <font>
      <b/>
      <sz val="9"/>
      <color indexed="81"/>
      <name val="Tahoma"/>
      <family val="2"/>
    </font>
    <font>
      <b/>
      <sz val="14"/>
      <name val="Arial"/>
      <family val="2"/>
    </font>
    <font>
      <b/>
      <sz val="11"/>
      <color theme="1"/>
      <name val="Calibri"/>
      <family val="2"/>
      <scheme val="minor"/>
    </font>
    <font>
      <sz val="10"/>
      <color theme="0"/>
      <name val="Arial"/>
      <family val="2"/>
    </font>
    <font>
      <sz val="10"/>
      <color rgb="FF000000"/>
      <name val="Arial"/>
      <family val="2"/>
    </font>
    <font>
      <b/>
      <sz val="14"/>
      <color rgb="FFFFFF00"/>
      <name val="Arial"/>
      <family val="2"/>
    </font>
    <font>
      <sz val="14"/>
      <name val="Arial"/>
      <family val="2"/>
    </font>
    <font>
      <sz val="14"/>
      <color rgb="FF002060"/>
      <name val="Times New Roman"/>
      <family val="1"/>
    </font>
    <font>
      <sz val="10"/>
      <color theme="6" tint="-0.499984740745262"/>
      <name val="Arial"/>
      <family val="2"/>
    </font>
    <font>
      <b/>
      <sz val="12"/>
      <color rgb="FFFFFF00"/>
      <name val="Arial"/>
      <family val="2"/>
    </font>
    <font>
      <b/>
      <vertAlign val="subscript"/>
      <sz val="10"/>
      <name val="Arial"/>
      <family val="2"/>
    </font>
    <font>
      <sz val="11"/>
      <name val="Calibri"/>
      <family val="2"/>
    </font>
    <font>
      <sz val="10"/>
      <color rgb="FF000000"/>
      <name val="Calibri"/>
      <family val="2"/>
    </font>
    <font>
      <b/>
      <sz val="10"/>
      <color theme="6" tint="-0.499984740745262"/>
      <name val="Arial"/>
      <family val="2"/>
    </font>
    <font>
      <sz val="10"/>
      <color theme="1"/>
      <name val="Arial"/>
      <family val="2"/>
    </font>
    <font>
      <b/>
      <sz val="12"/>
      <color theme="1"/>
      <name val="Arial"/>
      <family val="2"/>
    </font>
    <font>
      <sz val="10"/>
      <color rgb="FF000000"/>
      <name val="Century Gothic"/>
      <family val="1"/>
    </font>
    <font>
      <b/>
      <sz val="10"/>
      <color theme="1"/>
      <name val="Arial"/>
      <family val="2"/>
    </font>
    <font>
      <sz val="11"/>
      <color theme="1"/>
      <name val="Arial"/>
      <family val="2"/>
    </font>
    <font>
      <sz val="22"/>
      <color theme="1"/>
      <name val="Arial"/>
      <family val="2"/>
    </font>
    <font>
      <sz val="12"/>
      <color theme="1"/>
      <name val="Arial"/>
      <family val="2"/>
    </font>
    <font>
      <sz val="22"/>
      <color theme="1"/>
      <name val="Century Gothic"/>
      <family val="1"/>
    </font>
    <font>
      <b/>
      <sz val="16"/>
      <color theme="1"/>
      <name val="Arial"/>
      <family val="2"/>
    </font>
    <font>
      <b/>
      <sz val="12"/>
      <color rgb="FF101423"/>
      <name val="Arial"/>
      <family val="2"/>
    </font>
    <font>
      <b/>
      <sz val="14"/>
      <color rgb="FF101423"/>
      <name val="Arial"/>
      <family val="2"/>
    </font>
    <font>
      <b/>
      <sz val="11"/>
      <color rgb="FF00B050"/>
      <name val="Arial"/>
      <family val="2"/>
    </font>
    <font>
      <b/>
      <sz val="24"/>
      <color rgb="FF000080"/>
      <name val="Calibri"/>
      <family val="2"/>
    </font>
    <font>
      <sz val="11"/>
      <color rgb="FF000000"/>
      <name val="Calibri"/>
      <family val="2"/>
    </font>
    <font>
      <b/>
      <sz val="11"/>
      <color rgb="FF000000"/>
      <name val="Calibri"/>
      <family val="2"/>
    </font>
    <font>
      <sz val="11"/>
      <color theme="1"/>
      <name val="Calibri"/>
      <family val="2"/>
    </font>
    <font>
      <sz val="10"/>
      <color rgb="FFFF0000"/>
      <name val="Arial"/>
      <family val="2"/>
    </font>
    <font>
      <b/>
      <sz val="11"/>
      <color theme="0"/>
      <name val="Arial"/>
      <family val="2"/>
    </font>
    <font>
      <b/>
      <sz val="11"/>
      <color theme="1"/>
      <name val="Arial"/>
      <family val="2"/>
    </font>
  </fonts>
  <fills count="46">
    <fill>
      <patternFill patternType="none"/>
    </fill>
    <fill>
      <patternFill patternType="gray125"/>
    </fill>
    <fill>
      <patternFill patternType="solid">
        <fgColor indexed="49"/>
        <bgColor indexed="64"/>
      </patternFill>
    </fill>
    <fill>
      <patternFill patternType="solid">
        <fgColor indexed="54"/>
        <bgColor indexed="64"/>
      </patternFill>
    </fill>
    <fill>
      <patternFill patternType="solid">
        <fgColor indexed="23"/>
        <bgColor indexed="64"/>
      </patternFill>
    </fill>
    <fill>
      <patternFill patternType="solid">
        <fgColor indexed="42"/>
        <bgColor indexed="64"/>
      </patternFill>
    </fill>
    <fill>
      <patternFill patternType="solid">
        <fgColor indexed="43"/>
        <bgColor indexed="64"/>
      </patternFill>
    </fill>
    <fill>
      <patternFill patternType="solid">
        <fgColor indexed="22"/>
        <bgColor indexed="64"/>
      </patternFill>
    </fill>
    <fill>
      <patternFill patternType="solid">
        <fgColor theme="5" tint="0.39997558519241921"/>
        <bgColor indexed="64"/>
      </patternFill>
    </fill>
    <fill>
      <patternFill patternType="solid">
        <fgColor theme="2" tint="-0.249977111117893"/>
        <bgColor indexed="64"/>
      </patternFill>
    </fill>
    <fill>
      <patternFill patternType="solid">
        <fgColor theme="7" tint="0.39997558519241921"/>
        <bgColor indexed="64"/>
      </patternFill>
    </fill>
    <fill>
      <patternFill patternType="solid">
        <fgColor theme="6" tint="0.39997558519241921"/>
        <bgColor indexed="64"/>
      </patternFill>
    </fill>
    <fill>
      <patternFill patternType="solid">
        <fgColor theme="3" tint="0.79998168889431442"/>
        <bgColor indexed="64"/>
      </patternFill>
    </fill>
    <fill>
      <patternFill patternType="solid">
        <fgColor theme="7" tint="0.79998168889431442"/>
        <bgColor indexed="64"/>
      </patternFill>
    </fill>
    <fill>
      <patternFill patternType="solid">
        <fgColor theme="0" tint="-0.249977111117893"/>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0" tint="-0.499984740745262"/>
        <bgColor indexed="64"/>
      </patternFill>
    </fill>
    <fill>
      <patternFill patternType="solid">
        <fgColor rgb="FFFFE07D"/>
        <bgColor indexed="64"/>
      </patternFill>
    </fill>
    <fill>
      <patternFill patternType="solid">
        <fgColor theme="6" tint="0.59999389629810485"/>
        <bgColor indexed="64"/>
      </patternFill>
    </fill>
    <fill>
      <patternFill patternType="solid">
        <fgColor theme="6" tint="-0.249977111117893"/>
        <bgColor indexed="64"/>
      </patternFill>
    </fill>
    <fill>
      <patternFill patternType="solid">
        <fgColor theme="8" tint="0.59999389629810485"/>
        <bgColor indexed="64"/>
      </patternFill>
    </fill>
    <fill>
      <patternFill patternType="solid">
        <fgColor theme="2" tint="-9.9978637043366805E-2"/>
        <bgColor indexed="64"/>
      </patternFill>
    </fill>
    <fill>
      <patternFill patternType="solid">
        <fgColor indexed="26"/>
        <bgColor indexed="64"/>
      </patternFill>
    </fill>
    <fill>
      <patternFill patternType="solid">
        <fgColor rgb="FF002060"/>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rgb="FF00CCFF"/>
        <bgColor indexed="64"/>
      </patternFill>
    </fill>
    <fill>
      <patternFill patternType="solid">
        <fgColor theme="3"/>
        <bgColor indexed="64"/>
      </patternFill>
    </fill>
    <fill>
      <patternFill patternType="solid">
        <fgColor rgb="FFFFFFCC"/>
        <bgColor indexed="64"/>
      </patternFill>
    </fill>
    <fill>
      <patternFill patternType="solid">
        <fgColor theme="8" tint="0.79998168889431442"/>
        <bgColor indexed="64"/>
      </patternFill>
    </fill>
    <fill>
      <patternFill patternType="solid">
        <fgColor rgb="FFFFFFFF"/>
        <bgColor indexed="64"/>
      </patternFill>
    </fill>
    <fill>
      <patternFill patternType="solid">
        <fgColor theme="0" tint="-4.9989318521683403E-2"/>
        <bgColor indexed="64"/>
      </patternFill>
    </fill>
    <fill>
      <patternFill patternType="solid">
        <fgColor theme="0"/>
        <bgColor indexed="64"/>
      </patternFill>
    </fill>
    <fill>
      <patternFill patternType="solid">
        <fgColor theme="0" tint="-0.14999847407452621"/>
        <bgColor indexed="64"/>
      </patternFill>
    </fill>
    <fill>
      <patternFill patternType="solid">
        <fgColor theme="9" tint="0.59999389629810485"/>
        <bgColor indexed="64"/>
      </patternFill>
    </fill>
    <fill>
      <patternFill patternType="solid">
        <fgColor rgb="FFEAEEF3"/>
        <bgColor indexed="64"/>
      </patternFill>
    </fill>
    <fill>
      <patternFill patternType="solid">
        <fgColor rgb="FFFFFF00"/>
        <bgColor indexed="64"/>
      </patternFill>
    </fill>
    <fill>
      <patternFill patternType="solid">
        <fgColor rgb="FF808080"/>
        <bgColor rgb="FF000000"/>
      </patternFill>
    </fill>
    <fill>
      <patternFill patternType="solid">
        <fgColor rgb="FFEEECE1"/>
        <bgColor rgb="FF000000"/>
      </patternFill>
    </fill>
    <fill>
      <patternFill patternType="solid">
        <fgColor indexed="40"/>
        <bgColor indexed="64"/>
      </patternFill>
    </fill>
    <fill>
      <patternFill patternType="solid">
        <fgColor indexed="47"/>
        <bgColor indexed="64"/>
      </patternFill>
    </fill>
    <fill>
      <patternFill patternType="solid">
        <fgColor theme="4" tint="-0.499984740745262"/>
        <bgColor indexed="64"/>
      </patternFill>
    </fill>
    <fill>
      <patternFill patternType="solid">
        <fgColor theme="4" tint="0.79989013336588644"/>
        <bgColor indexed="64"/>
      </patternFill>
    </fill>
    <fill>
      <patternFill patternType="solid">
        <fgColor theme="3" tint="0.39988402966399123"/>
        <bgColor indexed="64"/>
      </patternFill>
    </fill>
    <fill>
      <patternFill patternType="solid">
        <fgColor theme="4" tint="0.39988402966399123"/>
        <bgColor indexed="64"/>
      </patternFill>
    </fill>
  </fills>
  <borders count="70">
    <border>
      <left/>
      <right/>
      <top/>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ck">
        <color indexed="64"/>
      </left>
      <right style="thin">
        <color indexed="64"/>
      </right>
      <top style="thick">
        <color indexed="64"/>
      </top>
      <bottom style="thick">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bottom style="medium">
        <color indexed="64"/>
      </bottom>
      <diagonal/>
    </border>
    <border>
      <left style="medium">
        <color indexed="64"/>
      </left>
      <right/>
      <top/>
      <bottom/>
      <diagonal/>
    </border>
    <border>
      <left style="thin">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thin">
        <color indexed="64"/>
      </left>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style="medium">
        <color indexed="64"/>
      </left>
      <right style="thin">
        <color indexed="64"/>
      </right>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bottom/>
      <diagonal/>
    </border>
    <border>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diagonal/>
    </border>
    <border>
      <left/>
      <right/>
      <top style="thin">
        <color theme="0" tint="-0.249977111117893"/>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top/>
      <bottom style="thin">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top style="medium">
        <color indexed="64"/>
      </top>
      <bottom style="medium">
        <color indexed="64"/>
      </bottom>
      <diagonal/>
    </border>
    <border>
      <left/>
      <right/>
      <top/>
      <bottom style="thin">
        <color rgb="FF4F6228"/>
      </bottom>
      <diagonal/>
    </border>
    <border>
      <left/>
      <right/>
      <top style="thin">
        <color rgb="FF4F6228"/>
      </top>
      <bottom/>
      <diagonal/>
    </border>
    <border>
      <left/>
      <right style="thin">
        <color rgb="FF31869B"/>
      </right>
      <top/>
      <bottom/>
      <diagonal/>
    </border>
    <border>
      <left/>
      <right/>
      <top/>
      <bottom style="thin">
        <color auto="1"/>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8">
    <xf numFmtId="0" fontId="0" fillId="0" borderId="0"/>
    <xf numFmtId="0" fontId="3" fillId="0" borderId="0" applyNumberFormat="0" applyFill="0" applyBorder="0" applyAlignment="0" applyProtection="0">
      <alignment vertical="top"/>
      <protection locked="0"/>
    </xf>
    <xf numFmtId="0" fontId="5" fillId="0" borderId="0"/>
    <xf numFmtId="0" fontId="2" fillId="0" borderId="0"/>
    <xf numFmtId="0" fontId="2" fillId="0" borderId="0"/>
    <xf numFmtId="0" fontId="2" fillId="0" borderId="0"/>
    <xf numFmtId="0" fontId="30" fillId="0" borderId="0"/>
    <xf numFmtId="0" fontId="1" fillId="0" borderId="0"/>
  </cellStyleXfs>
  <cellXfs count="610">
    <xf numFmtId="0" fontId="0" fillId="0" borderId="0" xfId="0"/>
    <xf numFmtId="0" fontId="0" fillId="0" borderId="0" xfId="0" applyAlignment="1">
      <alignment vertical="top" wrapText="1"/>
    </xf>
    <xf numFmtId="0" fontId="4" fillId="2" borderId="1" xfId="0" applyFont="1" applyFill="1" applyBorder="1" applyAlignment="1">
      <alignment vertical="top" wrapText="1"/>
    </xf>
    <xf numFmtId="0" fontId="0" fillId="0" borderId="0" xfId="0" applyAlignment="1" applyProtection="1">
      <alignment vertical="top" wrapText="1"/>
      <protection hidden="1"/>
    </xf>
    <xf numFmtId="0" fontId="0" fillId="0" borderId="0" xfId="0" applyAlignment="1" applyProtection="1">
      <alignment vertical="top" wrapText="1"/>
      <protection locked="0"/>
    </xf>
    <xf numFmtId="15" fontId="0" fillId="0" borderId="0" xfId="0" applyNumberFormat="1" applyAlignment="1" applyProtection="1">
      <alignment vertical="top" wrapText="1"/>
      <protection locked="0"/>
    </xf>
    <xf numFmtId="0" fontId="0" fillId="0" borderId="2" xfId="0" applyBorder="1" applyAlignment="1">
      <alignment vertical="top" wrapText="1"/>
    </xf>
    <xf numFmtId="15" fontId="0" fillId="0" borderId="0" xfId="0" applyNumberFormat="1" applyAlignment="1">
      <alignment vertical="top" wrapText="1"/>
    </xf>
    <xf numFmtId="0" fontId="0" fillId="0" borderId="0" xfId="0" applyAlignment="1">
      <alignment vertical="top"/>
    </xf>
    <xf numFmtId="0" fontId="0" fillId="0" borderId="0" xfId="0" applyAlignment="1">
      <alignment horizontal="center" vertical="top" wrapText="1"/>
    </xf>
    <xf numFmtId="0" fontId="6" fillId="0" borderId="0" xfId="0" applyFont="1" applyAlignment="1">
      <alignment vertical="top" wrapText="1"/>
    </xf>
    <xf numFmtId="166" fontId="0" fillId="0" borderId="0" xfId="0" applyNumberFormat="1" applyAlignment="1">
      <alignment vertical="top" wrapText="1"/>
    </xf>
    <xf numFmtId="166" fontId="0" fillId="0" borderId="0" xfId="0" applyNumberFormat="1" applyAlignment="1" applyProtection="1">
      <alignment vertical="top" wrapText="1"/>
      <protection locked="0"/>
    </xf>
    <xf numFmtId="0" fontId="0" fillId="2" borderId="2" xfId="0" applyFill="1" applyBorder="1" applyAlignment="1">
      <alignment vertical="top" wrapText="1"/>
    </xf>
    <xf numFmtId="15" fontId="0" fillId="0" borderId="0" xfId="0" applyNumberFormat="1" applyAlignment="1" applyProtection="1">
      <alignment vertical="top" wrapText="1"/>
      <protection hidden="1"/>
    </xf>
    <xf numFmtId="0" fontId="6" fillId="3" borderId="1" xfId="0" applyFont="1" applyFill="1" applyBorder="1" applyAlignment="1">
      <alignment vertical="top" wrapText="1"/>
    </xf>
    <xf numFmtId="0" fontId="6" fillId="3" borderId="3" xfId="0" applyFont="1" applyFill="1" applyBorder="1" applyAlignment="1">
      <alignment vertical="top" wrapText="1"/>
    </xf>
    <xf numFmtId="0" fontId="6" fillId="3" borderId="4" xfId="0" applyFont="1" applyFill="1" applyBorder="1" applyAlignment="1">
      <alignment vertical="top" wrapText="1"/>
    </xf>
    <xf numFmtId="0" fontId="6" fillId="4" borderId="0" xfId="0" applyFont="1" applyFill="1" applyAlignment="1">
      <alignment vertical="top" wrapText="1"/>
    </xf>
    <xf numFmtId="2" fontId="0" fillId="0" borderId="0" xfId="0" applyNumberFormat="1" applyAlignment="1" applyProtection="1">
      <alignment vertical="top" wrapText="1"/>
      <protection hidden="1"/>
    </xf>
    <xf numFmtId="2" fontId="0" fillId="0" borderId="0" xfId="0" applyNumberFormat="1" applyAlignment="1">
      <alignment horizontal="left" vertical="top" wrapText="1"/>
    </xf>
    <xf numFmtId="2" fontId="0" fillId="0" borderId="0" xfId="0" applyNumberFormat="1" applyAlignment="1" applyProtection="1">
      <alignment vertical="top" wrapText="1"/>
      <protection locked="0"/>
    </xf>
    <xf numFmtId="0" fontId="6" fillId="0" borderId="0" xfId="0" applyFont="1" applyAlignment="1">
      <alignment vertical="top"/>
    </xf>
    <xf numFmtId="2" fontId="0" fillId="0" borderId="0" xfId="0" applyNumberFormat="1" applyAlignment="1">
      <alignment vertical="top" wrapText="1"/>
    </xf>
    <xf numFmtId="0" fontId="0" fillId="0" borderId="5" xfId="0" applyBorder="1" applyAlignment="1">
      <alignment vertical="top" wrapText="1"/>
    </xf>
    <xf numFmtId="0" fontId="0" fillId="0" borderId="6" xfId="0" applyBorder="1" applyAlignment="1">
      <alignment vertical="top" wrapText="1"/>
    </xf>
    <xf numFmtId="0" fontId="0" fillId="0" borderId="7" xfId="0" applyBorder="1" applyAlignment="1">
      <alignment vertical="top" wrapText="1"/>
    </xf>
    <xf numFmtId="0" fontId="0" fillId="0" borderId="8" xfId="0" applyBorder="1" applyAlignment="1">
      <alignment vertical="top" wrapText="1"/>
    </xf>
    <xf numFmtId="0" fontId="6" fillId="0" borderId="0" xfId="0" applyFont="1"/>
    <xf numFmtId="0" fontId="8" fillId="0" borderId="0" xfId="0" applyFont="1" applyAlignment="1" applyProtection="1">
      <alignment horizontal="center" vertical="top" wrapText="1"/>
      <protection locked="0"/>
    </xf>
    <xf numFmtId="0" fontId="0" fillId="0" borderId="14" xfId="0" applyBorder="1" applyAlignment="1">
      <alignment vertical="top" wrapText="1"/>
    </xf>
    <xf numFmtId="0" fontId="10" fillId="0" borderId="0" xfId="0" applyFont="1"/>
    <xf numFmtId="0" fontId="0" fillId="2" borderId="5" xfId="0" applyFill="1" applyBorder="1" applyAlignment="1">
      <alignment vertical="top" wrapText="1"/>
    </xf>
    <xf numFmtId="0" fontId="4" fillId="2" borderId="0" xfId="0" applyFont="1" applyFill="1" applyAlignment="1" applyProtection="1">
      <alignment horizontal="left" vertical="top" wrapText="1" indent="1"/>
      <protection hidden="1"/>
    </xf>
    <xf numFmtId="0" fontId="0" fillId="0" borderId="0" xfId="0" applyAlignment="1">
      <alignment horizontal="left"/>
    </xf>
    <xf numFmtId="0" fontId="6" fillId="0" borderId="0" xfId="0" applyFont="1" applyAlignment="1">
      <alignment horizontal="left" vertical="top" wrapText="1"/>
    </xf>
    <xf numFmtId="0" fontId="0" fillId="0" borderId="0" xfId="0" applyAlignment="1" applyProtection="1">
      <alignment vertical="top"/>
      <protection locked="0"/>
    </xf>
    <xf numFmtId="0" fontId="0" fillId="0" borderId="13" xfId="0" applyBorder="1" applyAlignment="1" applyProtection="1">
      <alignment vertical="top" wrapText="1"/>
      <protection locked="0"/>
    </xf>
    <xf numFmtId="0" fontId="0" fillId="0" borderId="7" xfId="0" applyBorder="1" applyAlignment="1" applyProtection="1">
      <alignment vertical="top" wrapText="1"/>
      <protection locked="0"/>
    </xf>
    <xf numFmtId="15" fontId="4" fillId="2" borderId="9" xfId="0" applyNumberFormat="1" applyFont="1" applyFill="1" applyBorder="1" applyAlignment="1">
      <alignment vertical="top" wrapText="1"/>
    </xf>
    <xf numFmtId="15" fontId="4" fillId="2" borderId="6" xfId="0" applyNumberFormat="1" applyFont="1" applyFill="1" applyBorder="1" applyAlignment="1">
      <alignment vertical="top" wrapText="1"/>
    </xf>
    <xf numFmtId="15" fontId="4" fillId="2" borderId="8" xfId="0" applyNumberFormat="1" applyFont="1" applyFill="1" applyBorder="1" applyAlignment="1">
      <alignment vertical="top" wrapText="1"/>
    </xf>
    <xf numFmtId="15" fontId="4" fillId="2" borderId="3" xfId="0" applyNumberFormat="1" applyFont="1" applyFill="1" applyBorder="1" applyAlignment="1">
      <alignment vertical="top" wrapText="1"/>
    </xf>
    <xf numFmtId="0" fontId="4" fillId="2" borderId="16" xfId="0" applyFont="1" applyFill="1" applyBorder="1" applyAlignment="1">
      <alignment vertical="top" wrapText="1"/>
    </xf>
    <xf numFmtId="15" fontId="0" fillId="0" borderId="0" xfId="0" applyNumberFormat="1" applyAlignment="1" applyProtection="1">
      <alignment wrapText="1"/>
      <protection locked="0"/>
    </xf>
    <xf numFmtId="0" fontId="0" fillId="0" borderId="0" xfId="0" applyAlignment="1" applyProtection="1">
      <alignment wrapText="1"/>
      <protection locked="0"/>
    </xf>
    <xf numFmtId="167" fontId="0" fillId="0" borderId="0" xfId="0" applyNumberFormat="1" applyAlignment="1" applyProtection="1">
      <alignment wrapText="1"/>
      <protection locked="0"/>
    </xf>
    <xf numFmtId="0" fontId="6" fillId="3" borderId="3" xfId="0" applyFont="1" applyFill="1" applyBorder="1" applyAlignment="1" applyProtection="1">
      <alignment vertical="top" wrapText="1"/>
      <protection hidden="1"/>
    </xf>
    <xf numFmtId="0" fontId="6" fillId="3" borderId="16" xfId="0" applyFont="1" applyFill="1" applyBorder="1" applyAlignment="1">
      <alignment vertical="top" wrapText="1"/>
    </xf>
    <xf numFmtId="0" fontId="6" fillId="3" borderId="1" xfId="0" applyFont="1" applyFill="1" applyBorder="1" applyAlignment="1" applyProtection="1">
      <alignment vertical="top" wrapText="1"/>
      <protection hidden="1"/>
    </xf>
    <xf numFmtId="0" fontId="6" fillId="3" borderId="15" xfId="0" applyFont="1" applyFill="1" applyBorder="1" applyAlignment="1">
      <alignment vertical="top" wrapText="1"/>
    </xf>
    <xf numFmtId="0" fontId="13" fillId="0" borderId="0" xfId="0" applyFont="1" applyAlignment="1">
      <alignment vertical="top" wrapText="1"/>
    </xf>
    <xf numFmtId="0" fontId="0" fillId="0" borderId="17" xfId="0" applyBorder="1" applyAlignment="1" applyProtection="1">
      <alignment vertical="top" wrapText="1"/>
      <protection locked="0"/>
    </xf>
    <xf numFmtId="15" fontId="4" fillId="0" borderId="0" xfId="0" applyNumberFormat="1" applyFont="1" applyAlignment="1">
      <alignment vertical="top" wrapText="1"/>
    </xf>
    <xf numFmtId="0" fontId="6" fillId="0" borderId="0" xfId="0" applyFont="1" applyAlignment="1" applyProtection="1">
      <alignment vertical="top" wrapText="1"/>
      <protection locked="0"/>
    </xf>
    <xf numFmtId="166" fontId="6" fillId="0" borderId="0" xfId="0" applyNumberFormat="1" applyFont="1" applyAlignment="1" applyProtection="1">
      <alignment vertical="top" wrapText="1"/>
      <protection locked="0"/>
    </xf>
    <xf numFmtId="0" fontId="6" fillId="0" borderId="0" xfId="0" applyFont="1" applyProtection="1">
      <protection locked="0"/>
    </xf>
    <xf numFmtId="15" fontId="6" fillId="0" borderId="0" xfId="0" applyNumberFormat="1" applyFont="1" applyAlignment="1">
      <alignment vertical="top" wrapText="1"/>
    </xf>
    <xf numFmtId="2" fontId="6" fillId="0" borderId="0" xfId="0" applyNumberFormat="1" applyFont="1" applyAlignment="1">
      <alignment vertical="top" wrapText="1"/>
    </xf>
    <xf numFmtId="0" fontId="13" fillId="0" borderId="0" xfId="0" applyFont="1"/>
    <xf numFmtId="0" fontId="4" fillId="2" borderId="18" xfId="0" applyFont="1" applyFill="1" applyBorder="1" applyAlignment="1">
      <alignment vertical="top" wrapText="1"/>
    </xf>
    <xf numFmtId="0" fontId="4" fillId="2" borderId="19" xfId="0" applyFont="1" applyFill="1" applyBorder="1" applyAlignment="1">
      <alignment vertical="top" wrapText="1"/>
    </xf>
    <xf numFmtId="15" fontId="4" fillId="2" borderId="19" xfId="0" applyNumberFormat="1" applyFont="1" applyFill="1" applyBorder="1" applyAlignment="1">
      <alignment vertical="top" wrapText="1"/>
    </xf>
    <xf numFmtId="15" fontId="4" fillId="2" borderId="20" xfId="0" applyNumberFormat="1" applyFont="1" applyFill="1" applyBorder="1" applyAlignment="1">
      <alignment vertical="top" wrapText="1"/>
    </xf>
    <xf numFmtId="0" fontId="0" fillId="0" borderId="14" xfId="0" applyBorder="1" applyAlignment="1" applyProtection="1">
      <alignment vertical="top" wrapText="1"/>
      <protection locked="0"/>
    </xf>
    <xf numFmtId="167" fontId="4" fillId="2" borderId="21" xfId="0" applyNumberFormat="1" applyFont="1" applyFill="1" applyBorder="1" applyAlignment="1">
      <alignment vertical="top" wrapText="1"/>
    </xf>
    <xf numFmtId="167" fontId="0" fillId="0" borderId="0" xfId="0" applyNumberFormat="1" applyAlignment="1" applyProtection="1">
      <alignment vertical="top"/>
      <protection locked="0"/>
    </xf>
    <xf numFmtId="0" fontId="0" fillId="0" borderId="22" xfId="0" applyBorder="1" applyAlignment="1" applyProtection="1">
      <alignment vertical="top" wrapText="1"/>
      <protection hidden="1"/>
    </xf>
    <xf numFmtId="15" fontId="0" fillId="0" borderId="23" xfId="0" applyNumberFormat="1" applyBorder="1" applyAlignment="1" applyProtection="1">
      <alignment vertical="top" wrapText="1"/>
      <protection hidden="1"/>
    </xf>
    <xf numFmtId="0" fontId="0" fillId="0" borderId="24" xfId="0" applyBorder="1" applyAlignment="1">
      <alignment vertical="top" wrapText="1"/>
    </xf>
    <xf numFmtId="0" fontId="0" fillId="0" borderId="25" xfId="0" applyBorder="1" applyAlignment="1" applyProtection="1">
      <alignment vertical="top" wrapText="1"/>
      <protection hidden="1"/>
    </xf>
    <xf numFmtId="0" fontId="0" fillId="0" borderId="26" xfId="0" applyBorder="1" applyAlignment="1">
      <alignment vertical="top" wrapText="1"/>
    </xf>
    <xf numFmtId="15" fontId="0" fillId="0" borderId="27" xfId="0" applyNumberFormat="1" applyBorder="1" applyAlignment="1" applyProtection="1">
      <alignment vertical="top" wrapText="1"/>
      <protection hidden="1"/>
    </xf>
    <xf numFmtId="0" fontId="0" fillId="0" borderId="28" xfId="0" applyBorder="1" applyAlignment="1">
      <alignment vertical="top" wrapText="1"/>
    </xf>
    <xf numFmtId="0" fontId="0" fillId="0" borderId="29" xfId="0" applyBorder="1" applyProtection="1">
      <protection locked="0"/>
    </xf>
    <xf numFmtId="15" fontId="0" fillId="0" borderId="29" xfId="0" applyNumberFormat="1" applyBorder="1" applyAlignment="1" applyProtection="1">
      <alignment vertical="top" wrapText="1"/>
      <protection locked="0"/>
    </xf>
    <xf numFmtId="0" fontId="0" fillId="0" borderId="29" xfId="0" applyBorder="1" applyAlignment="1" applyProtection="1">
      <alignment vertical="top" wrapText="1"/>
      <protection locked="0"/>
    </xf>
    <xf numFmtId="0" fontId="11" fillId="5" borderId="30" xfId="1" applyFont="1" applyFill="1" applyBorder="1" applyAlignment="1" applyProtection="1">
      <alignment horizontal="center" vertical="top"/>
    </xf>
    <xf numFmtId="0" fontId="11" fillId="5" borderId="31" xfId="1" applyFont="1" applyFill="1" applyBorder="1" applyAlignment="1" applyProtection="1">
      <alignment horizontal="center" vertical="top" wrapText="1"/>
    </xf>
    <xf numFmtId="0" fontId="15" fillId="0" borderId="0" xfId="0" applyFont="1"/>
    <xf numFmtId="0" fontId="16" fillId="0" borderId="0" xfId="0" applyFont="1"/>
    <xf numFmtId="168" fontId="2" fillId="0" borderId="2" xfId="4" applyNumberFormat="1" applyBorder="1" applyProtection="1">
      <protection locked="0"/>
    </xf>
    <xf numFmtId="2" fontId="0" fillId="0" borderId="2" xfId="0" applyNumberFormat="1" applyBorder="1" applyAlignment="1" applyProtection="1">
      <alignment vertical="top" wrapText="1"/>
      <protection locked="0"/>
    </xf>
    <xf numFmtId="2" fontId="0" fillId="0" borderId="2" xfId="0" applyNumberFormat="1" applyBorder="1" applyProtection="1">
      <protection locked="0"/>
    </xf>
    <xf numFmtId="168" fontId="0" fillId="0" borderId="2" xfId="0" applyNumberFormat="1" applyBorder="1" applyAlignment="1" applyProtection="1">
      <alignment horizontal="right" vertical="top" wrapText="1"/>
      <protection locked="0"/>
    </xf>
    <xf numFmtId="0" fontId="0" fillId="0" borderId="2" xfId="0" applyBorder="1" applyAlignment="1" applyProtection="1">
      <alignment vertical="top" wrapText="1"/>
      <protection locked="0"/>
    </xf>
    <xf numFmtId="0" fontId="5" fillId="0" borderId="0" xfId="0" applyFont="1" applyAlignment="1" applyProtection="1">
      <alignment vertical="top" wrapText="1"/>
      <protection locked="0"/>
    </xf>
    <xf numFmtId="168" fontId="2" fillId="0" borderId="0" xfId="4" applyNumberFormat="1" applyProtection="1">
      <protection locked="0"/>
    </xf>
    <xf numFmtId="168" fontId="0" fillId="0" borderId="0" xfId="0" applyNumberFormat="1" applyAlignment="1" applyProtection="1">
      <alignment horizontal="right" vertical="top" wrapText="1"/>
      <protection locked="0"/>
    </xf>
    <xf numFmtId="165" fontId="0" fillId="0" borderId="2" xfId="0" applyNumberFormat="1" applyBorder="1" applyAlignment="1" applyProtection="1">
      <alignment vertical="top" wrapText="1"/>
      <protection locked="0"/>
    </xf>
    <xf numFmtId="0" fontId="0" fillId="0" borderId="2" xfId="3" applyFont="1" applyBorder="1" applyProtection="1">
      <protection locked="0"/>
    </xf>
    <xf numFmtId="15" fontId="0" fillId="0" borderId="2" xfId="0" applyNumberFormat="1" applyBorder="1" applyAlignment="1" applyProtection="1">
      <alignment vertical="top" wrapText="1"/>
      <protection locked="0"/>
    </xf>
    <xf numFmtId="0" fontId="5" fillId="0" borderId="0" xfId="0" applyFont="1" applyAlignment="1">
      <alignment vertical="top" wrapText="1"/>
    </xf>
    <xf numFmtId="0" fontId="17" fillId="0" borderId="0" xfId="0" applyFont="1" applyAlignment="1">
      <alignment vertical="top" wrapText="1"/>
    </xf>
    <xf numFmtId="0" fontId="17" fillId="0" borderId="2" xfId="0" applyFont="1" applyBorder="1" applyAlignment="1">
      <alignment horizontal="left" vertical="top" wrapText="1"/>
    </xf>
    <xf numFmtId="15" fontId="0" fillId="0" borderId="2" xfId="0" applyNumberFormat="1" applyBorder="1" applyAlignment="1">
      <alignment horizontal="right"/>
    </xf>
    <xf numFmtId="0" fontId="0" fillId="0" borderId="2" xfId="0" applyBorder="1"/>
    <xf numFmtId="15" fontId="17" fillId="0" borderId="2" xfId="0" applyNumberFormat="1" applyFont="1" applyBorder="1" applyAlignment="1">
      <alignment horizontal="left" vertical="top" wrapText="1"/>
    </xf>
    <xf numFmtId="0" fontId="17" fillId="0" borderId="2" xfId="0" applyFont="1" applyBorder="1" applyAlignment="1">
      <alignment horizontal="center" vertical="top" wrapText="1"/>
    </xf>
    <xf numFmtId="0" fontId="17" fillId="0" borderId="0" xfId="0" applyFont="1" applyAlignment="1">
      <alignment horizontal="center" vertical="top" wrapText="1"/>
    </xf>
    <xf numFmtId="1" fontId="0" fillId="0" borderId="2" xfId="0" applyNumberFormat="1" applyBorder="1" applyProtection="1">
      <protection locked="0"/>
    </xf>
    <xf numFmtId="0" fontId="0" fillId="9" borderId="2" xfId="0" applyFill="1" applyBorder="1" applyAlignment="1" applyProtection="1">
      <alignment vertical="top" wrapText="1"/>
      <protection locked="0"/>
    </xf>
    <xf numFmtId="0" fontId="0" fillId="0" borderId="0" xfId="0" applyAlignment="1" applyProtection="1">
      <alignment horizontal="center" vertical="top" wrapText="1"/>
      <protection locked="0"/>
    </xf>
    <xf numFmtId="0" fontId="0" fillId="0" borderId="2" xfId="0" applyBorder="1" applyAlignment="1" applyProtection="1">
      <alignment horizontal="center" vertical="top" wrapText="1"/>
      <protection locked="0"/>
    </xf>
    <xf numFmtId="0" fontId="18" fillId="2" borderId="2" xfId="0" applyFont="1" applyFill="1" applyBorder="1" applyAlignment="1">
      <alignment vertical="top" wrapText="1"/>
    </xf>
    <xf numFmtId="0" fontId="18" fillId="0" borderId="2" xfId="0" applyFont="1" applyBorder="1" applyAlignment="1" applyProtection="1">
      <alignment vertical="top" wrapText="1"/>
      <protection locked="0"/>
    </xf>
    <xf numFmtId="166" fontId="18" fillId="0" borderId="2" xfId="0" applyNumberFormat="1" applyFont="1" applyBorder="1" applyAlignment="1" applyProtection="1">
      <alignment vertical="top" wrapText="1"/>
      <protection locked="0"/>
    </xf>
    <xf numFmtId="0" fontId="18" fillId="0" borderId="2" xfId="0" applyFont="1" applyBorder="1" applyProtection="1">
      <protection locked="0"/>
    </xf>
    <xf numFmtId="166" fontId="18" fillId="10" borderId="2" xfId="0" applyNumberFormat="1" applyFont="1" applyFill="1" applyBorder="1" applyAlignment="1">
      <alignment horizontal="center" vertical="top" wrapText="1"/>
    </xf>
    <xf numFmtId="0" fontId="18" fillId="10" borderId="2" xfId="0" applyFont="1" applyFill="1" applyBorder="1" applyAlignment="1">
      <alignment horizontal="center" vertical="top" wrapText="1"/>
    </xf>
    <xf numFmtId="0" fontId="19" fillId="2" borderId="2" xfId="0" applyFont="1" applyFill="1" applyBorder="1" applyAlignment="1">
      <alignment horizontal="center" vertical="center" wrapText="1"/>
    </xf>
    <xf numFmtId="0" fontId="18" fillId="2" borderId="2" xfId="0" applyFont="1" applyFill="1" applyBorder="1" applyAlignment="1">
      <alignment vertical="center" wrapText="1"/>
    </xf>
    <xf numFmtId="0" fontId="20" fillId="9" borderId="2" xfId="0" applyFont="1" applyFill="1" applyBorder="1" applyAlignment="1">
      <alignment vertical="center" wrapText="1"/>
    </xf>
    <xf numFmtId="0" fontId="20" fillId="9" borderId="2" xfId="0" applyFont="1" applyFill="1" applyBorder="1" applyAlignment="1">
      <alignment horizontal="center" vertical="center" wrapText="1"/>
    </xf>
    <xf numFmtId="9" fontId="18" fillId="0" borderId="2" xfId="0" applyNumberFormat="1" applyFont="1" applyBorder="1" applyAlignment="1" applyProtection="1">
      <alignment horizontal="center" vertical="top" wrapText="1"/>
      <protection locked="0"/>
    </xf>
    <xf numFmtId="166" fontId="18" fillId="0" borderId="2" xfId="0" applyNumberFormat="1" applyFont="1" applyBorder="1" applyAlignment="1" applyProtection="1">
      <alignment horizontal="center" vertical="top" wrapText="1"/>
      <protection locked="0"/>
    </xf>
    <xf numFmtId="10" fontId="18" fillId="0" borderId="2" xfId="0" applyNumberFormat="1" applyFont="1" applyBorder="1" applyAlignment="1" applyProtection="1">
      <alignment horizontal="center" vertical="top" wrapText="1"/>
      <protection locked="0"/>
    </xf>
    <xf numFmtId="0" fontId="21" fillId="11" borderId="2" xfId="0" applyFont="1" applyFill="1" applyBorder="1" applyAlignment="1">
      <alignment horizontal="center" vertical="center" wrapText="1"/>
    </xf>
    <xf numFmtId="0" fontId="18" fillId="0" borderId="2" xfId="0" applyFont="1" applyBorder="1" applyAlignment="1" applyProtection="1">
      <alignment horizontal="center" vertical="top" wrapText="1"/>
      <protection locked="0"/>
    </xf>
    <xf numFmtId="0" fontId="4" fillId="0" borderId="0" xfId="0" applyFont="1" applyAlignment="1">
      <alignment vertical="center"/>
    </xf>
    <xf numFmtId="0" fontId="4" fillId="12" borderId="2" xfId="0" applyFont="1" applyFill="1" applyBorder="1" applyAlignment="1">
      <alignment vertical="center"/>
    </xf>
    <xf numFmtId="0" fontId="4" fillId="13" borderId="2" xfId="0" applyFont="1" applyFill="1" applyBorder="1" applyAlignment="1">
      <alignment vertical="center"/>
    </xf>
    <xf numFmtId="0" fontId="4" fillId="0" borderId="0" xfId="0" applyFont="1"/>
    <xf numFmtId="0" fontId="4" fillId="11" borderId="2" xfId="0" applyFont="1" applyFill="1" applyBorder="1"/>
    <xf numFmtId="0" fontId="23" fillId="0" borderId="0" xfId="0" applyFont="1"/>
    <xf numFmtId="0" fontId="4" fillId="7" borderId="2" xfId="0" applyFont="1" applyFill="1" applyBorder="1"/>
    <xf numFmtId="0" fontId="23" fillId="0" borderId="2" xfId="0" applyFont="1" applyBorder="1" applyAlignment="1">
      <alignment horizontal="center" vertical="center"/>
    </xf>
    <xf numFmtId="0" fontId="5" fillId="0" borderId="0" xfId="0" applyFont="1" applyAlignment="1">
      <alignment horizontal="left" vertical="top" wrapText="1"/>
    </xf>
    <xf numFmtId="0" fontId="5" fillId="0" borderId="0" xfId="0" applyFont="1"/>
    <xf numFmtId="0" fontId="4" fillId="7" borderId="9" xfId="0" applyFont="1" applyFill="1" applyBorder="1" applyAlignment="1">
      <alignment horizontal="left" vertical="top" wrapText="1"/>
    </xf>
    <xf numFmtId="0" fontId="4" fillId="7" borderId="7" xfId="0" applyFont="1" applyFill="1" applyBorder="1" applyAlignment="1">
      <alignment horizontal="left" vertical="top" wrapText="1"/>
    </xf>
    <xf numFmtId="2" fontId="23" fillId="0" borderId="2" xfId="0" applyNumberFormat="1" applyFont="1" applyBorder="1" applyAlignment="1">
      <alignment horizontal="center" vertical="top" wrapText="1"/>
    </xf>
    <xf numFmtId="2" fontId="23" fillId="6" borderId="2" xfId="0" applyNumberFormat="1" applyFont="1" applyFill="1" applyBorder="1" applyAlignment="1">
      <alignment horizontal="center" vertical="top" wrapText="1"/>
    </xf>
    <xf numFmtId="2" fontId="23" fillId="6" borderId="7" xfId="0" applyNumberFormat="1" applyFont="1" applyFill="1" applyBorder="1" applyAlignment="1">
      <alignment horizontal="center" vertical="top" wrapText="1"/>
    </xf>
    <xf numFmtId="0" fontId="4" fillId="7" borderId="35" xfId="0" applyFont="1" applyFill="1" applyBorder="1" applyAlignment="1">
      <alignment horizontal="left" vertical="top" wrapText="1"/>
    </xf>
    <xf numFmtId="2" fontId="23" fillId="0" borderId="36" xfId="0" applyNumberFormat="1" applyFont="1" applyBorder="1" applyAlignment="1">
      <alignment horizontal="center" vertical="top" wrapText="1"/>
    </xf>
    <xf numFmtId="2" fontId="23" fillId="14" borderId="5" xfId="0" applyNumberFormat="1" applyFont="1" applyFill="1" applyBorder="1" applyAlignment="1">
      <alignment horizontal="center" vertical="top" wrapText="1"/>
    </xf>
    <xf numFmtId="2" fontId="23" fillId="7" borderId="5" xfId="0" applyNumberFormat="1" applyFont="1" applyFill="1" applyBorder="1" applyAlignment="1">
      <alignment horizontal="center" vertical="top" wrapText="1"/>
    </xf>
    <xf numFmtId="2" fontId="23" fillId="7" borderId="14" xfId="0" applyNumberFormat="1" applyFont="1" applyFill="1" applyBorder="1" applyAlignment="1">
      <alignment horizontal="center" vertical="top" wrapText="1"/>
    </xf>
    <xf numFmtId="2" fontId="23" fillId="0" borderId="5" xfId="0" applyNumberFormat="1" applyFont="1" applyBorder="1" applyAlignment="1">
      <alignment horizontal="center" vertical="top" wrapText="1"/>
    </xf>
    <xf numFmtId="0" fontId="4" fillId="0" borderId="0" xfId="0" applyFont="1" applyAlignment="1">
      <alignment horizontal="left" vertical="top" wrapText="1"/>
    </xf>
    <xf numFmtId="2" fontId="23" fillId="0" borderId="0" xfId="0" applyNumberFormat="1" applyFont="1" applyAlignment="1">
      <alignment horizontal="left" vertical="top" wrapText="1"/>
    </xf>
    <xf numFmtId="0" fontId="4" fillId="7" borderId="6" xfId="0" applyFont="1" applyFill="1" applyBorder="1" applyAlignment="1">
      <alignment horizontal="center" vertical="top" wrapText="1"/>
    </xf>
    <xf numFmtId="2" fontId="23" fillId="0" borderId="0" xfId="0" applyNumberFormat="1" applyFont="1" applyAlignment="1">
      <alignment horizontal="center" vertical="top" wrapText="1"/>
    </xf>
    <xf numFmtId="0" fontId="4" fillId="7" borderId="2" xfId="0" applyFont="1" applyFill="1" applyBorder="1" applyAlignment="1">
      <alignment vertical="top" wrapText="1"/>
    </xf>
    <xf numFmtId="0" fontId="23" fillId="0" borderId="2" xfId="0" applyFont="1" applyBorder="1" applyAlignment="1">
      <alignment horizontal="center" vertical="top" wrapText="1"/>
    </xf>
    <xf numFmtId="0" fontId="4" fillId="15" borderId="2" xfId="0" applyFont="1" applyFill="1" applyBorder="1"/>
    <xf numFmtId="0" fontId="0" fillId="0" borderId="2" xfId="0" applyBorder="1" applyAlignment="1">
      <alignment horizontal="center"/>
    </xf>
    <xf numFmtId="0" fontId="0" fillId="12" borderId="2" xfId="0" applyFill="1" applyBorder="1"/>
    <xf numFmtId="0" fontId="4" fillId="13" borderId="2" xfId="0" applyFont="1" applyFill="1" applyBorder="1" applyAlignment="1">
      <alignment vertical="top" wrapText="1"/>
    </xf>
    <xf numFmtId="0" fontId="4" fillId="0" borderId="2" xfId="0" applyFont="1" applyBorder="1" applyAlignment="1">
      <alignment vertical="center"/>
    </xf>
    <xf numFmtId="0" fontId="4" fillId="0" borderId="2" xfId="0" applyFont="1" applyBorder="1" applyAlignment="1">
      <alignment horizontal="center" vertical="center"/>
    </xf>
    <xf numFmtId="0" fontId="17" fillId="0" borderId="0" xfId="0" applyFont="1" applyAlignment="1">
      <alignment horizontal="left" vertical="top" wrapText="1"/>
    </xf>
    <xf numFmtId="0" fontId="4" fillId="14" borderId="2" xfId="0" applyFont="1" applyFill="1" applyBorder="1" applyAlignment="1">
      <alignment horizontal="left" vertical="top" wrapText="1"/>
    </xf>
    <xf numFmtId="0" fontId="4" fillId="0" borderId="2" xfId="0" applyFont="1" applyBorder="1"/>
    <xf numFmtId="1" fontId="23" fillId="6" borderId="2" xfId="0" applyNumberFormat="1" applyFont="1" applyFill="1" applyBorder="1" applyAlignment="1">
      <alignment horizontal="center" vertical="top" wrapText="1"/>
    </xf>
    <xf numFmtId="0" fontId="4" fillId="7" borderId="9" xfId="0" applyFont="1" applyFill="1" applyBorder="1" applyAlignment="1">
      <alignment horizontal="center" vertical="top" wrapText="1"/>
    </xf>
    <xf numFmtId="1" fontId="23" fillId="6" borderId="2" xfId="0" applyNumberFormat="1" applyFont="1" applyFill="1" applyBorder="1" applyAlignment="1">
      <alignment horizontal="center"/>
    </xf>
    <xf numFmtId="14" fontId="23" fillId="0" borderId="2" xfId="0" applyNumberFormat="1" applyFont="1" applyBorder="1" applyAlignment="1" applyProtection="1">
      <alignment vertical="top" wrapText="1"/>
      <protection locked="0"/>
    </xf>
    <xf numFmtId="0" fontId="23" fillId="0" borderId="0" xfId="0" applyFont="1" applyAlignment="1" applyProtection="1">
      <alignment vertical="top" wrapText="1"/>
      <protection locked="0"/>
    </xf>
    <xf numFmtId="0" fontId="23" fillId="0" borderId="0" xfId="0" applyFont="1" applyAlignment="1">
      <alignment horizontal="center" vertical="top" wrapText="1"/>
    </xf>
    <xf numFmtId="0" fontId="10" fillId="0" borderId="0" xfId="1" applyFont="1" applyFill="1" applyBorder="1" applyAlignment="1" applyProtection="1">
      <alignment horizontal="center" vertical="top" wrapText="1"/>
    </xf>
    <xf numFmtId="0" fontId="28" fillId="17" borderId="2" xfId="0" applyFont="1" applyFill="1" applyBorder="1" applyAlignment="1">
      <alignment vertical="top" wrapText="1"/>
    </xf>
    <xf numFmtId="0" fontId="0" fillId="0" borderId="2" xfId="0" applyBorder="1" applyAlignment="1">
      <alignment horizontal="left"/>
    </xf>
    <xf numFmtId="169" fontId="24" fillId="0" borderId="2" xfId="0" applyNumberFormat="1" applyFont="1" applyBorder="1" applyAlignment="1">
      <alignment vertical="top" wrapText="1"/>
    </xf>
    <xf numFmtId="169" fontId="24" fillId="18" borderId="2" xfId="0" applyNumberFormat="1" applyFont="1" applyFill="1" applyBorder="1" applyAlignment="1">
      <alignment horizontal="center" vertical="top" wrapText="1"/>
    </xf>
    <xf numFmtId="0" fontId="5" fillId="0" borderId="0" xfId="0" applyFont="1" applyAlignment="1">
      <alignment vertical="top"/>
    </xf>
    <xf numFmtId="0" fontId="29" fillId="0" borderId="0" xfId="0" applyFont="1" applyAlignment="1">
      <alignment vertical="top"/>
    </xf>
    <xf numFmtId="0" fontId="0" fillId="0" borderId="2" xfId="0" applyBorder="1" applyAlignment="1">
      <alignment wrapText="1"/>
    </xf>
    <xf numFmtId="168" fontId="0" fillId="0" borderId="2" xfId="0" applyNumberFormat="1" applyBorder="1" applyAlignment="1">
      <alignment wrapText="1"/>
    </xf>
    <xf numFmtId="164" fontId="0" fillId="0" borderId="2" xfId="0" applyNumberFormat="1" applyBorder="1" applyAlignment="1">
      <alignment wrapText="1"/>
    </xf>
    <xf numFmtId="0" fontId="11" fillId="5" borderId="7" xfId="1" applyFont="1" applyFill="1" applyBorder="1" applyAlignment="1" applyProtection="1">
      <alignment horizontal="center" vertical="top"/>
    </xf>
    <xf numFmtId="0" fontId="4" fillId="7" borderId="8" xfId="0" applyFont="1" applyFill="1" applyBorder="1" applyAlignment="1">
      <alignment horizontal="left" vertical="top" wrapText="1"/>
    </xf>
    <xf numFmtId="0" fontId="23" fillId="0" borderId="2" xfId="0" applyFont="1" applyBorder="1" applyAlignment="1">
      <alignment vertical="top" wrapText="1"/>
    </xf>
    <xf numFmtId="0" fontId="4" fillId="7" borderId="6" xfId="0" applyFont="1" applyFill="1" applyBorder="1" applyAlignment="1">
      <alignment horizontal="left" vertical="top" wrapText="1"/>
    </xf>
    <xf numFmtId="0" fontId="4" fillId="7" borderId="2" xfId="0" applyFont="1" applyFill="1" applyBorder="1" applyAlignment="1">
      <alignment horizontal="left" vertical="top" wrapText="1"/>
    </xf>
    <xf numFmtId="0" fontId="12" fillId="0" borderId="0" xfId="0" applyFont="1" applyAlignment="1">
      <alignment horizontal="center" vertical="top" wrapText="1"/>
    </xf>
    <xf numFmtId="0" fontId="23" fillId="0" borderId="2" xfId="0" applyFont="1" applyBorder="1" applyAlignment="1">
      <alignment horizontal="center"/>
    </xf>
    <xf numFmtId="0" fontId="4" fillId="7" borderId="2" xfId="0" applyFont="1" applyFill="1" applyBorder="1" applyAlignment="1">
      <alignment horizontal="center" vertical="center"/>
    </xf>
    <xf numFmtId="0" fontId="4" fillId="12" borderId="2" xfId="0" applyFont="1" applyFill="1" applyBorder="1" applyAlignment="1">
      <alignment horizontal="center" vertical="center"/>
    </xf>
    <xf numFmtId="0" fontId="4" fillId="13" borderId="2" xfId="0" applyFont="1" applyFill="1" applyBorder="1" applyAlignment="1">
      <alignment horizontal="center" vertical="center"/>
    </xf>
    <xf numFmtId="0" fontId="4" fillId="7" borderId="2" xfId="0" applyFont="1" applyFill="1" applyBorder="1" applyAlignment="1">
      <alignment horizontal="center"/>
    </xf>
    <xf numFmtId="0" fontId="23" fillId="6" borderId="2" xfId="0" applyFont="1" applyFill="1" applyBorder="1" applyAlignment="1">
      <alignment horizontal="center" vertical="center"/>
    </xf>
    <xf numFmtId="0" fontId="4" fillId="11" borderId="2" xfId="0" applyFont="1" applyFill="1" applyBorder="1" applyAlignment="1">
      <alignment horizontal="center" vertical="center"/>
    </xf>
    <xf numFmtId="0" fontId="4" fillId="13" borderId="2" xfId="0" applyFont="1" applyFill="1" applyBorder="1" applyAlignment="1">
      <alignment horizontal="center" vertical="top" wrapText="1"/>
    </xf>
    <xf numFmtId="0" fontId="0" fillId="0" borderId="2" xfId="0" applyBorder="1" applyAlignment="1">
      <alignment horizontal="left" vertical="top" wrapText="1"/>
    </xf>
    <xf numFmtId="15" fontId="31" fillId="24" borderId="36" xfId="0" applyNumberFormat="1" applyFont="1" applyFill="1" applyBorder="1" applyAlignment="1">
      <alignment horizontal="center" vertical="center" wrapText="1"/>
    </xf>
    <xf numFmtId="0" fontId="32" fillId="23" borderId="9" xfId="0" applyFont="1" applyFill="1" applyBorder="1" applyAlignment="1">
      <alignment horizontal="right" vertical="center"/>
    </xf>
    <xf numFmtId="0" fontId="32" fillId="25" borderId="9" xfId="0" applyFont="1" applyFill="1" applyBorder="1" applyAlignment="1">
      <alignment horizontal="right" vertical="center"/>
    </xf>
    <xf numFmtId="0" fontId="32" fillId="26" borderId="9" xfId="0" applyFont="1" applyFill="1" applyBorder="1" applyAlignment="1">
      <alignment horizontal="right" vertical="center"/>
    </xf>
    <xf numFmtId="0" fontId="32" fillId="23" borderId="6" xfId="0" applyFont="1" applyFill="1" applyBorder="1" applyAlignment="1">
      <alignment horizontal="right" vertical="center"/>
    </xf>
    <xf numFmtId="0" fontId="32" fillId="23" borderId="2" xfId="0" applyFont="1" applyFill="1" applyBorder="1" applyAlignment="1">
      <alignment horizontal="right" vertical="center"/>
    </xf>
    <xf numFmtId="0" fontId="32" fillId="0" borderId="41" xfId="0" applyFont="1" applyBorder="1" applyAlignment="1">
      <alignment horizontal="right" vertical="center"/>
    </xf>
    <xf numFmtId="0" fontId="32" fillId="23" borderId="8" xfId="0" applyFont="1" applyFill="1" applyBorder="1" applyAlignment="1">
      <alignment horizontal="right" vertical="center"/>
    </xf>
    <xf numFmtId="0" fontId="32" fillId="23" borderId="5" xfId="0" applyFont="1" applyFill="1" applyBorder="1" applyAlignment="1">
      <alignment horizontal="right" vertical="center"/>
    </xf>
    <xf numFmtId="0" fontId="32" fillId="0" borderId="43" xfId="0" applyFont="1" applyBorder="1" applyAlignment="1">
      <alignment horizontal="right" vertical="center"/>
    </xf>
    <xf numFmtId="0" fontId="32" fillId="25" borderId="42" xfId="0" applyFont="1" applyFill="1" applyBorder="1" applyAlignment="1">
      <alignment horizontal="right" vertical="center"/>
    </xf>
    <xf numFmtId="0" fontId="32" fillId="25" borderId="8" xfId="0" applyFont="1" applyFill="1" applyBorder="1" applyAlignment="1">
      <alignment horizontal="right" vertical="center"/>
    </xf>
    <xf numFmtId="0" fontId="32" fillId="26" borderId="12" xfId="0" applyFont="1" applyFill="1" applyBorder="1" applyAlignment="1">
      <alignment horizontal="center" vertical="center"/>
    </xf>
    <xf numFmtId="0" fontId="32" fillId="26" borderId="6" xfId="0" applyFont="1" applyFill="1" applyBorder="1" applyAlignment="1">
      <alignment horizontal="right" vertical="center"/>
    </xf>
    <xf numFmtId="0" fontId="32" fillId="26" borderId="2" xfId="0" applyFont="1" applyFill="1" applyBorder="1" applyAlignment="1">
      <alignment horizontal="right" vertical="center"/>
    </xf>
    <xf numFmtId="0" fontId="32" fillId="26" borderId="8" xfId="0" applyFont="1" applyFill="1" applyBorder="1" applyAlignment="1">
      <alignment horizontal="right" vertical="center"/>
    </xf>
    <xf numFmtId="0" fontId="32" fillId="26" borderId="5" xfId="0" applyFont="1" applyFill="1" applyBorder="1" applyAlignment="1">
      <alignment horizontal="right" vertical="center"/>
    </xf>
    <xf numFmtId="0" fontId="32" fillId="0" borderId="42" xfId="0" applyFont="1" applyBorder="1" applyAlignment="1">
      <alignment horizontal="right" vertical="center"/>
    </xf>
    <xf numFmtId="170" fontId="32" fillId="0" borderId="50" xfId="0" applyNumberFormat="1" applyFont="1" applyBorder="1" applyAlignment="1">
      <alignment vertical="center"/>
    </xf>
    <xf numFmtId="0" fontId="32" fillId="0" borderId="50" xfId="0" applyFont="1" applyBorder="1" applyAlignment="1">
      <alignment horizontal="right" vertical="center"/>
    </xf>
    <xf numFmtId="170" fontId="32" fillId="0" borderId="51" xfId="0" applyNumberFormat="1" applyFont="1" applyBorder="1" applyAlignment="1">
      <alignment vertical="center"/>
    </xf>
    <xf numFmtId="0" fontId="32" fillId="0" borderId="12" xfId="0" applyFont="1" applyBorder="1" applyAlignment="1">
      <alignment vertical="center"/>
    </xf>
    <xf numFmtId="0" fontId="32" fillId="23" borderId="12" xfId="0" applyFont="1" applyFill="1" applyBorder="1" applyAlignment="1">
      <alignment horizontal="right" vertical="center"/>
    </xf>
    <xf numFmtId="0" fontId="32" fillId="27" borderId="14" xfId="0" applyFont="1" applyFill="1" applyBorder="1" applyAlignment="1">
      <alignment vertical="center"/>
    </xf>
    <xf numFmtId="0" fontId="32" fillId="23" borderId="39" xfId="0" applyFont="1" applyFill="1" applyBorder="1" applyAlignment="1">
      <alignment horizontal="right" vertical="center"/>
    </xf>
    <xf numFmtId="0" fontId="32" fillId="27" borderId="5" xfId="0" applyFont="1" applyFill="1" applyBorder="1" applyAlignment="1">
      <alignment vertical="center"/>
    </xf>
    <xf numFmtId="0" fontId="32" fillId="23" borderId="47" xfId="0" applyFont="1" applyFill="1" applyBorder="1" applyAlignment="1">
      <alignment horizontal="right" vertical="center"/>
    </xf>
    <xf numFmtId="0" fontId="0" fillId="0" borderId="22" xfId="0" applyBorder="1" applyAlignment="1">
      <alignment vertical="center"/>
    </xf>
    <xf numFmtId="0" fontId="0" fillId="0" borderId="0" xfId="0" applyAlignment="1">
      <alignment vertical="center"/>
    </xf>
    <xf numFmtId="0" fontId="0" fillId="0" borderId="24" xfId="0" applyBorder="1" applyAlignment="1">
      <alignment vertical="center"/>
    </xf>
    <xf numFmtId="0" fontId="0" fillId="0" borderId="12" xfId="0" applyBorder="1" applyAlignment="1">
      <alignment vertical="center"/>
    </xf>
    <xf numFmtId="0" fontId="32" fillId="25" borderId="12" xfId="0" applyFont="1" applyFill="1" applyBorder="1" applyAlignment="1">
      <alignment horizontal="right" vertical="center"/>
    </xf>
    <xf numFmtId="0" fontId="0" fillId="0" borderId="13" xfId="0" applyBorder="1" applyAlignment="1">
      <alignment vertical="center"/>
    </xf>
    <xf numFmtId="0" fontId="32" fillId="25" borderId="5" xfId="0" applyFont="1" applyFill="1" applyBorder="1" applyAlignment="1">
      <alignment horizontal="right" vertical="center"/>
    </xf>
    <xf numFmtId="0" fontId="35" fillId="28" borderId="2" xfId="0" applyFont="1" applyFill="1" applyBorder="1" applyAlignment="1">
      <alignment horizontal="center" vertical="center" wrapText="1"/>
    </xf>
    <xf numFmtId="0" fontId="4" fillId="25" borderId="2" xfId="0" applyFont="1" applyFill="1" applyBorder="1" applyAlignment="1">
      <alignment horizontal="center" vertical="top" wrapText="1"/>
    </xf>
    <xf numFmtId="0" fontId="4" fillId="29" borderId="2" xfId="0" applyFont="1" applyFill="1" applyBorder="1" applyAlignment="1">
      <alignment vertical="top" wrapText="1"/>
    </xf>
    <xf numFmtId="0" fontId="4" fillId="29" borderId="2" xfId="0" applyFont="1" applyFill="1" applyBorder="1" applyAlignment="1">
      <alignment horizontal="center" vertical="top" wrapText="1"/>
    </xf>
    <xf numFmtId="0" fontId="0" fillId="29" borderId="2" xfId="0" applyFill="1" applyBorder="1" applyAlignment="1">
      <alignment vertical="top" wrapText="1"/>
    </xf>
    <xf numFmtId="15" fontId="0" fillId="29" borderId="2" xfId="0" applyNumberFormat="1" applyFill="1" applyBorder="1" applyAlignment="1">
      <alignment vertical="top" wrapText="1"/>
    </xf>
    <xf numFmtId="2" fontId="0" fillId="29" borderId="2" xfId="0" applyNumberFormat="1" applyFill="1" applyBorder="1" applyAlignment="1">
      <alignment vertical="top" wrapText="1"/>
    </xf>
    <xf numFmtId="0" fontId="4" fillId="29" borderId="2" xfId="0" applyFont="1" applyFill="1" applyBorder="1" applyAlignment="1">
      <alignment wrapText="1"/>
    </xf>
    <xf numFmtId="15" fontId="0" fillId="29" borderId="5" xfId="0" applyNumberFormat="1" applyFill="1" applyBorder="1" applyAlignment="1" applyProtection="1">
      <alignment vertical="top" wrapText="1"/>
      <protection locked="0"/>
    </xf>
    <xf numFmtId="0" fontId="0" fillId="29" borderId="5" xfId="0" applyFill="1" applyBorder="1" applyAlignment="1" applyProtection="1">
      <alignment vertical="top" wrapText="1"/>
      <protection locked="0"/>
    </xf>
    <xf numFmtId="0" fontId="0" fillId="29" borderId="9" xfId="0" applyFill="1" applyBorder="1" applyAlignment="1">
      <alignment vertical="top" wrapText="1"/>
    </xf>
    <xf numFmtId="0" fontId="0" fillId="29" borderId="12" xfId="0" applyFill="1" applyBorder="1" applyAlignment="1">
      <alignment vertical="top" wrapText="1"/>
    </xf>
    <xf numFmtId="0" fontId="0" fillId="29" borderId="13" xfId="0" applyFill="1" applyBorder="1" applyAlignment="1">
      <alignment vertical="top" wrapText="1"/>
    </xf>
    <xf numFmtId="0" fontId="0" fillId="26" borderId="9" xfId="0" applyFill="1" applyBorder="1" applyAlignment="1">
      <alignment vertical="top" wrapText="1"/>
    </xf>
    <xf numFmtId="0" fontId="0" fillId="26" borderId="6" xfId="0" applyFill="1" applyBorder="1" applyAlignment="1">
      <alignment vertical="top" wrapText="1"/>
    </xf>
    <xf numFmtId="0" fontId="0" fillId="26" borderId="8" xfId="0" applyFill="1" applyBorder="1" applyAlignment="1">
      <alignment vertical="top" wrapText="1"/>
    </xf>
    <xf numFmtId="0" fontId="0" fillId="26" borderId="9" xfId="0" applyFill="1" applyBorder="1" applyAlignment="1">
      <alignment horizontal="left" vertical="top" wrapText="1"/>
    </xf>
    <xf numFmtId="0" fontId="0" fillId="26" borderId="6" xfId="0" applyFill="1" applyBorder="1" applyAlignment="1">
      <alignment horizontal="left" vertical="top" wrapText="1"/>
    </xf>
    <xf numFmtId="0" fontId="0" fillId="26" borderId="8" xfId="0" applyFill="1" applyBorder="1" applyAlignment="1">
      <alignment horizontal="left" vertical="top" wrapText="1"/>
    </xf>
    <xf numFmtId="0" fontId="0" fillId="26" borderId="10" xfId="0" applyFill="1" applyBorder="1" applyAlignment="1">
      <alignment vertical="top"/>
    </xf>
    <xf numFmtId="0" fontId="0" fillId="26" borderId="11" xfId="0" applyFill="1" applyBorder="1" applyAlignment="1">
      <alignment vertical="top" wrapText="1"/>
    </xf>
    <xf numFmtId="0" fontId="4" fillId="26" borderId="2" xfId="0" applyFont="1" applyFill="1" applyBorder="1" applyAlignment="1">
      <alignment horizontal="center" vertical="center" wrapText="1"/>
    </xf>
    <xf numFmtId="166" fontId="4" fillId="12" borderId="2" xfId="0" applyNumberFormat="1" applyFont="1" applyFill="1" applyBorder="1" applyAlignment="1">
      <alignment horizontal="center" vertical="center" wrapText="1"/>
    </xf>
    <xf numFmtId="0" fontId="37" fillId="25" borderId="2" xfId="0" applyFont="1" applyFill="1" applyBorder="1"/>
    <xf numFmtId="166" fontId="0" fillId="30" borderId="2" xfId="0" applyNumberFormat="1" applyFill="1" applyBorder="1" applyAlignment="1">
      <alignment vertical="top" wrapText="1"/>
    </xf>
    <xf numFmtId="15" fontId="4" fillId="16" borderId="2" xfId="0" applyNumberFormat="1" applyFont="1" applyFill="1" applyBorder="1" applyAlignment="1">
      <alignment horizontal="center" vertical="center" wrapText="1"/>
    </xf>
    <xf numFmtId="15" fontId="4" fillId="25" borderId="2" xfId="0" applyNumberFormat="1" applyFont="1" applyFill="1" applyBorder="1" applyAlignment="1">
      <alignment horizontal="center" vertical="center" wrapText="1"/>
    </xf>
    <xf numFmtId="15" fontId="4" fillId="26" borderId="2" xfId="0" applyNumberFormat="1" applyFont="1" applyFill="1" applyBorder="1" applyAlignment="1">
      <alignment horizontal="center" vertical="center" wrapText="1"/>
    </xf>
    <xf numFmtId="166" fontId="0" fillId="30" borderId="2" xfId="0" applyNumberFormat="1" applyFill="1" applyBorder="1" applyAlignment="1">
      <alignment horizontal="center" vertical="top" wrapText="1"/>
    </xf>
    <xf numFmtId="166" fontId="0" fillId="8" borderId="2" xfId="0" applyNumberFormat="1" applyFill="1" applyBorder="1" applyAlignment="1" applyProtection="1">
      <alignment horizontal="center" vertical="top" wrapText="1"/>
      <protection locked="0"/>
    </xf>
    <xf numFmtId="15" fontId="2" fillId="29" borderId="5" xfId="0" applyNumberFormat="1" applyFont="1" applyFill="1" applyBorder="1" applyAlignment="1" applyProtection="1">
      <alignment vertical="top" wrapText="1"/>
      <protection locked="0"/>
    </xf>
    <xf numFmtId="0" fontId="2" fillId="0" borderId="2" xfId="5" applyBorder="1" applyAlignment="1">
      <alignment vertical="top" wrapText="1"/>
    </xf>
    <xf numFmtId="0" fontId="2" fillId="29" borderId="2" xfId="5" applyFill="1" applyBorder="1" applyAlignment="1">
      <alignment horizontal="left" vertical="top" wrapText="1"/>
    </xf>
    <xf numFmtId="167" fontId="0" fillId="29" borderId="36" xfId="0" applyNumberFormat="1" applyFill="1" applyBorder="1" applyAlignment="1" applyProtection="1">
      <alignment vertical="top" wrapText="1"/>
      <protection locked="0"/>
    </xf>
    <xf numFmtId="0" fontId="0" fillId="29" borderId="36" xfId="0" applyFill="1" applyBorder="1" applyAlignment="1" applyProtection="1">
      <alignment vertical="top" wrapText="1"/>
      <protection locked="0"/>
    </xf>
    <xf numFmtId="167" fontId="0" fillId="0" borderId="2" xfId="0" applyNumberFormat="1" applyBorder="1" applyAlignment="1" applyProtection="1">
      <alignment wrapText="1"/>
      <protection locked="0"/>
    </xf>
    <xf numFmtId="0" fontId="0" fillId="0" borderId="2" xfId="0" applyBorder="1" applyAlignment="1" applyProtection="1">
      <alignment wrapText="1"/>
      <protection locked="0"/>
    </xf>
    <xf numFmtId="171" fontId="0" fillId="0" borderId="2" xfId="0" applyNumberFormat="1" applyBorder="1" applyAlignment="1" applyProtection="1">
      <alignment vertical="top" wrapText="1"/>
      <protection locked="0"/>
    </xf>
    <xf numFmtId="0" fontId="2" fillId="0" borderId="2" xfId="0" applyFont="1" applyBorder="1" applyAlignment="1" applyProtection="1">
      <alignment horizontal="center" vertical="top" wrapText="1"/>
      <protection locked="0"/>
    </xf>
    <xf numFmtId="171" fontId="2" fillId="0" borderId="2" xfId="0" applyNumberFormat="1" applyFont="1" applyBorder="1" applyAlignment="1" applyProtection="1">
      <alignment vertical="top" wrapText="1"/>
      <protection locked="0"/>
    </xf>
    <xf numFmtId="165" fontId="0" fillId="0" borderId="2" xfId="0" applyNumberFormat="1" applyBorder="1" applyAlignment="1">
      <alignment vertical="top" wrapText="1"/>
    </xf>
    <xf numFmtId="0" fontId="2" fillId="0" borderId="2" xfId="3" applyBorder="1" applyProtection="1">
      <protection locked="0"/>
    </xf>
    <xf numFmtId="0" fontId="38" fillId="31" borderId="2" xfId="0" applyFont="1" applyFill="1" applyBorder="1" applyAlignment="1">
      <alignment vertical="center" wrapText="1"/>
    </xf>
    <xf numFmtId="171" fontId="2" fillId="0" borderId="2" xfId="0" applyNumberFormat="1" applyFont="1" applyBorder="1" applyAlignment="1" applyProtection="1">
      <alignment horizontal="right" vertical="top" wrapText="1"/>
      <protection locked="0"/>
    </xf>
    <xf numFmtId="0" fontId="17" fillId="0" borderId="2" xfId="0" applyFont="1" applyBorder="1" applyAlignment="1">
      <alignment vertical="top" wrapText="1"/>
    </xf>
    <xf numFmtId="0" fontId="39" fillId="0" borderId="2" xfId="0" applyFont="1" applyBorder="1" applyAlignment="1">
      <alignment horizontal="center" vertical="center"/>
    </xf>
    <xf numFmtId="0" fontId="34" fillId="0" borderId="5" xfId="0" applyFont="1" applyBorder="1" applyAlignment="1">
      <alignment horizontal="center" vertical="center"/>
    </xf>
    <xf numFmtId="168" fontId="0" fillId="0" borderId="2" xfId="0" applyNumberFormat="1" applyBorder="1" applyAlignment="1" applyProtection="1">
      <alignment vertical="top" wrapText="1"/>
      <protection locked="0"/>
    </xf>
    <xf numFmtId="0" fontId="2" fillId="0" borderId="2" xfId="0" applyFont="1" applyBorder="1" applyAlignment="1" applyProtection="1">
      <alignment vertical="top" wrapText="1"/>
      <protection locked="0"/>
    </xf>
    <xf numFmtId="15" fontId="0" fillId="0" borderId="2" xfId="0" applyNumberFormat="1" applyBorder="1" applyAlignment="1">
      <alignment horizontal="right" vertical="top"/>
    </xf>
    <xf numFmtId="0" fontId="0" fillId="0" borderId="2" xfId="0" applyBorder="1" applyAlignment="1">
      <alignment vertical="top"/>
    </xf>
    <xf numFmtId="0" fontId="0" fillId="0" borderId="2" xfId="0" applyBorder="1" applyAlignment="1">
      <alignment horizontal="center" vertical="top"/>
    </xf>
    <xf numFmtId="0" fontId="2" fillId="0" borderId="2" xfId="0" applyFont="1" applyBorder="1"/>
    <xf numFmtId="0" fontId="0" fillId="0" borderId="2" xfId="0" applyBorder="1" applyAlignment="1">
      <alignment horizontal="center" vertical="center"/>
    </xf>
    <xf numFmtId="0" fontId="2" fillId="0" borderId="2" xfId="0" applyFont="1" applyBorder="1" applyAlignment="1" applyProtection="1">
      <alignment horizontal="center" vertical="center" wrapText="1"/>
      <protection locked="0"/>
    </xf>
    <xf numFmtId="0" fontId="2" fillId="0" borderId="0" xfId="0" applyFont="1" applyAlignment="1">
      <alignment vertical="top"/>
    </xf>
    <xf numFmtId="0" fontId="30" fillId="0" borderId="0" xfId="6"/>
    <xf numFmtId="0" fontId="2" fillId="0" borderId="0" xfId="6" applyFont="1"/>
    <xf numFmtId="0" fontId="2" fillId="0" borderId="0" xfId="6" applyFont="1" applyAlignment="1">
      <alignment horizontal="center"/>
    </xf>
    <xf numFmtId="0" fontId="2" fillId="0" borderId="2" xfId="6" applyFont="1" applyBorder="1" applyAlignment="1">
      <alignment horizontal="center"/>
    </xf>
    <xf numFmtId="172" fontId="40" fillId="32" borderId="2" xfId="6" applyNumberFormat="1" applyFont="1" applyFill="1" applyBorder="1" applyAlignment="1">
      <alignment horizontal="left" vertical="center" wrapText="1"/>
    </xf>
    <xf numFmtId="0" fontId="0" fillId="0" borderId="2" xfId="6" applyFont="1" applyBorder="1" applyAlignment="1">
      <alignment horizontal="center" vertical="center"/>
    </xf>
    <xf numFmtId="0" fontId="2" fillId="0" borderId="2" xfId="6" applyFont="1" applyBorder="1" applyAlignment="1">
      <alignment horizontal="left" vertical="center"/>
    </xf>
    <xf numFmtId="0" fontId="2" fillId="0" borderId="2" xfId="6" applyFont="1" applyBorder="1" applyAlignment="1">
      <alignment horizontal="center" vertical="center"/>
    </xf>
    <xf numFmtId="0" fontId="2" fillId="0" borderId="2" xfId="6" applyFont="1" applyBorder="1" applyAlignment="1">
      <alignment vertical="center"/>
    </xf>
    <xf numFmtId="9" fontId="2" fillId="0" borderId="2" xfId="6" applyNumberFormat="1" applyFont="1" applyBorder="1" applyAlignment="1">
      <alignment horizontal="center" vertical="center"/>
    </xf>
    <xf numFmtId="10" fontId="0" fillId="0" borderId="2" xfId="6" applyNumberFormat="1" applyFont="1" applyBorder="1" applyAlignment="1">
      <alignment horizontal="center" vertical="center"/>
    </xf>
    <xf numFmtId="10" fontId="2" fillId="0" borderId="2" xfId="6" applyNumberFormat="1" applyFont="1" applyBorder="1" applyAlignment="1">
      <alignment horizontal="center" vertical="center"/>
    </xf>
    <xf numFmtId="173" fontId="2" fillId="0" borderId="2" xfId="6" applyNumberFormat="1" applyFont="1" applyBorder="1" applyAlignment="1">
      <alignment horizontal="center" vertical="center"/>
    </xf>
    <xf numFmtId="0" fontId="41" fillId="16" borderId="0" xfId="6" applyFont="1" applyFill="1" applyAlignment="1">
      <alignment horizontal="center" vertical="center" wrapText="1"/>
    </xf>
    <xf numFmtId="0" fontId="41" fillId="16" borderId="0" xfId="6" applyFont="1" applyFill="1" applyAlignment="1">
      <alignment horizontal="left" vertical="center" wrapText="1"/>
    </xf>
    <xf numFmtId="0" fontId="4" fillId="29" borderId="2" xfId="5" applyFont="1" applyFill="1" applyBorder="1" applyAlignment="1">
      <alignment vertical="top" wrapText="1"/>
    </xf>
    <xf numFmtId="0" fontId="30" fillId="0" borderId="2" xfId="6" applyBorder="1"/>
    <xf numFmtId="0" fontId="2" fillId="0" borderId="2" xfId="5" applyBorder="1" applyAlignment="1">
      <alignment horizontal="left" vertical="top" wrapText="1"/>
    </xf>
    <xf numFmtId="0" fontId="4" fillId="29" borderId="2" xfId="5" applyFont="1" applyFill="1" applyBorder="1" applyAlignment="1">
      <alignment horizontal="left" vertical="top" wrapText="1"/>
    </xf>
    <xf numFmtId="0" fontId="42" fillId="0" borderId="0" xfId="6" applyFont="1"/>
    <xf numFmtId="0" fontId="41" fillId="13" borderId="0" xfId="6" applyFont="1" applyFill="1" applyAlignment="1">
      <alignment vertical="center" wrapText="1"/>
    </xf>
    <xf numFmtId="172" fontId="40" fillId="0" borderId="54" xfId="6" applyNumberFormat="1" applyFont="1" applyBorder="1" applyAlignment="1">
      <alignment horizontal="left" vertical="center" wrapText="1" indent="1"/>
    </xf>
    <xf numFmtId="172" fontId="40" fillId="32" borderId="54" xfId="6" applyNumberFormat="1" applyFont="1" applyFill="1" applyBorder="1" applyAlignment="1">
      <alignment horizontal="center" vertical="center" wrapText="1"/>
    </xf>
    <xf numFmtId="172" fontId="40" fillId="32" borderId="54" xfId="6" applyNumberFormat="1" applyFont="1" applyFill="1" applyBorder="1" applyAlignment="1">
      <alignment horizontal="left" vertical="center" wrapText="1" indent="1"/>
    </xf>
    <xf numFmtId="0" fontId="43" fillId="34" borderId="54" xfId="6" applyFont="1" applyFill="1" applyBorder="1" applyAlignment="1">
      <alignment horizontal="left" vertical="center" wrapText="1" indent="1"/>
    </xf>
    <xf numFmtId="0" fontId="43" fillId="34" borderId="54" xfId="6" applyFont="1" applyFill="1" applyBorder="1" applyAlignment="1">
      <alignment horizontal="center" vertical="center" wrapText="1"/>
    </xf>
    <xf numFmtId="0" fontId="40" fillId="0" borderId="0" xfId="6" applyFont="1" applyAlignment="1">
      <alignment vertical="center"/>
    </xf>
    <xf numFmtId="0" fontId="4" fillId="0" borderId="0" xfId="5" applyFont="1" applyAlignment="1">
      <alignment horizontal="left" vertical="top" wrapText="1"/>
    </xf>
    <xf numFmtId="0" fontId="4" fillId="0" borderId="0" xfId="5" applyFont="1" applyAlignment="1">
      <alignment vertical="top" wrapText="1"/>
    </xf>
    <xf numFmtId="0" fontId="41" fillId="0" borderId="0" xfId="6" applyFont="1" applyAlignment="1">
      <alignment vertical="center" wrapText="1"/>
    </xf>
    <xf numFmtId="0" fontId="40" fillId="0" borderId="0" xfId="6" applyFont="1"/>
    <xf numFmtId="14" fontId="44" fillId="32" borderId="59" xfId="6" applyNumberFormat="1" applyFont="1" applyFill="1" applyBorder="1" applyAlignment="1">
      <alignment horizontal="left" vertical="center" wrapText="1" indent="1"/>
    </xf>
    <xf numFmtId="0" fontId="44" fillId="32" borderId="59" xfId="6" applyFont="1" applyFill="1" applyBorder="1" applyAlignment="1">
      <alignment horizontal="left" vertical="center" wrapText="1" indent="1"/>
    </xf>
    <xf numFmtId="0" fontId="43" fillId="0" borderId="0" xfId="6" applyFont="1" applyAlignment="1">
      <alignment vertical="center" wrapText="1"/>
    </xf>
    <xf numFmtId="0" fontId="45" fillId="0" borderId="0" xfId="6" applyFont="1" applyAlignment="1">
      <alignment vertical="center"/>
    </xf>
    <xf numFmtId="0" fontId="45" fillId="33" borderId="0" xfId="6" applyFont="1" applyFill="1" applyAlignment="1">
      <alignment vertical="center"/>
    </xf>
    <xf numFmtId="0" fontId="46" fillId="33" borderId="0" xfId="6" applyFont="1" applyFill="1" applyAlignment="1">
      <alignment vertical="center"/>
    </xf>
    <xf numFmtId="0" fontId="47" fillId="33" borderId="0" xfId="6" applyFont="1" applyFill="1" applyAlignment="1">
      <alignment vertical="center"/>
    </xf>
    <xf numFmtId="0" fontId="2" fillId="0" borderId="0" xfId="5"/>
    <xf numFmtId="0" fontId="2" fillId="0" borderId="2" xfId="5" applyBorder="1"/>
    <xf numFmtId="0" fontId="41" fillId="37" borderId="44" xfId="5" applyFont="1" applyFill="1" applyBorder="1" applyAlignment="1">
      <alignment horizontal="center"/>
    </xf>
    <xf numFmtId="0" fontId="41" fillId="37" borderId="3" xfId="5" applyFont="1" applyFill="1" applyBorder="1" applyAlignment="1">
      <alignment horizontal="center"/>
    </xf>
    <xf numFmtId="0" fontId="41" fillId="37" borderId="1" xfId="5" applyFont="1" applyFill="1" applyBorder="1" applyAlignment="1">
      <alignment horizontal="center"/>
    </xf>
    <xf numFmtId="0" fontId="50" fillId="37" borderId="15" xfId="5" applyFont="1" applyFill="1" applyBorder="1" applyAlignment="1">
      <alignment horizontal="center"/>
    </xf>
    <xf numFmtId="0" fontId="51" fillId="0" borderId="34" xfId="5" applyFont="1" applyBorder="1" applyAlignment="1">
      <alignment horizontal="center" vertical="center" wrapText="1"/>
    </xf>
    <xf numFmtId="0" fontId="2" fillId="0" borderId="34" xfId="5" applyBorder="1" applyAlignment="1">
      <alignment horizontal="left" vertical="center" wrapText="1"/>
    </xf>
    <xf numFmtId="0" fontId="2" fillId="0" borderId="34" xfId="5" applyBorder="1" applyAlignment="1">
      <alignment vertical="top" wrapText="1"/>
    </xf>
    <xf numFmtId="0" fontId="2" fillId="0" borderId="2" xfId="5" applyBorder="1" applyAlignment="1">
      <alignment wrapText="1"/>
    </xf>
    <xf numFmtId="0" fontId="2" fillId="0" borderId="2" xfId="5" applyBorder="1" applyAlignment="1">
      <alignment horizontal="center"/>
    </xf>
    <xf numFmtId="10" fontId="2" fillId="0" borderId="2" xfId="5" applyNumberFormat="1" applyBorder="1" applyAlignment="1">
      <alignment horizontal="center"/>
    </xf>
    <xf numFmtId="12" fontId="2" fillId="0" borderId="2" xfId="5" applyNumberFormat="1" applyBorder="1" applyAlignment="1">
      <alignment horizontal="center"/>
    </xf>
    <xf numFmtId="0" fontId="2" fillId="0" borderId="2" xfId="5" applyBorder="1" applyAlignment="1">
      <alignment horizontal="center" wrapText="1"/>
    </xf>
    <xf numFmtId="49" fontId="2" fillId="0" borderId="2" xfId="5" applyNumberFormat="1" applyBorder="1" applyAlignment="1">
      <alignment horizontal="center"/>
    </xf>
    <xf numFmtId="0" fontId="2" fillId="0" borderId="2" xfId="5" applyBorder="1" applyAlignment="1">
      <alignment horizontal="left"/>
    </xf>
    <xf numFmtId="0" fontId="20" fillId="37" borderId="2" xfId="5" applyFont="1" applyFill="1" applyBorder="1" applyAlignment="1">
      <alignment horizontal="center" wrapText="1"/>
    </xf>
    <xf numFmtId="0" fontId="20" fillId="37" borderId="2" xfId="5" applyFont="1" applyFill="1" applyBorder="1" applyAlignment="1">
      <alignment horizontal="center"/>
    </xf>
    <xf numFmtId="0" fontId="2" fillId="0" borderId="32" xfId="0" applyFont="1" applyBorder="1" applyAlignment="1" applyProtection="1">
      <alignment vertical="top" wrapText="1"/>
      <protection locked="0"/>
    </xf>
    <xf numFmtId="0" fontId="2" fillId="0" borderId="0" xfId="0" applyFont="1" applyAlignment="1" applyProtection="1">
      <alignment vertical="top" wrapText="1"/>
      <protection locked="0"/>
    </xf>
    <xf numFmtId="0" fontId="2" fillId="0" borderId="0" xfId="0" applyFont="1" applyAlignment="1">
      <alignment horizontal="left" vertical="top" wrapText="1"/>
    </xf>
    <xf numFmtId="0" fontId="2" fillId="0" borderId="0" xfId="0" applyFont="1"/>
    <xf numFmtId="0" fontId="2" fillId="0" borderId="0" xfId="0" applyFont="1" applyAlignment="1">
      <alignment wrapText="1"/>
    </xf>
    <xf numFmtId="0" fontId="2" fillId="0" borderId="2" xfId="0" applyFont="1" applyBorder="1" applyAlignment="1">
      <alignment horizontal="center"/>
    </xf>
    <xf numFmtId="0" fontId="2" fillId="0" borderId="0" xfId="0" applyFont="1" applyAlignment="1">
      <alignment horizontal="center"/>
    </xf>
    <xf numFmtId="0" fontId="2" fillId="0" borderId="0" xfId="0" applyFont="1" applyAlignment="1">
      <alignment vertical="top" wrapText="1"/>
    </xf>
    <xf numFmtId="0" fontId="2" fillId="11" borderId="2" xfId="0" applyFont="1" applyFill="1" applyBorder="1" applyAlignment="1">
      <alignment horizontal="center" vertical="center"/>
    </xf>
    <xf numFmtId="0" fontId="2" fillId="11" borderId="2" xfId="0" applyFont="1" applyFill="1" applyBorder="1"/>
    <xf numFmtId="0" fontId="2" fillId="16" borderId="2" xfId="0" applyFont="1" applyFill="1" applyBorder="1" applyAlignment="1">
      <alignment horizontal="center"/>
    </xf>
    <xf numFmtId="0" fontId="2" fillId="12" borderId="2" xfId="0" applyFont="1" applyFill="1" applyBorder="1"/>
    <xf numFmtId="0" fontId="2" fillId="15" borderId="2" xfId="0" applyFont="1" applyFill="1" applyBorder="1"/>
    <xf numFmtId="166" fontId="2" fillId="8" borderId="2" xfId="0" applyNumberFormat="1" applyFont="1" applyFill="1" applyBorder="1" applyAlignment="1">
      <alignment vertical="top" wrapText="1"/>
    </xf>
    <xf numFmtId="0" fontId="2" fillId="9" borderId="34" xfId="0" applyFont="1" applyFill="1" applyBorder="1" applyAlignment="1">
      <alignment vertical="top" wrapText="1"/>
    </xf>
    <xf numFmtId="0" fontId="2" fillId="29" borderId="3" xfId="0" applyFont="1" applyFill="1" applyBorder="1" applyAlignment="1">
      <alignment vertical="top" wrapText="1"/>
    </xf>
    <xf numFmtId="0" fontId="2" fillId="29" borderId="15" xfId="0" applyFont="1" applyFill="1" applyBorder="1" applyAlignment="1">
      <alignment vertical="top" wrapText="1"/>
    </xf>
    <xf numFmtId="0" fontId="2" fillId="29" borderId="0" xfId="0" applyFont="1" applyFill="1" applyAlignment="1">
      <alignment vertical="top" wrapText="1"/>
    </xf>
    <xf numFmtId="0" fontId="2" fillId="29" borderId="0" xfId="0" applyFont="1" applyFill="1" applyAlignment="1">
      <alignment vertical="top"/>
    </xf>
    <xf numFmtId="0" fontId="2" fillId="2" borderId="3" xfId="0" applyFont="1" applyFill="1" applyBorder="1" applyAlignment="1" applyProtection="1">
      <alignment vertical="top" wrapText="1"/>
      <protection hidden="1"/>
    </xf>
    <xf numFmtId="0" fontId="2" fillId="2" borderId="1" xfId="0" applyFont="1" applyFill="1" applyBorder="1" applyAlignment="1">
      <alignment vertical="top" wrapText="1"/>
    </xf>
    <xf numFmtId="15" fontId="2" fillId="2" borderId="1" xfId="0" applyNumberFormat="1" applyFont="1" applyFill="1" applyBorder="1" applyAlignment="1" applyProtection="1">
      <alignment vertical="top" wrapText="1"/>
      <protection hidden="1"/>
    </xf>
    <xf numFmtId="0" fontId="2" fillId="2" borderId="1" xfId="0" applyFont="1" applyFill="1" applyBorder="1" applyAlignment="1" applyProtection="1">
      <alignment vertical="top" wrapText="1"/>
      <protection hidden="1"/>
    </xf>
    <xf numFmtId="0" fontId="2" fillId="2" borderId="15" xfId="0" applyFont="1" applyFill="1" applyBorder="1" applyAlignment="1">
      <alignment vertical="top" wrapText="1"/>
    </xf>
    <xf numFmtId="0" fontId="2" fillId="0" borderId="2" xfId="0" applyFont="1" applyBorder="1" applyAlignment="1">
      <alignment wrapText="1"/>
    </xf>
    <xf numFmtId="3" fontId="2" fillId="0" borderId="2" xfId="0" quotePrefix="1" applyNumberFormat="1" applyFont="1" applyBorder="1" applyAlignment="1">
      <alignment wrapText="1"/>
    </xf>
    <xf numFmtId="0" fontId="2" fillId="0" borderId="2" xfId="0" applyFont="1" applyBorder="1" applyAlignment="1">
      <alignment horizontal="left" vertical="top" wrapText="1"/>
    </xf>
    <xf numFmtId="0" fontId="2" fillId="0" borderId="2" xfId="0" quotePrefix="1" applyFont="1" applyBorder="1" applyAlignment="1">
      <alignment wrapText="1"/>
    </xf>
    <xf numFmtId="0" fontId="0" fillId="0" borderId="44" xfId="0" applyBorder="1"/>
    <xf numFmtId="0" fontId="53" fillId="0" borderId="0" xfId="0" applyFont="1"/>
    <xf numFmtId="0" fontId="55" fillId="39" borderId="0" xfId="0" applyFont="1" applyFill="1" applyAlignment="1">
      <alignment horizontal="left" vertical="center"/>
    </xf>
    <xf numFmtId="0" fontId="55" fillId="39" borderId="0" xfId="0" applyFont="1" applyFill="1" applyAlignment="1">
      <alignment vertical="center"/>
    </xf>
    <xf numFmtId="0" fontId="55" fillId="39" borderId="0" xfId="0" applyFont="1" applyFill="1" applyAlignment="1">
      <alignment vertical="center" wrapText="1"/>
    </xf>
    <xf numFmtId="0" fontId="0" fillId="2" borderId="2" xfId="0" applyFill="1" applyBorder="1" applyAlignment="1">
      <alignment horizontal="left" vertical="top" wrapText="1"/>
    </xf>
    <xf numFmtId="2" fontId="0" fillId="2" borderId="2" xfId="0" applyNumberFormat="1" applyFill="1" applyBorder="1" applyAlignment="1">
      <alignment horizontal="left" vertical="top" wrapText="1"/>
    </xf>
    <xf numFmtId="2" fontId="0" fillId="2" borderId="2" xfId="0" applyNumberFormat="1" applyFill="1" applyBorder="1" applyAlignment="1">
      <alignment horizontal="center" vertical="top" wrapText="1"/>
    </xf>
    <xf numFmtId="15" fontId="0" fillId="2" borderId="2" xfId="0" applyNumberFormat="1" applyFill="1" applyBorder="1" applyAlignment="1">
      <alignment vertical="top" wrapText="1"/>
    </xf>
    <xf numFmtId="0" fontId="2" fillId="2" borderId="2" xfId="0" applyFont="1" applyFill="1" applyBorder="1" applyAlignment="1">
      <alignment horizontal="left" vertical="top" wrapText="1"/>
    </xf>
    <xf numFmtId="0" fontId="0" fillId="40" borderId="2" xfId="0" applyFill="1" applyBorder="1" applyAlignment="1">
      <alignment horizontal="left" vertical="top" wrapText="1"/>
    </xf>
    <xf numFmtId="0" fontId="0" fillId="41" borderId="2" xfId="0" applyFill="1" applyBorder="1" applyAlignment="1">
      <alignment horizontal="left" vertical="top" wrapText="1"/>
    </xf>
    <xf numFmtId="0" fontId="0" fillId="41" borderId="2" xfId="0" applyFill="1" applyBorder="1" applyAlignment="1">
      <alignment vertical="top" wrapText="1"/>
    </xf>
    <xf numFmtId="2" fontId="0" fillId="2" borderId="2" xfId="0" applyNumberFormat="1" applyFill="1" applyBorder="1" applyAlignment="1" applyProtection="1">
      <alignment horizontal="left" vertical="top" wrapText="1"/>
      <protection locked="0"/>
    </xf>
    <xf numFmtId="0" fontId="2" fillId="2" borderId="2" xfId="0" applyFont="1" applyFill="1" applyBorder="1" applyAlignment="1">
      <alignment vertical="top" wrapText="1"/>
    </xf>
    <xf numFmtId="0" fontId="29" fillId="0" borderId="0" xfId="0" applyFont="1" applyAlignment="1">
      <alignment vertical="top" wrapText="1"/>
    </xf>
    <xf numFmtId="0" fontId="56" fillId="0" borderId="0" xfId="0" applyFont="1" applyAlignment="1">
      <alignment vertical="top" wrapText="1"/>
    </xf>
    <xf numFmtId="2" fontId="0" fillId="0" borderId="2" xfId="0" applyNumberFormat="1" applyBorder="1" applyAlignment="1">
      <alignment vertical="top" wrapText="1"/>
    </xf>
    <xf numFmtId="0" fontId="29" fillId="0" borderId="0" xfId="0" applyFont="1" applyAlignment="1">
      <alignment horizontal="left" vertical="top" wrapText="1"/>
    </xf>
    <xf numFmtId="0" fontId="56" fillId="0" borderId="0" xfId="0" applyFont="1" applyAlignment="1">
      <alignment vertical="top"/>
    </xf>
    <xf numFmtId="0" fontId="4" fillId="0" borderId="2" xfId="0" applyFont="1" applyBorder="1" applyAlignment="1">
      <alignment horizontal="left" vertical="top" wrapText="1"/>
    </xf>
    <xf numFmtId="0" fontId="0" fillId="0" borderId="0" xfId="0" applyAlignment="1">
      <alignment wrapText="1"/>
    </xf>
    <xf numFmtId="0" fontId="2" fillId="0" borderId="2" xfId="0" applyFont="1" applyBorder="1" applyAlignment="1">
      <alignment vertical="top" wrapText="1"/>
    </xf>
    <xf numFmtId="15" fontId="0" fillId="0" borderId="2" xfId="0" applyNumberFormat="1" applyBorder="1" applyAlignment="1">
      <alignment vertical="top" wrapText="1"/>
    </xf>
    <xf numFmtId="0" fontId="0" fillId="0" borderId="2" xfId="0" applyBorder="1" applyAlignment="1">
      <alignment horizontal="center" vertical="center" wrapText="1"/>
    </xf>
    <xf numFmtId="14" fontId="0" fillId="0" borderId="6" xfId="0" applyNumberFormat="1" applyBorder="1" applyAlignment="1">
      <alignment vertical="top" wrapText="1"/>
    </xf>
    <xf numFmtId="0" fontId="18" fillId="0" borderId="0" xfId="0" applyFont="1" applyAlignment="1">
      <alignment horizontal="center" vertical="top" wrapText="1"/>
    </xf>
    <xf numFmtId="0" fontId="18" fillId="0" borderId="2" xfId="0" applyFont="1" applyBorder="1" applyAlignment="1">
      <alignment horizontal="center" vertical="top" wrapText="1"/>
    </xf>
    <xf numFmtId="0" fontId="18" fillId="0" borderId="7" xfId="0" applyFont="1" applyBorder="1" applyAlignment="1">
      <alignment horizontal="center" vertical="top" wrapText="1"/>
    </xf>
    <xf numFmtId="0" fontId="18" fillId="0" borderId="5" xfId="0" applyFont="1" applyBorder="1" applyAlignment="1">
      <alignment horizontal="center" vertical="top" wrapText="1"/>
    </xf>
    <xf numFmtId="0" fontId="18" fillId="0" borderId="14" xfId="0" applyFont="1" applyBorder="1" applyAlignment="1">
      <alignment horizontal="center" vertical="top" wrapText="1"/>
    </xf>
    <xf numFmtId="15" fontId="0" fillId="0" borderId="6" xfId="0" applyNumberFormat="1" applyBorder="1" applyAlignment="1" applyProtection="1">
      <alignment vertical="top" wrapText="1"/>
      <protection locked="0"/>
    </xf>
    <xf numFmtId="0" fontId="2" fillId="0" borderId="7" xfId="0" applyFont="1" applyBorder="1" applyAlignment="1" applyProtection="1">
      <alignment vertical="top" wrapText="1"/>
      <protection locked="0"/>
    </xf>
    <xf numFmtId="15" fontId="44" fillId="0" borderId="6" xfId="0" applyNumberFormat="1" applyFont="1" applyBorder="1" applyAlignment="1" applyProtection="1">
      <alignment horizontal="center" vertical="top" wrapText="1"/>
      <protection locked="0"/>
    </xf>
    <xf numFmtId="0" fontId="44" fillId="0" borderId="2" xfId="0" applyFont="1" applyBorder="1" applyAlignment="1">
      <alignment horizontal="center" vertical="top" wrapText="1"/>
    </xf>
    <xf numFmtId="0" fontId="44" fillId="0" borderId="2" xfId="0" applyFont="1" applyBorder="1" applyAlignment="1">
      <alignment horizontal="center" vertical="top"/>
    </xf>
    <xf numFmtId="0" fontId="44" fillId="0" borderId="2" xfId="0" applyFont="1" applyBorder="1" applyAlignment="1" applyProtection="1">
      <alignment horizontal="center" vertical="top" wrapText="1"/>
      <protection locked="0"/>
    </xf>
    <xf numFmtId="15" fontId="44" fillId="0" borderId="2" xfId="0" applyNumberFormat="1" applyFont="1" applyBorder="1" applyAlignment="1" applyProtection="1">
      <alignment horizontal="center" vertical="top" wrapText="1"/>
      <protection locked="0"/>
    </xf>
    <xf numFmtId="0" fontId="44" fillId="0" borderId="7" xfId="0" applyFont="1" applyBorder="1" applyAlignment="1" applyProtection="1">
      <alignment horizontal="center" vertical="top" wrapText="1"/>
      <protection locked="0"/>
    </xf>
    <xf numFmtId="15" fontId="44" fillId="0" borderId="8" xfId="0" applyNumberFormat="1" applyFont="1" applyBorder="1" applyAlignment="1" applyProtection="1">
      <alignment horizontal="center" vertical="top" wrapText="1"/>
      <protection locked="0"/>
    </xf>
    <xf numFmtId="0" fontId="44" fillId="0" borderId="5" xfId="0" applyFont="1" applyBorder="1" applyAlignment="1">
      <alignment horizontal="center" vertical="top" wrapText="1"/>
    </xf>
    <xf numFmtId="0" fontId="2" fillId="0" borderId="5" xfId="0" applyFont="1" applyBorder="1" applyAlignment="1" applyProtection="1">
      <alignment horizontal="center" vertical="top" wrapText="1"/>
      <protection locked="0"/>
    </xf>
    <xf numFmtId="0" fontId="0" fillId="0" borderId="5" xfId="0" applyBorder="1" applyAlignment="1" applyProtection="1">
      <alignment vertical="top" wrapText="1"/>
      <protection locked="0"/>
    </xf>
    <xf numFmtId="0" fontId="44" fillId="0" borderId="5" xfId="0" applyFont="1" applyBorder="1" applyAlignment="1">
      <alignment horizontal="center" vertical="top"/>
    </xf>
    <xf numFmtId="0" fontId="44" fillId="0" borderId="5" xfId="0" applyFont="1" applyBorder="1" applyAlignment="1" applyProtection="1">
      <alignment horizontal="center" vertical="top" wrapText="1"/>
      <protection locked="0"/>
    </xf>
    <xf numFmtId="0" fontId="2" fillId="33" borderId="2" xfId="0" applyFont="1" applyFill="1" applyBorder="1" applyAlignment="1">
      <alignment horizontal="left" vertical="top" wrapText="1"/>
    </xf>
    <xf numFmtId="0" fontId="44" fillId="33" borderId="2" xfId="0" applyFont="1" applyFill="1" applyBorder="1" applyAlignment="1">
      <alignment horizontal="center" vertical="top" wrapText="1"/>
    </xf>
    <xf numFmtId="0" fontId="44" fillId="33" borderId="5" xfId="0" applyFont="1" applyFill="1" applyBorder="1" applyAlignment="1">
      <alignment horizontal="center" vertical="top" wrapText="1"/>
    </xf>
    <xf numFmtId="0" fontId="2" fillId="33" borderId="2" xfId="0" applyFont="1" applyFill="1" applyBorder="1" applyAlignment="1">
      <alignment vertical="top" wrapText="1"/>
    </xf>
    <xf numFmtId="0" fontId="0" fillId="0" borderId="2" xfId="0" applyBorder="1" applyAlignment="1" applyProtection="1">
      <alignment horizontal="center" vertical="center" wrapText="1"/>
      <protection locked="0"/>
    </xf>
    <xf numFmtId="0" fontId="18" fillId="0" borderId="0" xfId="0" applyFont="1"/>
    <xf numFmtId="0" fontId="57" fillId="44" borderId="2" xfId="7" applyFont="1" applyFill="1" applyBorder="1" applyAlignment="1">
      <alignment horizontal="center" vertical="center"/>
    </xf>
    <xf numFmtId="0" fontId="58" fillId="45" borderId="2" xfId="7" applyFont="1" applyFill="1" applyBorder="1" applyAlignment="1">
      <alignment horizontal="center" vertical="center"/>
    </xf>
    <xf numFmtId="49" fontId="18" fillId="0" borderId="2" xfId="6" applyNumberFormat="1" applyFont="1" applyBorder="1" applyAlignment="1">
      <alignment horizontal="left" wrapText="1"/>
    </xf>
    <xf numFmtId="0" fontId="20" fillId="43" borderId="2" xfId="6" applyFont="1" applyFill="1" applyBorder="1" applyAlignment="1">
      <alignment horizontal="center" vertical="center"/>
    </xf>
    <xf numFmtId="0" fontId="18" fillId="0" borderId="2" xfId="0" applyFont="1" applyBorder="1" applyAlignment="1">
      <alignment horizontal="center"/>
    </xf>
    <xf numFmtId="0" fontId="20" fillId="0" borderId="0" xfId="0" applyFont="1"/>
    <xf numFmtId="0" fontId="18" fillId="0" borderId="0" xfId="0" applyFont="1" applyAlignment="1">
      <alignment horizontal="left" vertical="top"/>
    </xf>
    <xf numFmtId="0" fontId="20" fillId="0" borderId="2" xfId="0" applyFont="1" applyBorder="1" applyAlignment="1">
      <alignment horizontal="center" vertical="top"/>
    </xf>
    <xf numFmtId="0" fontId="20" fillId="0" borderId="0" xfId="0" applyFont="1" applyAlignment="1">
      <alignment horizontal="left" vertical="center"/>
    </xf>
    <xf numFmtId="174" fontId="0" fillId="0" borderId="2" xfId="0" applyNumberFormat="1" applyBorder="1"/>
    <xf numFmtId="0" fontId="52" fillId="38" borderId="0" xfId="0" applyFont="1" applyFill="1" applyAlignment="1">
      <alignment horizontal="center" vertical="center" wrapText="1"/>
    </xf>
    <xf numFmtId="0" fontId="53" fillId="0" borderId="61" xfId="0" applyFont="1" applyBorder="1"/>
    <xf numFmtId="0" fontId="53" fillId="39" borderId="63" xfId="0" applyFont="1" applyFill="1" applyBorder="1"/>
    <xf numFmtId="0" fontId="53" fillId="39" borderId="0" xfId="0" applyFont="1" applyFill="1" applyAlignment="1">
      <alignment horizontal="left" vertical="center" indent="1"/>
    </xf>
    <xf numFmtId="0" fontId="0" fillId="33" borderId="2" xfId="0" applyFill="1" applyBorder="1" applyAlignment="1">
      <alignment wrapText="1"/>
    </xf>
    <xf numFmtId="0" fontId="2" fillId="0" borderId="2" xfId="0" applyFont="1" applyBorder="1" applyAlignment="1" applyProtection="1">
      <alignment wrapText="1"/>
      <protection locked="0"/>
    </xf>
    <xf numFmtId="0" fontId="2" fillId="0" borderId="2" xfId="0" applyFont="1" applyBorder="1" applyAlignment="1">
      <alignment horizontal="left" wrapText="1"/>
    </xf>
    <xf numFmtId="15" fontId="2" fillId="29" borderId="2" xfId="0" applyNumberFormat="1" applyFont="1" applyFill="1" applyBorder="1" applyAlignment="1" applyProtection="1">
      <alignment vertical="top" wrapText="1"/>
      <protection locked="0"/>
    </xf>
    <xf numFmtId="0" fontId="53" fillId="0" borderId="0" xfId="0" applyFont="1" applyAlignment="1"/>
    <xf numFmtId="0" fontId="53" fillId="39" borderId="0" xfId="0" applyFont="1" applyFill="1" applyAlignment="1">
      <alignment horizontal="left" vertical="center" indent="1"/>
    </xf>
    <xf numFmtId="0" fontId="55" fillId="39" borderId="0" xfId="0" applyFont="1" applyFill="1" applyAlignment="1">
      <alignment horizontal="left" vertical="center" indent="1"/>
    </xf>
    <xf numFmtId="15" fontId="55" fillId="39" borderId="0" xfId="0" applyNumberFormat="1" applyFont="1" applyFill="1" applyAlignment="1">
      <alignment horizontal="left" vertical="center" indent="1"/>
    </xf>
    <xf numFmtId="0" fontId="54" fillId="39" borderId="0" xfId="0" applyFont="1" applyFill="1" applyAlignment="1">
      <alignment horizontal="left" vertical="center" indent="1"/>
    </xf>
    <xf numFmtId="0" fontId="52" fillId="0" borderId="60" xfId="0" applyFont="1" applyBorder="1" applyAlignment="1">
      <alignment horizontal="center" vertical="center" wrapText="1"/>
    </xf>
    <xf numFmtId="0" fontId="52" fillId="0" borderId="45" xfId="0" applyFont="1" applyBorder="1" applyAlignment="1">
      <alignment horizontal="center" vertical="center" wrapText="1"/>
    </xf>
    <xf numFmtId="0" fontId="53" fillId="38" borderId="0" xfId="0" applyFont="1" applyFill="1" applyAlignment="1"/>
    <xf numFmtId="0" fontId="53" fillId="39" borderId="62" xfId="0" applyFont="1" applyFill="1" applyBorder="1" applyAlignment="1">
      <alignment horizontal="left" vertical="center" indent="1"/>
    </xf>
    <xf numFmtId="0" fontId="31" fillId="24" borderId="52" xfId="0" applyFont="1" applyFill="1" applyBorder="1" applyAlignment="1">
      <alignment horizontal="center"/>
    </xf>
    <xf numFmtId="0" fontId="27" fillId="24" borderId="48" xfId="0" applyFont="1" applyFill="1" applyBorder="1" applyAlignment="1">
      <alignment horizontal="center"/>
    </xf>
    <xf numFmtId="0" fontId="27" fillId="24" borderId="49" xfId="0" applyFont="1" applyFill="1" applyBorder="1" applyAlignment="1">
      <alignment horizontal="center"/>
    </xf>
    <xf numFmtId="0" fontId="32" fillId="0" borderId="22" xfId="0" applyFont="1" applyBorder="1" applyAlignment="1">
      <alignment horizontal="center" vertical="center"/>
    </xf>
    <xf numFmtId="0" fontId="32" fillId="0" borderId="0" xfId="0" applyFont="1" applyAlignment="1">
      <alignment horizontal="center" vertical="center"/>
    </xf>
    <xf numFmtId="0" fontId="32" fillId="0" borderId="24" xfId="0" applyFont="1" applyBorder="1" applyAlignment="1">
      <alignment horizontal="center" vertical="center"/>
    </xf>
    <xf numFmtId="0" fontId="2" fillId="0" borderId="29" xfId="0" applyFont="1" applyBorder="1" applyAlignment="1">
      <alignment horizontal="center" vertical="center"/>
    </xf>
    <xf numFmtId="0" fontId="2" fillId="0" borderId="37" xfId="0" applyFont="1" applyBorder="1" applyAlignment="1">
      <alignment horizontal="center" vertical="center"/>
    </xf>
    <xf numFmtId="0" fontId="2" fillId="0" borderId="41" xfId="0" applyFont="1" applyBorder="1" applyAlignment="1">
      <alignment horizontal="center" vertical="center"/>
    </xf>
    <xf numFmtId="0" fontId="33" fillId="0" borderId="12" xfId="0" applyFont="1" applyBorder="1" applyAlignment="1">
      <alignment horizontal="center" vertical="center"/>
    </xf>
    <xf numFmtId="0" fontId="33" fillId="0" borderId="13" xfId="0" applyFont="1" applyBorder="1" applyAlignment="1">
      <alignment horizontal="center" vertical="center"/>
    </xf>
    <xf numFmtId="0" fontId="2" fillId="0" borderId="12" xfId="0" applyFont="1" applyBorder="1" applyAlignment="1">
      <alignment horizontal="center" vertical="center" wrapText="1"/>
    </xf>
    <xf numFmtId="0" fontId="2" fillId="0" borderId="12" xfId="0" applyFont="1" applyBorder="1" applyAlignment="1">
      <alignment horizontal="center" vertical="center"/>
    </xf>
    <xf numFmtId="0" fontId="2" fillId="0" borderId="13" xfId="0" applyFont="1" applyBorder="1" applyAlignment="1">
      <alignment horizontal="center" vertical="center"/>
    </xf>
    <xf numFmtId="0" fontId="2" fillId="0" borderId="5" xfId="0" applyFont="1" applyBorder="1" applyAlignment="1">
      <alignment horizontal="center" vertical="center"/>
    </xf>
    <xf numFmtId="0" fontId="2" fillId="0" borderId="14" xfId="0" applyFont="1" applyBorder="1" applyAlignment="1">
      <alignment horizontal="center" vertical="center"/>
    </xf>
    <xf numFmtId="0" fontId="11" fillId="5" borderId="8" xfId="1" applyFont="1" applyFill="1" applyBorder="1" applyAlignment="1" applyProtection="1">
      <alignment horizontal="center" vertical="top"/>
    </xf>
    <xf numFmtId="0" fontId="11" fillId="5" borderId="14" xfId="1" applyFont="1" applyFill="1" applyBorder="1" applyAlignment="1" applyProtection="1">
      <alignment horizontal="center" vertical="top"/>
    </xf>
    <xf numFmtId="0" fontId="11" fillId="5" borderId="6" xfId="1" applyFont="1" applyFill="1" applyBorder="1" applyAlignment="1" applyProtection="1">
      <alignment horizontal="center" vertical="top"/>
    </xf>
    <xf numFmtId="0" fontId="11" fillId="5" borderId="7" xfId="1" applyFont="1" applyFill="1" applyBorder="1" applyAlignment="1" applyProtection="1">
      <alignment horizontal="center" vertical="top"/>
    </xf>
    <xf numFmtId="167" fontId="11" fillId="5" borderId="6" xfId="1" applyNumberFormat="1" applyFont="1" applyFill="1" applyBorder="1" applyAlignment="1" applyProtection="1">
      <alignment horizontal="center"/>
    </xf>
    <xf numFmtId="167" fontId="11" fillId="5" borderId="7" xfId="1" applyNumberFormat="1" applyFont="1" applyFill="1" applyBorder="1" applyAlignment="1" applyProtection="1">
      <alignment horizontal="center"/>
    </xf>
    <xf numFmtId="167" fontId="11" fillId="5" borderId="40" xfId="1" applyNumberFormat="1" applyFont="1" applyFill="1" applyBorder="1" applyAlignment="1" applyProtection="1">
      <alignment horizontal="center" vertical="top"/>
    </xf>
    <xf numFmtId="167" fontId="11" fillId="5" borderId="41" xfId="1" applyNumberFormat="1" applyFont="1" applyFill="1" applyBorder="1" applyAlignment="1" applyProtection="1">
      <alignment horizontal="center" vertical="top"/>
    </xf>
    <xf numFmtId="0" fontId="4" fillId="2" borderId="9" xfId="0" applyFont="1" applyFill="1" applyBorder="1" applyAlignment="1">
      <alignment horizontal="center" vertical="top"/>
    </xf>
    <xf numFmtId="0" fontId="4" fillId="2" borderId="13" xfId="0" applyFont="1" applyFill="1" applyBorder="1" applyAlignment="1">
      <alignment horizontal="center" vertical="top"/>
    </xf>
    <xf numFmtId="167" fontId="11" fillId="5" borderId="6" xfId="1" applyNumberFormat="1" applyFont="1" applyFill="1" applyBorder="1" applyAlignment="1" applyProtection="1">
      <alignment horizontal="center" vertical="top"/>
    </xf>
    <xf numFmtId="167" fontId="11" fillId="5" borderId="7" xfId="1" applyNumberFormat="1" applyFont="1" applyFill="1" applyBorder="1" applyAlignment="1" applyProtection="1">
      <alignment horizontal="center" vertical="top"/>
    </xf>
    <xf numFmtId="2" fontId="11" fillId="5" borderId="6" xfId="1" applyNumberFormat="1" applyFont="1" applyFill="1" applyBorder="1" applyAlignment="1" applyProtection="1">
      <alignment horizontal="center" vertical="top"/>
    </xf>
    <xf numFmtId="2" fontId="11" fillId="5" borderId="7" xfId="1" applyNumberFormat="1" applyFont="1" applyFill="1" applyBorder="1" applyAlignment="1" applyProtection="1">
      <alignment horizontal="center" vertical="top"/>
    </xf>
    <xf numFmtId="2" fontId="11" fillId="5" borderId="6" xfId="1" applyNumberFormat="1" applyFont="1" applyFill="1" applyBorder="1" applyAlignment="1" applyProtection="1">
      <alignment horizontal="center" vertical="top"/>
      <protection locked="0"/>
    </xf>
    <xf numFmtId="2" fontId="11" fillId="5" borderId="7" xfId="1" applyNumberFormat="1" applyFont="1" applyFill="1" applyBorder="1" applyAlignment="1" applyProtection="1">
      <alignment horizontal="center" vertical="top"/>
      <protection locked="0"/>
    </xf>
    <xf numFmtId="0" fontId="12" fillId="19" borderId="29" xfId="0" applyFont="1" applyFill="1" applyBorder="1" applyAlignment="1">
      <alignment horizontal="left" vertical="top" wrapText="1"/>
    </xf>
    <xf numFmtId="0" fontId="12" fillId="19" borderId="37" xfId="0" applyFont="1" applyFill="1" applyBorder="1" applyAlignment="1">
      <alignment horizontal="left" vertical="top" wrapText="1"/>
    </xf>
    <xf numFmtId="0" fontId="12" fillId="19" borderId="19" xfId="0" applyFont="1" applyFill="1" applyBorder="1" applyAlignment="1">
      <alignment horizontal="left" vertical="top" wrapText="1"/>
    </xf>
    <xf numFmtId="0" fontId="12" fillId="0" borderId="0" xfId="0" applyFont="1" applyAlignment="1">
      <alignment horizontal="center" vertical="top" wrapText="1"/>
    </xf>
    <xf numFmtId="0" fontId="12" fillId="0" borderId="38" xfId="0" applyFont="1" applyBorder="1" applyAlignment="1">
      <alignment horizontal="center" vertical="top" wrapText="1"/>
    </xf>
    <xf numFmtId="0" fontId="4" fillId="10" borderId="35" xfId="0" applyFont="1" applyFill="1" applyBorder="1" applyAlignment="1">
      <alignment horizontal="center" vertical="top" wrapText="1"/>
    </xf>
    <xf numFmtId="0" fontId="4" fillId="10" borderId="42" xfId="0" applyFont="1" applyFill="1" applyBorder="1" applyAlignment="1">
      <alignment horizontal="center" vertical="top" wrapText="1"/>
    </xf>
    <xf numFmtId="0" fontId="4" fillId="10" borderId="33" xfId="0" applyFont="1" applyFill="1" applyBorder="1" applyAlignment="1">
      <alignment horizontal="center" vertical="top" wrapText="1"/>
    </xf>
    <xf numFmtId="0" fontId="12" fillId="15" borderId="29" xfId="0" applyFont="1" applyFill="1" applyBorder="1" applyAlignment="1">
      <alignment horizontal="center" vertical="top" wrapText="1"/>
    </xf>
    <xf numFmtId="0" fontId="12" fillId="15" borderId="37" xfId="0" applyFont="1" applyFill="1" applyBorder="1" applyAlignment="1">
      <alignment horizontal="center" vertical="top" wrapText="1"/>
    </xf>
    <xf numFmtId="0" fontId="12" fillId="15" borderId="41" xfId="0" applyFont="1" applyFill="1" applyBorder="1" applyAlignment="1">
      <alignment horizontal="center" vertical="top" wrapText="1"/>
    </xf>
    <xf numFmtId="0" fontId="12" fillId="13" borderId="40" xfId="0" applyFont="1" applyFill="1" applyBorder="1" applyAlignment="1">
      <alignment horizontal="center" vertical="top" wrapText="1"/>
    </xf>
    <xf numFmtId="0" fontId="12" fillId="13" borderId="37" xfId="0" applyFont="1" applyFill="1" applyBorder="1" applyAlignment="1">
      <alignment horizontal="center" vertical="top" wrapText="1"/>
    </xf>
    <xf numFmtId="0" fontId="12" fillId="13" borderId="41" xfId="0" applyFont="1" applyFill="1" applyBorder="1" applyAlignment="1">
      <alignment horizontal="center" vertical="top" wrapText="1"/>
    </xf>
    <xf numFmtId="0" fontId="4" fillId="7" borderId="29" xfId="0" applyFont="1" applyFill="1" applyBorder="1" applyAlignment="1">
      <alignment horizontal="center" vertical="top" wrapText="1"/>
    </xf>
    <xf numFmtId="0" fontId="4" fillId="7" borderId="37" xfId="0" applyFont="1" applyFill="1" applyBorder="1" applyAlignment="1">
      <alignment horizontal="center" vertical="top" wrapText="1"/>
    </xf>
    <xf numFmtId="0" fontId="4" fillId="7" borderId="19" xfId="0" applyFont="1" applyFill="1" applyBorder="1" applyAlignment="1">
      <alignment horizontal="center" vertical="top" wrapText="1"/>
    </xf>
    <xf numFmtId="0" fontId="4" fillId="7" borderId="41" xfId="0" applyFont="1" applyFill="1" applyBorder="1" applyAlignment="1">
      <alignment horizontal="center" vertical="top" wrapText="1"/>
    </xf>
    <xf numFmtId="0" fontId="4" fillId="7" borderId="40" xfId="0" applyFont="1" applyFill="1" applyBorder="1" applyAlignment="1">
      <alignment horizontal="center" vertical="top" wrapText="1"/>
    </xf>
    <xf numFmtId="0" fontId="12" fillId="7" borderId="9" xfId="0" applyFont="1" applyFill="1" applyBorder="1" applyAlignment="1">
      <alignment horizontal="left" vertical="top" wrapText="1"/>
    </xf>
    <xf numFmtId="0" fontId="12" fillId="7" borderId="12" xfId="0" applyFont="1" applyFill="1" applyBorder="1" applyAlignment="1">
      <alignment horizontal="left" vertical="top" wrapText="1"/>
    </xf>
    <xf numFmtId="0" fontId="12" fillId="7" borderId="13" xfId="0" applyFont="1" applyFill="1" applyBorder="1" applyAlignment="1">
      <alignment horizontal="left" vertical="top" wrapText="1"/>
    </xf>
    <xf numFmtId="0" fontId="4" fillId="7" borderId="6" xfId="0" applyFont="1" applyFill="1" applyBorder="1" applyAlignment="1">
      <alignment horizontal="left" vertical="top" wrapText="1"/>
    </xf>
    <xf numFmtId="0" fontId="4" fillId="7" borderId="2" xfId="0" applyFont="1" applyFill="1" applyBorder="1" applyAlignment="1">
      <alignment horizontal="left" vertical="top" wrapText="1"/>
    </xf>
    <xf numFmtId="14" fontId="23" fillId="0" borderId="2" xfId="0" applyNumberFormat="1" applyFont="1" applyBorder="1" applyAlignment="1" applyProtection="1">
      <alignment horizontal="center" vertical="top" wrapText="1"/>
      <protection locked="0"/>
    </xf>
    <xf numFmtId="0" fontId="4" fillId="7" borderId="2" xfId="0" applyFont="1" applyFill="1" applyBorder="1" applyAlignment="1">
      <alignment horizontal="center" vertical="top" wrapText="1"/>
    </xf>
    <xf numFmtId="0" fontId="4" fillId="7" borderId="7" xfId="0" applyFont="1" applyFill="1" applyBorder="1" applyAlignment="1">
      <alignment horizontal="center" vertical="top" wrapText="1"/>
    </xf>
    <xf numFmtId="2" fontId="23" fillId="6" borderId="17" xfId="0" applyNumberFormat="1" applyFont="1" applyFill="1" applyBorder="1" applyAlignment="1">
      <alignment horizontal="center" vertical="top" wrapText="1"/>
    </xf>
    <xf numFmtId="2" fontId="23" fillId="6" borderId="43" xfId="0" applyNumberFormat="1" applyFont="1" applyFill="1" applyBorder="1" applyAlignment="1">
      <alignment horizontal="center" vertical="top" wrapText="1"/>
    </xf>
    <xf numFmtId="0" fontId="4" fillId="7" borderId="8" xfId="0" applyFont="1" applyFill="1" applyBorder="1" applyAlignment="1">
      <alignment horizontal="left" vertical="top" wrapText="1"/>
    </xf>
    <xf numFmtId="0" fontId="4" fillId="7" borderId="5" xfId="0" applyFont="1" applyFill="1" applyBorder="1" applyAlignment="1">
      <alignment horizontal="left" vertical="top" wrapText="1"/>
    </xf>
    <xf numFmtId="0" fontId="4" fillId="20" borderId="35" xfId="0" applyFont="1" applyFill="1" applyBorder="1" applyAlignment="1">
      <alignment horizontal="center" vertical="top" wrapText="1"/>
    </xf>
    <xf numFmtId="0" fontId="4" fillId="20" borderId="42" xfId="0" applyFont="1" applyFill="1" applyBorder="1" applyAlignment="1">
      <alignment horizontal="center" vertical="top" wrapText="1"/>
    </xf>
    <xf numFmtId="0" fontId="4" fillId="20" borderId="33" xfId="0" applyFont="1" applyFill="1" applyBorder="1" applyAlignment="1">
      <alignment horizontal="center" vertical="top" wrapText="1"/>
    </xf>
    <xf numFmtId="0" fontId="12" fillId="13" borderId="29" xfId="0" applyFont="1" applyFill="1" applyBorder="1" applyAlignment="1">
      <alignment horizontal="center" vertical="top" wrapText="1"/>
    </xf>
    <xf numFmtId="0" fontId="4" fillId="0" borderId="65" xfId="0" applyFont="1" applyBorder="1" applyAlignment="1">
      <alignment horizontal="center" vertical="top" wrapText="1"/>
    </xf>
    <xf numFmtId="0" fontId="4" fillId="0" borderId="38" xfId="0" applyFont="1" applyBorder="1" applyAlignment="1">
      <alignment horizontal="center" vertical="top" wrapText="1"/>
    </xf>
    <xf numFmtId="0" fontId="4" fillId="0" borderId="66" xfId="0" applyFont="1" applyBorder="1" applyAlignment="1">
      <alignment horizontal="center" vertical="top" wrapText="1"/>
    </xf>
    <xf numFmtId="0" fontId="4" fillId="0" borderId="23" xfId="0" applyFont="1" applyBorder="1" applyAlignment="1">
      <alignment horizontal="center" vertical="top" wrapText="1"/>
    </xf>
    <xf numFmtId="0" fontId="4" fillId="0" borderId="0" xfId="0" applyFont="1" applyAlignment="1">
      <alignment horizontal="center" vertical="top" wrapText="1"/>
    </xf>
    <xf numFmtId="0" fontId="4" fillId="0" borderId="67" xfId="0" applyFont="1" applyBorder="1" applyAlignment="1">
      <alignment horizontal="center" vertical="top" wrapText="1"/>
    </xf>
    <xf numFmtId="0" fontId="4" fillId="0" borderId="68" xfId="0" applyFont="1" applyBorder="1" applyAlignment="1">
      <alignment horizontal="center" vertical="top" wrapText="1"/>
    </xf>
    <xf numFmtId="0" fontId="4" fillId="0" borderId="64" xfId="0" applyFont="1" applyBorder="1" applyAlignment="1">
      <alignment horizontal="center" vertical="top" wrapText="1"/>
    </xf>
    <xf numFmtId="0" fontId="4" fillId="0" borderId="69" xfId="0" applyFont="1" applyBorder="1" applyAlignment="1">
      <alignment horizontal="center" vertical="top" wrapText="1"/>
    </xf>
    <xf numFmtId="0" fontId="12" fillId="13" borderId="22" xfId="0" applyFont="1" applyFill="1" applyBorder="1" applyAlignment="1">
      <alignment horizontal="center" vertical="top" wrapText="1"/>
    </xf>
    <xf numFmtId="0" fontId="12" fillId="13" borderId="0" xfId="0" applyFont="1" applyFill="1" applyAlignment="1">
      <alignment horizontal="center" vertical="top" wrapText="1"/>
    </xf>
    <xf numFmtId="0" fontId="22" fillId="7" borderId="29" xfId="0" applyFont="1" applyFill="1" applyBorder="1" applyAlignment="1">
      <alignment horizontal="left" vertical="top" wrapText="1"/>
    </xf>
    <xf numFmtId="0" fontId="22" fillId="7" borderId="19" xfId="0" applyFont="1" applyFill="1" applyBorder="1" applyAlignment="1">
      <alignment horizontal="left" vertical="top" wrapText="1"/>
    </xf>
    <xf numFmtId="0" fontId="0" fillId="0" borderId="38" xfId="0" applyBorder="1" applyAlignment="1">
      <alignment horizontal="center"/>
    </xf>
    <xf numFmtId="0" fontId="4" fillId="0" borderId="2" xfId="0" applyFont="1" applyBorder="1" applyAlignment="1">
      <alignment horizontal="center"/>
    </xf>
    <xf numFmtId="0" fontId="24" fillId="0" borderId="2" xfId="0" applyFont="1" applyBorder="1" applyAlignment="1">
      <alignment horizontal="left" vertical="top" wrapText="1"/>
    </xf>
    <xf numFmtId="0" fontId="4" fillId="15" borderId="2" xfId="0" applyFont="1" applyFill="1" applyBorder="1" applyAlignment="1">
      <alignment horizontal="center"/>
    </xf>
    <xf numFmtId="2" fontId="23" fillId="14" borderId="17" xfId="0" applyNumberFormat="1" applyFont="1" applyFill="1" applyBorder="1" applyAlignment="1">
      <alignment horizontal="center" vertical="top" wrapText="1"/>
    </xf>
    <xf numFmtId="2" fontId="23" fillId="14" borderId="20" xfId="0" applyNumberFormat="1" applyFont="1" applyFill="1" applyBorder="1" applyAlignment="1">
      <alignment horizontal="center" vertical="top" wrapText="1"/>
    </xf>
    <xf numFmtId="0" fontId="4" fillId="7" borderId="29" xfId="0" applyFont="1" applyFill="1" applyBorder="1" applyAlignment="1">
      <alignment horizontal="left" vertical="top" wrapText="1"/>
    </xf>
    <xf numFmtId="0" fontId="4" fillId="7" borderId="37" xfId="0" applyFont="1" applyFill="1" applyBorder="1" applyAlignment="1">
      <alignment horizontal="left" vertical="top" wrapText="1"/>
    </xf>
    <xf numFmtId="0" fontId="4" fillId="7" borderId="19" xfId="0" applyFont="1" applyFill="1" applyBorder="1" applyAlignment="1">
      <alignment horizontal="left" vertical="top" wrapText="1"/>
    </xf>
    <xf numFmtId="0" fontId="4" fillId="7" borderId="2" xfId="0" applyFont="1" applyFill="1" applyBorder="1" applyAlignment="1">
      <alignment horizontal="center" vertical="center"/>
    </xf>
    <xf numFmtId="0" fontId="4" fillId="12" borderId="2" xfId="0" applyFont="1" applyFill="1" applyBorder="1" applyAlignment="1">
      <alignment horizontal="center" vertical="center"/>
    </xf>
    <xf numFmtId="0" fontId="4" fillId="13" borderId="2" xfId="0" applyFont="1" applyFill="1" applyBorder="1" applyAlignment="1">
      <alignment horizontal="center" vertical="center"/>
    </xf>
    <xf numFmtId="0" fontId="4" fillId="7" borderId="2" xfId="0" applyFont="1" applyFill="1" applyBorder="1" applyAlignment="1">
      <alignment horizontal="center"/>
    </xf>
    <xf numFmtId="0" fontId="23" fillId="6" borderId="29" xfId="0" applyFont="1" applyFill="1" applyBorder="1" applyAlignment="1">
      <alignment horizontal="center"/>
    </xf>
    <xf numFmtId="0" fontId="23" fillId="6" borderId="37" xfId="0" applyFont="1" applyFill="1" applyBorder="1" applyAlignment="1">
      <alignment horizontal="center"/>
    </xf>
    <xf numFmtId="0" fontId="23" fillId="6" borderId="19" xfId="0" applyFont="1" applyFill="1" applyBorder="1" applyAlignment="1">
      <alignment horizontal="center"/>
    </xf>
    <xf numFmtId="0" fontId="23" fillId="0" borderId="29" xfId="0" applyFont="1" applyBorder="1" applyAlignment="1">
      <alignment horizontal="center"/>
    </xf>
    <xf numFmtId="0" fontId="23" fillId="0" borderId="19" xfId="0" applyFont="1" applyBorder="1" applyAlignment="1">
      <alignment horizontal="center"/>
    </xf>
    <xf numFmtId="0" fontId="23" fillId="0" borderId="2" xfId="0" applyFont="1" applyBorder="1" applyAlignment="1">
      <alignment horizontal="center"/>
    </xf>
    <xf numFmtId="0" fontId="21" fillId="21" borderId="2" xfId="0" applyFont="1" applyFill="1" applyBorder="1" applyAlignment="1">
      <alignment horizontal="center" vertical="top" wrapText="1"/>
    </xf>
    <xf numFmtId="0" fontId="21" fillId="21" borderId="29" xfId="0" applyFont="1" applyFill="1" applyBorder="1" applyAlignment="1">
      <alignment horizontal="center" vertical="top" wrapText="1"/>
    </xf>
    <xf numFmtId="0" fontId="21" fillId="21" borderId="37" xfId="0" applyFont="1" applyFill="1" applyBorder="1" applyAlignment="1">
      <alignment horizontal="center" vertical="top" wrapText="1"/>
    </xf>
    <xf numFmtId="0" fontId="21" fillId="21" borderId="19" xfId="0" applyFont="1" applyFill="1" applyBorder="1" applyAlignment="1">
      <alignment horizontal="center" vertical="top" wrapText="1"/>
    </xf>
    <xf numFmtId="0" fontId="4" fillId="22" borderId="2" xfId="0" applyFont="1" applyFill="1" applyBorder="1" applyAlignment="1">
      <alignment horizontal="center" vertical="center" wrapText="1"/>
    </xf>
    <xf numFmtId="0" fontId="4" fillId="12" borderId="2" xfId="0" applyFont="1" applyFill="1" applyBorder="1" applyAlignment="1">
      <alignment horizontal="center" vertical="center" wrapText="1"/>
    </xf>
    <xf numFmtId="0" fontId="4" fillId="13" borderId="2" xfId="0" applyFont="1" applyFill="1" applyBorder="1" applyAlignment="1">
      <alignment horizontal="center" vertical="center" wrapText="1"/>
    </xf>
    <xf numFmtId="0" fontId="4" fillId="22" borderId="29" xfId="0" applyFont="1" applyFill="1" applyBorder="1" applyAlignment="1">
      <alignment horizontal="center" vertical="top" wrapText="1"/>
    </xf>
    <xf numFmtId="0" fontId="4" fillId="22" borderId="37" xfId="0" applyFont="1" applyFill="1" applyBorder="1" applyAlignment="1">
      <alignment horizontal="center" vertical="top" wrapText="1"/>
    </xf>
    <xf numFmtId="0" fontId="4" fillId="22" borderId="19" xfId="0" applyFont="1" applyFill="1" applyBorder="1" applyAlignment="1">
      <alignment horizontal="center" vertical="top" wrapText="1"/>
    </xf>
    <xf numFmtId="0" fontId="4" fillId="12" borderId="2" xfId="0" applyFont="1" applyFill="1" applyBorder="1" applyAlignment="1">
      <alignment horizontal="center" vertical="top" wrapText="1"/>
    </xf>
    <xf numFmtId="0" fontId="4" fillId="13" borderId="2" xfId="0" applyFont="1" applyFill="1" applyBorder="1" applyAlignment="1">
      <alignment horizontal="center" vertical="top" wrapText="1"/>
    </xf>
    <xf numFmtId="0" fontId="22" fillId="11" borderId="2" xfId="0" applyFont="1" applyFill="1" applyBorder="1" applyAlignment="1">
      <alignment horizontal="center" vertical="center" wrapText="1"/>
    </xf>
    <xf numFmtId="0" fontId="4" fillId="11" borderId="2" xfId="0" applyFont="1" applyFill="1" applyBorder="1" applyAlignment="1">
      <alignment horizontal="center" vertical="center"/>
    </xf>
    <xf numFmtId="0" fontId="22" fillId="11" borderId="29" xfId="0" applyFont="1" applyFill="1" applyBorder="1" applyAlignment="1">
      <alignment horizontal="center" vertical="top" wrapText="1"/>
    </xf>
    <xf numFmtId="0" fontId="22" fillId="11" borderId="37" xfId="0" applyFont="1" applyFill="1" applyBorder="1" applyAlignment="1">
      <alignment horizontal="center" vertical="top" wrapText="1"/>
    </xf>
    <xf numFmtId="0" fontId="22" fillId="11" borderId="19" xfId="0" applyFont="1" applyFill="1" applyBorder="1" applyAlignment="1">
      <alignment horizontal="center" vertical="top" wrapText="1"/>
    </xf>
    <xf numFmtId="0" fontId="4" fillId="11" borderId="2" xfId="0" applyFont="1" applyFill="1" applyBorder="1" applyAlignment="1">
      <alignment horizontal="center"/>
    </xf>
    <xf numFmtId="0" fontId="2" fillId="7" borderId="2" xfId="0" applyFont="1" applyFill="1" applyBorder="1" applyAlignment="1">
      <alignment horizontal="left" vertical="top" wrapText="1"/>
    </xf>
    <xf numFmtId="0" fontId="23" fillId="6" borderId="2" xfId="0" applyFont="1" applyFill="1" applyBorder="1" applyAlignment="1">
      <alignment horizontal="center" vertical="center"/>
    </xf>
    <xf numFmtId="0" fontId="2" fillId="7" borderId="29" xfId="0" applyFont="1" applyFill="1" applyBorder="1" applyAlignment="1">
      <alignment horizontal="center" vertical="top" wrapText="1"/>
    </xf>
    <xf numFmtId="0" fontId="2" fillId="7" borderId="37" xfId="0" applyFont="1" applyFill="1" applyBorder="1" applyAlignment="1">
      <alignment horizontal="center" vertical="top" wrapText="1"/>
    </xf>
    <xf numFmtId="0" fontId="2" fillId="7" borderId="19" xfId="0" applyFont="1" applyFill="1" applyBorder="1" applyAlignment="1">
      <alignment horizontal="center" vertical="top" wrapText="1"/>
    </xf>
    <xf numFmtId="0" fontId="0" fillId="0" borderId="36" xfId="0" applyBorder="1" applyAlignment="1" applyProtection="1">
      <alignment horizontal="center" vertical="center" wrapText="1"/>
      <protection locked="0"/>
    </xf>
    <xf numFmtId="0" fontId="0" fillId="0" borderId="34" xfId="0" applyBorder="1" applyAlignment="1" applyProtection="1">
      <alignment horizontal="center" vertical="center" wrapText="1"/>
      <protection locked="0"/>
    </xf>
    <xf numFmtId="0" fontId="0" fillId="40" borderId="2" xfId="0" applyFill="1" applyBorder="1" applyAlignment="1">
      <alignment horizontal="center" vertical="top" wrapText="1"/>
    </xf>
    <xf numFmtId="0" fontId="0" fillId="41" borderId="2" xfId="0" applyFill="1" applyBorder="1" applyAlignment="1">
      <alignment horizontal="center" vertical="top" wrapText="1"/>
    </xf>
    <xf numFmtId="15" fontId="35" fillId="28" borderId="2" xfId="0" applyNumberFormat="1" applyFont="1" applyFill="1" applyBorder="1" applyAlignment="1">
      <alignment horizontal="center" vertical="center" wrapText="1"/>
    </xf>
    <xf numFmtId="2" fontId="35" fillId="28" borderId="2" xfId="0" applyNumberFormat="1" applyFont="1" applyFill="1" applyBorder="1" applyAlignment="1">
      <alignment horizontal="center" vertical="center" wrapText="1"/>
    </xf>
    <xf numFmtId="0" fontId="35" fillId="28" borderId="2" xfId="0" applyFont="1" applyFill="1" applyBorder="1" applyAlignment="1">
      <alignment horizontal="center" vertical="center" wrapText="1"/>
    </xf>
    <xf numFmtId="0" fontId="12" fillId="2" borderId="26" xfId="0" applyFont="1" applyFill="1" applyBorder="1" applyAlignment="1" applyProtection="1">
      <alignment horizontal="left" vertical="top" wrapText="1"/>
      <protection hidden="1"/>
    </xf>
    <xf numFmtId="0" fontId="18" fillId="0" borderId="2" xfId="0" applyFont="1" applyBorder="1" applyAlignment="1">
      <alignment horizontal="left" vertical="top" wrapText="1"/>
    </xf>
    <xf numFmtId="0" fontId="18" fillId="0" borderId="0" xfId="0" applyFont="1" applyAlignment="1">
      <alignment horizontal="left" vertical="top" wrapText="1"/>
    </xf>
    <xf numFmtId="0" fontId="18" fillId="0" borderId="0" xfId="0" applyFont="1" applyAlignment="1">
      <alignment horizontal="left" vertical="top"/>
    </xf>
    <xf numFmtId="0" fontId="57" fillId="42" borderId="2" xfId="6" applyFont="1" applyFill="1" applyBorder="1" applyAlignment="1">
      <alignment horizontal="center" vertical="center"/>
    </xf>
    <xf numFmtId="0" fontId="20" fillId="43" borderId="2" xfId="6" applyFont="1" applyFill="1" applyBorder="1" applyAlignment="1">
      <alignment horizontal="center" vertical="center"/>
    </xf>
    <xf numFmtId="0" fontId="57" fillId="42" borderId="64" xfId="6" applyFont="1" applyFill="1" applyBorder="1" applyAlignment="1">
      <alignment horizontal="center" vertical="center"/>
    </xf>
    <xf numFmtId="0" fontId="57" fillId="42" borderId="29" xfId="6" applyFont="1" applyFill="1" applyBorder="1" applyAlignment="1">
      <alignment horizontal="center" vertical="center"/>
    </xf>
    <xf numFmtId="0" fontId="57" fillId="42" borderId="19" xfId="6" applyFont="1" applyFill="1" applyBorder="1" applyAlignment="1">
      <alignment horizontal="center" vertical="center"/>
    </xf>
    <xf numFmtId="0" fontId="4" fillId="30" borderId="44" xfId="0" applyFont="1" applyFill="1" applyBorder="1" applyAlignment="1">
      <alignment horizontal="left" vertical="top"/>
    </xf>
    <xf numFmtId="0" fontId="4" fillId="30" borderId="45" xfId="0" applyFont="1" applyFill="1" applyBorder="1" applyAlignment="1">
      <alignment horizontal="left" vertical="top"/>
    </xf>
    <xf numFmtId="0" fontId="21" fillId="26" borderId="11" xfId="0" applyFont="1" applyFill="1" applyBorder="1" applyAlignment="1">
      <alignment horizontal="center" vertical="top" wrapText="1"/>
    </xf>
    <xf numFmtId="0" fontId="21" fillId="26" borderId="46" xfId="0" applyFont="1" applyFill="1" applyBorder="1" applyAlignment="1">
      <alignment horizontal="center" vertical="top" wrapText="1"/>
    </xf>
    <xf numFmtId="0" fontId="0" fillId="0" borderId="12" xfId="0" applyBorder="1" applyAlignment="1">
      <alignment horizontal="left" vertical="top" wrapText="1"/>
    </xf>
    <xf numFmtId="0" fontId="0" fillId="0" borderId="13" xfId="0" applyBorder="1" applyAlignment="1">
      <alignment horizontal="left" vertical="top" wrapText="1"/>
    </xf>
    <xf numFmtId="0" fontId="0" fillId="0" borderId="2" xfId="0" applyBorder="1" applyAlignment="1">
      <alignment horizontal="left" vertical="top" wrapText="1"/>
    </xf>
    <xf numFmtId="0" fontId="0" fillId="0" borderId="7" xfId="0" applyBorder="1" applyAlignment="1">
      <alignment horizontal="left" vertical="top" wrapText="1"/>
    </xf>
    <xf numFmtId="0" fontId="0" fillId="0" borderId="5" xfId="0" applyBorder="1" applyAlignment="1">
      <alignment horizontal="left" vertical="top" wrapText="1"/>
    </xf>
    <xf numFmtId="0" fontId="0" fillId="0" borderId="14" xfId="0" applyBorder="1" applyAlignment="1">
      <alignment horizontal="left" vertical="top" wrapText="1"/>
    </xf>
    <xf numFmtId="172" fontId="40" fillId="32" borderId="36" xfId="6" applyNumberFormat="1" applyFont="1" applyFill="1" applyBorder="1" applyAlignment="1">
      <alignment horizontal="left" vertical="top" wrapText="1"/>
    </xf>
    <xf numFmtId="172" fontId="40" fillId="32" borderId="50" xfId="6" applyNumberFormat="1" applyFont="1" applyFill="1" applyBorder="1" applyAlignment="1">
      <alignment horizontal="left" vertical="top" wrapText="1"/>
    </xf>
    <xf numFmtId="172" fontId="40" fillId="32" borderId="34" xfId="6" applyNumberFormat="1" applyFont="1" applyFill="1" applyBorder="1" applyAlignment="1">
      <alignment horizontal="left" vertical="top" wrapText="1"/>
    </xf>
    <xf numFmtId="0" fontId="48" fillId="35" borderId="0" xfId="6" applyFont="1" applyFill="1" applyAlignment="1">
      <alignment horizontal="center" vertical="center"/>
    </xf>
    <xf numFmtId="0" fontId="40" fillId="0" borderId="57" xfId="6" applyFont="1" applyBorder="1" applyAlignment="1">
      <alignment horizontal="left" vertical="center" wrapText="1" indent="1"/>
    </xf>
    <xf numFmtId="0" fontId="40" fillId="0" borderId="56" xfId="6" applyFont="1" applyBorder="1" applyAlignment="1">
      <alignment horizontal="left" vertical="center" wrapText="1" indent="1"/>
    </xf>
    <xf numFmtId="0" fontId="40" fillId="0" borderId="55" xfId="6" applyFont="1" applyBorder="1" applyAlignment="1">
      <alignment horizontal="left" vertical="center" wrapText="1" indent="1"/>
    </xf>
    <xf numFmtId="0" fontId="41" fillId="13" borderId="0" xfId="6" applyFont="1" applyFill="1" applyAlignment="1">
      <alignment horizontal="left" vertical="center" wrapText="1"/>
    </xf>
    <xf numFmtId="0" fontId="41" fillId="13" borderId="58" xfId="6" applyFont="1" applyFill="1" applyBorder="1" applyAlignment="1">
      <alignment horizontal="left" vertical="center" wrapText="1"/>
    </xf>
    <xf numFmtId="0" fontId="40" fillId="36" borderId="57" xfId="6" applyFont="1" applyFill="1" applyBorder="1" applyAlignment="1">
      <alignment horizontal="left" vertical="center" wrapText="1" indent="1"/>
    </xf>
    <xf numFmtId="0" fontId="40" fillId="36" borderId="56" xfId="6" applyFont="1" applyFill="1" applyBorder="1" applyAlignment="1">
      <alignment horizontal="left" vertical="center" wrapText="1" indent="1"/>
    </xf>
    <xf numFmtId="0" fontId="40" fillId="36" borderId="55" xfId="6" applyFont="1" applyFill="1" applyBorder="1" applyAlignment="1">
      <alignment horizontal="left" vertical="center" wrapText="1" indent="1"/>
    </xf>
    <xf numFmtId="0" fontId="2" fillId="33" borderId="10" xfId="5" applyFill="1" applyBorder="1" applyAlignment="1">
      <alignment horizontal="left" vertical="top" wrapText="1"/>
    </xf>
    <xf numFmtId="0" fontId="2" fillId="33" borderId="11" xfId="5" applyFill="1" applyBorder="1" applyAlignment="1">
      <alignment horizontal="left" vertical="top" wrapText="1"/>
    </xf>
    <xf numFmtId="172" fontId="40" fillId="0" borderId="53" xfId="6" applyNumberFormat="1" applyFont="1" applyBorder="1" applyAlignment="1">
      <alignment horizontal="center" vertical="center" wrapText="1"/>
    </xf>
    <xf numFmtId="0" fontId="41" fillId="13" borderId="29" xfId="6" applyFont="1" applyFill="1" applyBorder="1" applyAlignment="1">
      <alignment horizontal="left" vertical="center" wrapText="1"/>
    </xf>
    <xf numFmtId="0" fontId="41" fillId="13" borderId="19" xfId="6" applyFont="1" applyFill="1" applyBorder="1" applyAlignment="1">
      <alignment horizontal="left" vertical="center" wrapText="1"/>
    </xf>
    <xf numFmtId="0" fontId="41" fillId="35" borderId="0" xfId="6" applyFont="1" applyFill="1" applyAlignment="1">
      <alignment horizontal="left" vertical="center" wrapText="1"/>
    </xf>
    <xf numFmtId="0" fontId="2" fillId="0" borderId="36" xfId="6" applyFont="1" applyBorder="1" applyAlignment="1">
      <alignment horizontal="left" vertical="top"/>
    </xf>
    <xf numFmtId="0" fontId="2" fillId="0" borderId="50" xfId="6" applyFont="1" applyBorder="1" applyAlignment="1">
      <alignment horizontal="left" vertical="top"/>
    </xf>
    <xf numFmtId="0" fontId="2" fillId="0" borderId="34" xfId="6" applyFont="1" applyBorder="1" applyAlignment="1">
      <alignment horizontal="left" vertical="top"/>
    </xf>
    <xf numFmtId="0" fontId="49" fillId="0" borderId="2" xfId="5" applyFont="1" applyBorder="1" applyAlignment="1">
      <alignment horizontal="center"/>
    </xf>
    <xf numFmtId="0" fontId="2" fillId="0" borderId="29" xfId="5" applyBorder="1" applyAlignment="1">
      <alignment horizontal="left"/>
    </xf>
    <xf numFmtId="0" fontId="2" fillId="0" borderId="19" xfId="5" applyBorder="1" applyAlignment="1">
      <alignment horizontal="left"/>
    </xf>
  </cellXfs>
  <cellStyles count="8">
    <cellStyle name="Hyperlink" xfId="1" builtinId="8"/>
    <cellStyle name="Normal" xfId="0" builtinId="0"/>
    <cellStyle name="Normal 2" xfId="2" xr:uid="{00000000-0005-0000-0000-000002000000}"/>
    <cellStyle name="Normal 2 2" xfId="5" xr:uid="{00000000-0005-0000-0000-000003000000}"/>
    <cellStyle name="Normal 2 3" xfId="6" xr:uid="{00000000-0005-0000-0000-000004000000}"/>
    <cellStyle name="Normal 3 2" xfId="7" xr:uid="{00000000-0005-0000-0000-000005000000}"/>
    <cellStyle name="Normal_Planning" xfId="3" xr:uid="{00000000-0005-0000-0000-000006000000}"/>
    <cellStyle name="Normal_Start Date And End Date" xfId="4" xr:uid="{00000000-0005-0000-0000-000007000000}"/>
  </cellStyles>
  <dxfs count="216">
    <dxf>
      <fill>
        <patternFill>
          <bgColor indexed="42"/>
        </patternFill>
      </fill>
      <border>
        <left style="thin">
          <color indexed="64"/>
        </left>
        <right style="thin">
          <color indexed="64"/>
        </right>
        <top style="thin">
          <color indexed="64"/>
        </top>
        <bottom style="thin">
          <color indexed="64"/>
        </bottom>
      </border>
    </dxf>
    <dxf>
      <fill>
        <patternFill>
          <bgColor indexed="49"/>
        </patternFill>
      </fill>
      <border>
        <left style="thin">
          <color indexed="64"/>
        </left>
        <right style="thin">
          <color indexed="64"/>
        </right>
        <top style="thin">
          <color indexed="64"/>
        </top>
        <bottom style="thin">
          <color indexed="64"/>
        </bottom>
      </border>
    </dxf>
    <dxf>
      <fill>
        <patternFill>
          <bgColor indexed="49"/>
        </patternFill>
      </fill>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indexed="49"/>
        </patternFill>
      </fill>
      <border>
        <left style="thin">
          <color indexed="64"/>
        </left>
        <right style="thin">
          <color indexed="64"/>
        </right>
        <top style="thin">
          <color indexed="64"/>
        </top>
        <bottom style="thin">
          <color indexed="64"/>
        </bottom>
      </border>
    </dxf>
    <dxf>
      <fill>
        <patternFill>
          <bgColor indexed="49"/>
        </patternFill>
      </fill>
      <border>
        <left style="thin">
          <color indexed="64"/>
        </left>
        <right style="thin">
          <color indexed="64"/>
        </right>
        <top style="thin">
          <color indexed="64"/>
        </top>
        <bottom style="thin">
          <color indexed="64"/>
        </bottom>
      </border>
    </dxf>
    <dxf>
      <fill>
        <patternFill>
          <bgColor indexed="49"/>
        </patternFill>
      </fill>
      <border>
        <left style="thin">
          <color indexed="64"/>
        </left>
        <right style="thin">
          <color indexed="64"/>
        </right>
        <top style="thin">
          <color indexed="64"/>
        </top>
        <bottom style="thin">
          <color indexed="64"/>
        </bottom>
      </border>
    </dxf>
    <dxf>
      <fill>
        <patternFill>
          <bgColor indexed="49"/>
        </patternFill>
      </fill>
      <border>
        <left style="thin">
          <color indexed="64"/>
        </left>
        <right style="thin">
          <color indexed="64"/>
        </right>
        <top style="thin">
          <color indexed="64"/>
        </top>
        <bottom style="thin">
          <color indexed="64"/>
        </bottom>
      </border>
    </dxf>
    <dxf>
      <fill>
        <patternFill>
          <bgColor indexed="49"/>
        </patternFill>
      </fill>
      <border>
        <left style="thin">
          <color indexed="64"/>
        </left>
        <right style="thin">
          <color indexed="64"/>
        </right>
        <top style="thin">
          <color indexed="64"/>
        </top>
        <bottom style="thin">
          <color indexed="64"/>
        </bottom>
      </border>
    </dxf>
    <dxf>
      <fill>
        <patternFill>
          <bgColor indexed="49"/>
        </patternFill>
      </fill>
      <border>
        <left style="thin">
          <color indexed="64"/>
        </left>
        <right style="thin">
          <color indexed="64"/>
        </right>
        <top style="thin">
          <color indexed="64"/>
        </top>
        <bottom style="thin">
          <color indexed="64"/>
        </bottom>
      </border>
    </dxf>
    <dxf>
      <fill>
        <patternFill>
          <bgColor indexed="49"/>
        </patternFill>
      </fill>
      <border>
        <left style="thin">
          <color indexed="64"/>
        </left>
        <right style="thin">
          <color indexed="64"/>
        </right>
        <top style="thin">
          <color indexed="64"/>
        </top>
        <bottom style="thin">
          <color indexed="64"/>
        </bottom>
      </border>
    </dxf>
    <dxf>
      <fill>
        <patternFill>
          <bgColor indexed="49"/>
        </patternFill>
      </fill>
      <border>
        <left style="thin">
          <color indexed="64"/>
        </left>
        <right style="thin">
          <color indexed="64"/>
        </right>
        <top style="thin">
          <color indexed="64"/>
        </top>
        <bottom style="thin">
          <color indexed="64"/>
        </bottom>
      </border>
    </dxf>
    <dxf>
      <fill>
        <patternFill>
          <bgColor indexed="40"/>
        </patternFill>
      </fill>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indexed="49"/>
        </patternFill>
      </fill>
      <border>
        <left style="thin">
          <color indexed="64"/>
        </left>
        <right style="thin">
          <color indexed="64"/>
        </right>
        <top style="thin">
          <color indexed="64"/>
        </top>
        <bottom style="thin">
          <color indexed="64"/>
        </bottom>
      </border>
    </dxf>
    <dxf>
      <fill>
        <patternFill patternType="solid">
          <bgColor indexed="49"/>
        </patternFill>
      </fill>
      <border>
        <left style="thin">
          <color indexed="64"/>
        </left>
        <right style="thin">
          <color indexed="64"/>
        </right>
        <top style="thin">
          <color indexed="64"/>
        </top>
        <bottom style="thin">
          <color indexed="64"/>
        </bottom>
      </border>
    </dxf>
    <dxf>
      <fill>
        <patternFill patternType="solid">
          <bgColor indexed="49"/>
        </patternFill>
      </fill>
      <border>
        <left style="thin">
          <color indexed="64"/>
        </left>
        <right style="thin">
          <color indexed="64"/>
        </right>
        <top style="thin">
          <color indexed="64"/>
        </top>
        <bottom style="thin">
          <color indexed="64"/>
        </bottom>
      </border>
    </dxf>
    <dxf>
      <fill>
        <patternFill patternType="solid">
          <bgColor indexed="49"/>
        </patternFill>
      </fill>
      <border>
        <left style="thin">
          <color indexed="64"/>
        </left>
        <right style="thin">
          <color indexed="64"/>
        </right>
        <top style="thin">
          <color indexed="64"/>
        </top>
        <bottom style="thin">
          <color indexed="64"/>
        </bottom>
      </border>
    </dxf>
    <dxf>
      <fill>
        <patternFill patternType="solid">
          <bgColor indexed="49"/>
        </patternFill>
      </fill>
      <border>
        <left style="thin">
          <color indexed="64"/>
        </left>
        <right style="thin">
          <color indexed="64"/>
        </right>
        <top style="thin">
          <color indexed="64"/>
        </top>
        <bottom style="thin">
          <color indexed="64"/>
        </bottom>
      </border>
    </dxf>
    <dxf>
      <fill>
        <patternFill patternType="solid">
          <bgColor indexed="49"/>
        </patternFill>
      </fill>
      <border>
        <left style="thin">
          <color indexed="64"/>
        </left>
        <right style="thin">
          <color indexed="64"/>
        </right>
        <top style="thin">
          <color indexed="64"/>
        </top>
        <bottom style="thin">
          <color indexed="64"/>
        </bottom>
      </border>
    </dxf>
    <dxf>
      <fill>
        <patternFill patternType="solid">
          <bgColor indexed="49"/>
        </patternFill>
      </fill>
      <border>
        <left style="thin">
          <color indexed="64"/>
        </left>
        <right style="thin">
          <color indexed="64"/>
        </right>
        <top style="thin">
          <color indexed="64"/>
        </top>
        <bottom style="thin">
          <color indexed="64"/>
        </bottom>
      </border>
    </dxf>
    <dxf>
      <fill>
        <patternFill patternType="solid">
          <bgColor indexed="49"/>
        </patternFill>
      </fill>
      <border>
        <left style="thin">
          <color indexed="64"/>
        </left>
        <right style="thin">
          <color indexed="64"/>
        </right>
        <top style="thin">
          <color indexed="64"/>
        </top>
        <bottom style="thin">
          <color indexed="64"/>
        </bottom>
      </border>
    </dxf>
    <dxf>
      <fill>
        <patternFill patternType="solid">
          <bgColor indexed="49"/>
        </patternFill>
      </fill>
      <border>
        <left style="thin">
          <color indexed="64"/>
        </left>
        <right style="thin">
          <color indexed="64"/>
        </right>
        <top style="thin">
          <color indexed="64"/>
        </top>
        <bottom style="thin">
          <color indexed="64"/>
        </bottom>
      </border>
    </dxf>
    <dxf>
      <fill>
        <patternFill patternType="solid">
          <bgColor indexed="49"/>
        </patternFill>
      </fill>
      <border>
        <left style="thin">
          <color indexed="64"/>
        </left>
        <right style="thin">
          <color indexed="64"/>
        </right>
        <top style="thin">
          <color indexed="64"/>
        </top>
        <bottom style="thin">
          <color indexed="64"/>
        </bottom>
      </border>
    </dxf>
    <dxf>
      <fill>
        <patternFill patternType="solid">
          <bgColor indexed="49"/>
        </patternFill>
      </fill>
      <border>
        <left style="thin">
          <color indexed="64"/>
        </left>
        <right style="thin">
          <color indexed="64"/>
        </right>
        <top style="thin">
          <color indexed="64"/>
        </top>
        <bottom style="thin">
          <color indexed="64"/>
        </bottom>
      </border>
    </dxf>
    <dxf>
      <fill>
        <patternFill patternType="solid">
          <bgColor indexed="49"/>
        </patternFill>
      </fill>
      <border>
        <left style="thin">
          <color indexed="64"/>
        </left>
        <right style="thin">
          <color indexed="64"/>
        </right>
        <top style="thin">
          <color indexed="64"/>
        </top>
        <bottom style="thin">
          <color indexed="64"/>
        </bottom>
      </border>
    </dxf>
    <dxf>
      <fill>
        <patternFill patternType="solid">
          <bgColor indexed="49"/>
        </patternFill>
      </fill>
      <border>
        <left style="thin">
          <color indexed="64"/>
        </left>
        <right style="thin">
          <color indexed="64"/>
        </right>
        <top style="thin">
          <color indexed="64"/>
        </top>
        <bottom style="thin">
          <color indexed="64"/>
        </bottom>
      </border>
    </dxf>
    <dxf>
      <fill>
        <patternFill patternType="solid">
          <bgColor indexed="49"/>
        </patternFill>
      </fill>
      <border>
        <left style="thin">
          <color indexed="64"/>
        </left>
        <right style="thin">
          <color indexed="64"/>
        </right>
        <top style="thin">
          <color indexed="64"/>
        </top>
        <bottom style="thin">
          <color indexed="64"/>
        </bottom>
      </border>
    </dxf>
    <dxf>
      <fill>
        <patternFill patternType="solid">
          <bgColor indexed="49"/>
        </patternFill>
      </fill>
      <border>
        <left style="thin">
          <color indexed="64"/>
        </left>
        <right style="thin">
          <color indexed="64"/>
        </right>
        <top style="thin">
          <color indexed="64"/>
        </top>
        <bottom style="thin">
          <color indexed="64"/>
        </bottom>
      </border>
    </dxf>
    <dxf>
      <fill>
        <patternFill patternType="solid">
          <bgColor indexed="49"/>
        </patternFill>
      </fill>
      <border>
        <left style="thin">
          <color indexed="64"/>
        </left>
        <right style="thin">
          <color indexed="64"/>
        </right>
        <top style="thin">
          <color indexed="64"/>
        </top>
        <bottom style="thin">
          <color indexed="64"/>
        </bottom>
      </border>
    </dxf>
    <dxf>
      <fill>
        <patternFill patternType="solid">
          <bgColor indexed="49"/>
        </patternFill>
      </fill>
      <border>
        <left style="thin">
          <color indexed="64"/>
        </left>
        <right style="thin">
          <color indexed="64"/>
        </right>
        <top style="thin">
          <color indexed="64"/>
        </top>
        <bottom style="thin">
          <color indexed="64"/>
        </bottom>
      </border>
    </dxf>
    <dxf>
      <fill>
        <patternFill patternType="solid">
          <bgColor indexed="49"/>
        </patternFill>
      </fill>
      <border>
        <left style="thin">
          <color indexed="64"/>
        </left>
        <right style="thin">
          <color indexed="64"/>
        </right>
        <top style="thin">
          <color indexed="64"/>
        </top>
        <bottom style="thin">
          <color indexed="64"/>
        </bottom>
      </border>
    </dxf>
    <dxf>
      <fill>
        <patternFill patternType="solid">
          <bgColor indexed="49"/>
        </patternFill>
      </fill>
      <border>
        <left style="thin">
          <color indexed="64"/>
        </left>
        <right style="thin">
          <color indexed="64"/>
        </right>
        <top style="thin">
          <color indexed="64"/>
        </top>
        <bottom style="thin">
          <color indexed="64"/>
        </bottom>
      </border>
    </dxf>
    <dxf>
      <fill>
        <patternFill patternType="solid">
          <bgColor indexed="49"/>
        </patternFill>
      </fill>
      <border>
        <left style="thin">
          <color indexed="64"/>
        </left>
        <right style="thin">
          <color indexed="64"/>
        </right>
        <top style="thin">
          <color indexed="64"/>
        </top>
        <bottom style="thin">
          <color indexed="64"/>
        </bottom>
      </border>
    </dxf>
    <dxf>
      <fill>
        <patternFill patternType="solid">
          <bgColor indexed="49"/>
        </patternFill>
      </fill>
      <border>
        <left style="thin">
          <color indexed="64"/>
        </left>
        <right style="thin">
          <color indexed="64"/>
        </right>
        <top style="thin">
          <color indexed="64"/>
        </top>
        <bottom style="thin">
          <color indexed="64"/>
        </bottom>
      </border>
    </dxf>
    <dxf>
      <fill>
        <patternFill patternType="solid">
          <bgColor indexed="49"/>
        </patternFill>
      </fill>
      <border>
        <left style="thin">
          <color indexed="64"/>
        </left>
        <right style="thin">
          <color indexed="64"/>
        </right>
        <top style="thin">
          <color indexed="64"/>
        </top>
        <bottom style="thin">
          <color indexed="64"/>
        </bottom>
      </border>
    </dxf>
    <dxf>
      <fill>
        <patternFill patternType="solid">
          <bgColor indexed="49"/>
        </patternFill>
      </fill>
      <border>
        <left style="thin">
          <color indexed="64"/>
        </left>
        <right style="thin">
          <color indexed="64"/>
        </right>
        <top style="thin">
          <color indexed="64"/>
        </top>
        <bottom style="thin">
          <color indexed="64"/>
        </bottom>
      </border>
    </dxf>
    <dxf>
      <fill>
        <patternFill patternType="solid">
          <bgColor indexed="49"/>
        </patternFill>
      </fill>
      <border>
        <left style="thin">
          <color indexed="64"/>
        </left>
        <right style="thin">
          <color indexed="64"/>
        </right>
        <top style="thin">
          <color indexed="64"/>
        </top>
        <bottom style="thin">
          <color indexed="64"/>
        </bottom>
      </border>
    </dxf>
    <dxf>
      <fill>
        <patternFill>
          <bgColor indexed="47"/>
        </patternFill>
      </fill>
      <border>
        <left style="thin">
          <color indexed="64"/>
        </left>
        <right style="thin">
          <color indexed="64"/>
        </right>
        <top style="thin">
          <color indexed="64"/>
        </top>
        <bottom style="thin">
          <color indexed="64"/>
        </bottom>
      </border>
    </dxf>
    <dxf>
      <fill>
        <patternFill>
          <bgColor indexed="47"/>
        </patternFill>
      </fill>
      <border>
        <left style="thin">
          <color indexed="64"/>
        </left>
        <right style="thin">
          <color indexed="64"/>
        </right>
        <top style="thin">
          <color indexed="64"/>
        </top>
        <bottom style="thin">
          <color indexed="64"/>
        </bottom>
      </border>
    </dxf>
    <dxf>
      <fill>
        <patternFill>
          <bgColor indexed="47"/>
        </patternFill>
      </fill>
      <border>
        <left style="thin">
          <color indexed="64"/>
        </left>
        <right style="thin">
          <color indexed="64"/>
        </right>
        <top style="thin">
          <color indexed="64"/>
        </top>
        <bottom style="thin">
          <color indexed="64"/>
        </bottom>
      </border>
    </dxf>
    <dxf>
      <fill>
        <patternFill>
          <bgColor indexed="47"/>
        </patternFill>
      </fill>
      <border>
        <left style="thin">
          <color indexed="64"/>
        </left>
        <right style="thin">
          <color indexed="64"/>
        </right>
        <top style="thin">
          <color indexed="64"/>
        </top>
        <bottom style="thin">
          <color indexed="64"/>
        </bottom>
      </border>
    </dxf>
    <dxf>
      <fill>
        <patternFill>
          <bgColor indexed="47"/>
        </patternFill>
      </fill>
      <border>
        <left style="thin">
          <color indexed="64"/>
        </left>
        <right style="thin">
          <color indexed="64"/>
        </right>
        <top style="thin">
          <color indexed="64"/>
        </top>
        <bottom style="thin">
          <color indexed="64"/>
        </bottom>
      </border>
    </dxf>
    <dxf>
      <fill>
        <patternFill>
          <bgColor indexed="47"/>
        </patternFill>
      </fill>
      <border>
        <left style="thin">
          <color indexed="64"/>
        </left>
        <right style="thin">
          <color indexed="64"/>
        </right>
        <top style="thin">
          <color indexed="64"/>
        </top>
        <bottom style="thin">
          <color indexed="64"/>
        </bottom>
      </border>
    </dxf>
    <dxf>
      <fill>
        <patternFill>
          <bgColor indexed="47"/>
        </patternFill>
      </fill>
      <border>
        <left style="thin">
          <color indexed="64"/>
        </left>
        <right style="thin">
          <color indexed="64"/>
        </right>
        <top style="thin">
          <color indexed="64"/>
        </top>
        <bottom style="thin">
          <color indexed="64"/>
        </bottom>
      </border>
    </dxf>
    <dxf>
      <fill>
        <patternFill>
          <bgColor indexed="47"/>
        </patternFill>
      </fill>
      <border>
        <left style="thin">
          <color indexed="64"/>
        </left>
        <right style="thin">
          <color indexed="64"/>
        </right>
        <top style="thin">
          <color indexed="64"/>
        </top>
        <bottom style="thin">
          <color indexed="64"/>
        </bottom>
      </border>
    </dxf>
    <dxf>
      <fill>
        <patternFill>
          <bgColor indexed="47"/>
        </patternFill>
      </fill>
      <border>
        <left style="thin">
          <color indexed="64"/>
        </left>
        <right style="thin">
          <color indexed="64"/>
        </right>
        <top style="thin">
          <color indexed="64"/>
        </top>
        <bottom style="thin">
          <color indexed="64"/>
        </bottom>
      </border>
    </dxf>
    <dxf>
      <fill>
        <patternFill>
          <bgColor indexed="47"/>
        </patternFill>
      </fill>
      <border>
        <left style="thin">
          <color indexed="64"/>
        </left>
        <right style="thin">
          <color indexed="64"/>
        </right>
        <top style="thin">
          <color indexed="64"/>
        </top>
        <bottom style="thin">
          <color indexed="64"/>
        </bottom>
      </border>
    </dxf>
    <dxf>
      <fill>
        <patternFill>
          <bgColor indexed="47"/>
        </patternFill>
      </fill>
      <border>
        <left style="thin">
          <color indexed="64"/>
        </left>
        <right style="thin">
          <color indexed="64"/>
        </right>
        <top style="thin">
          <color indexed="64"/>
        </top>
        <bottom style="thin">
          <color indexed="64"/>
        </bottom>
      </border>
    </dxf>
    <dxf>
      <fill>
        <patternFill>
          <bgColor indexed="47"/>
        </patternFill>
      </fill>
      <border>
        <left style="thin">
          <color indexed="64"/>
        </left>
        <right style="thin">
          <color indexed="64"/>
        </right>
        <top style="thin">
          <color indexed="64"/>
        </top>
        <bottom style="thin">
          <color indexed="64"/>
        </bottom>
      </border>
    </dxf>
    <dxf>
      <fill>
        <patternFill>
          <bgColor indexed="47"/>
        </patternFill>
      </fill>
      <border>
        <left style="thin">
          <color indexed="64"/>
        </left>
        <right style="thin">
          <color indexed="64"/>
        </right>
        <top style="thin">
          <color indexed="64"/>
        </top>
        <bottom style="thin">
          <color indexed="64"/>
        </bottom>
      </border>
    </dxf>
    <dxf>
      <fill>
        <patternFill>
          <bgColor indexed="47"/>
        </patternFill>
      </fill>
      <border>
        <left style="thin">
          <color indexed="64"/>
        </left>
        <right style="thin">
          <color indexed="64"/>
        </right>
        <top style="thin">
          <color indexed="64"/>
        </top>
        <bottom style="thin">
          <color indexed="64"/>
        </bottom>
      </border>
    </dxf>
    <dxf>
      <fill>
        <patternFill>
          <bgColor indexed="47"/>
        </patternFill>
      </fill>
      <border>
        <left style="thin">
          <color indexed="64"/>
        </left>
        <right style="thin">
          <color indexed="64"/>
        </right>
        <top style="thin">
          <color indexed="64"/>
        </top>
        <bottom style="thin">
          <color indexed="64"/>
        </bottom>
      </border>
    </dxf>
    <dxf>
      <fill>
        <patternFill>
          <bgColor indexed="47"/>
        </patternFill>
      </fill>
      <border>
        <left style="thin">
          <color indexed="64"/>
        </left>
        <right style="thin">
          <color indexed="64"/>
        </right>
        <top style="thin">
          <color indexed="64"/>
        </top>
        <bottom style="thin">
          <color indexed="64"/>
        </bottom>
      </border>
    </dxf>
    <dxf>
      <fill>
        <patternFill>
          <bgColor indexed="47"/>
        </patternFill>
      </fill>
      <border>
        <left style="thin">
          <color indexed="64"/>
        </left>
        <right style="thin">
          <color indexed="64"/>
        </right>
        <top style="thin">
          <color indexed="64"/>
        </top>
        <bottom style="thin">
          <color indexed="64"/>
        </bottom>
      </border>
    </dxf>
    <dxf>
      <fill>
        <patternFill>
          <bgColor indexed="47"/>
        </patternFill>
      </fill>
      <border>
        <left style="thin">
          <color indexed="64"/>
        </left>
        <right style="thin">
          <color indexed="64"/>
        </right>
        <top style="thin">
          <color indexed="64"/>
        </top>
        <bottom style="thin">
          <color indexed="64"/>
        </bottom>
      </border>
    </dxf>
    <dxf>
      <fill>
        <patternFill>
          <bgColor indexed="47"/>
        </patternFill>
      </fill>
      <border>
        <left style="thin">
          <color indexed="64"/>
        </left>
        <right style="thin">
          <color indexed="64"/>
        </right>
        <top style="thin">
          <color indexed="64"/>
        </top>
        <bottom style="thin">
          <color indexed="64"/>
        </bottom>
      </border>
    </dxf>
    <dxf>
      <fill>
        <patternFill>
          <bgColor indexed="47"/>
        </patternFill>
      </fill>
      <border>
        <left style="thin">
          <color indexed="64"/>
        </left>
        <right style="thin">
          <color indexed="64"/>
        </right>
        <top style="thin">
          <color indexed="64"/>
        </top>
        <bottom style="thin">
          <color indexed="64"/>
        </bottom>
      </border>
    </dxf>
    <dxf>
      <fill>
        <patternFill>
          <bgColor indexed="47"/>
        </patternFill>
      </fill>
      <border>
        <left style="thin">
          <color indexed="64"/>
        </left>
        <right style="thin">
          <color indexed="64"/>
        </right>
        <top style="thin">
          <color indexed="64"/>
        </top>
        <bottom style="thin">
          <color indexed="64"/>
        </bottom>
      </border>
    </dxf>
    <dxf>
      <fill>
        <patternFill>
          <bgColor indexed="47"/>
        </patternFill>
      </fill>
      <border>
        <left style="thin">
          <color indexed="64"/>
        </left>
        <right style="thin">
          <color indexed="64"/>
        </right>
        <top style="thin">
          <color indexed="64"/>
        </top>
        <bottom style="thin">
          <color indexed="64"/>
        </bottom>
      </border>
    </dxf>
    <dxf>
      <fill>
        <patternFill>
          <bgColor indexed="47"/>
        </patternFill>
      </fill>
      <border>
        <left style="thin">
          <color indexed="64"/>
        </left>
        <right style="thin">
          <color indexed="64"/>
        </right>
        <top style="thin">
          <color indexed="64"/>
        </top>
        <bottom style="thin">
          <color indexed="64"/>
        </bottom>
      </border>
    </dxf>
    <dxf>
      <fill>
        <patternFill>
          <bgColor indexed="47"/>
        </patternFill>
      </fill>
      <border>
        <left style="thin">
          <color indexed="64"/>
        </left>
        <right style="thin">
          <color indexed="64"/>
        </right>
        <top style="thin">
          <color indexed="64"/>
        </top>
        <bottom style="thin">
          <color indexed="64"/>
        </bottom>
      </border>
    </dxf>
    <dxf>
      <fill>
        <patternFill>
          <bgColor indexed="47"/>
        </patternFill>
      </fill>
      <border>
        <left style="thin">
          <color indexed="64"/>
        </left>
        <right style="thin">
          <color indexed="64"/>
        </right>
        <top style="thin">
          <color indexed="64"/>
        </top>
        <bottom style="thin">
          <color indexed="64"/>
        </bottom>
      </border>
    </dxf>
    <dxf>
      <fill>
        <patternFill>
          <bgColor indexed="47"/>
        </patternFill>
      </fill>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indexed="26"/>
        </patternFill>
      </fill>
      <border>
        <left style="thin">
          <color indexed="64"/>
        </left>
        <right style="thin">
          <color indexed="64"/>
        </right>
        <top style="thin">
          <color indexed="64"/>
        </top>
        <bottom style="thin">
          <color indexed="64"/>
        </bottom>
      </border>
    </dxf>
    <dxf>
      <fill>
        <patternFill patternType="solid">
          <bgColor indexed="51"/>
        </patternFill>
      </fill>
      <border>
        <left style="thin">
          <color indexed="64"/>
        </left>
        <right style="thin">
          <color indexed="64"/>
        </right>
        <top style="thin">
          <color indexed="64"/>
        </top>
        <bottom style="thin">
          <color indexed="64"/>
        </bottom>
      </border>
    </dxf>
    <dxf>
      <fill>
        <patternFill patternType="solid">
          <bgColor indexed="26"/>
        </patternFill>
      </fill>
      <border>
        <left style="thin">
          <color indexed="64"/>
        </left>
        <right style="thin">
          <color indexed="64"/>
        </right>
        <top style="thin">
          <color indexed="64"/>
        </top>
        <bottom style="thin">
          <color indexed="64"/>
        </bottom>
      </border>
    </dxf>
    <dxf>
      <fill>
        <patternFill patternType="solid">
          <bgColor indexed="51"/>
        </patternFill>
      </fill>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indexed="40"/>
        </patternFill>
      </fill>
      <border>
        <left style="thin">
          <color indexed="64"/>
        </left>
        <right style="thin">
          <color indexed="64"/>
        </right>
        <top style="thin">
          <color indexed="64"/>
        </top>
        <bottom style="thin">
          <color indexed="64"/>
        </bottom>
      </border>
    </dxf>
    <dxf>
      <fill>
        <patternFill>
          <bgColor indexed="40"/>
        </patternFill>
      </fill>
      <border>
        <left style="thin">
          <color indexed="64"/>
        </left>
        <right style="thin">
          <color indexed="64"/>
        </right>
        <top style="thin">
          <color indexed="64"/>
        </top>
        <bottom style="thin">
          <color indexed="64"/>
        </bottom>
      </border>
    </dxf>
    <dxf>
      <fill>
        <patternFill>
          <bgColor indexed="40"/>
        </patternFill>
      </fill>
      <border>
        <left style="thin">
          <color indexed="64"/>
        </left>
        <right style="thin">
          <color indexed="64"/>
        </right>
        <top style="thin">
          <color indexed="64"/>
        </top>
        <bottom style="thin">
          <color indexed="64"/>
        </bottom>
      </border>
    </dxf>
    <dxf>
      <fill>
        <patternFill>
          <bgColor indexed="40"/>
        </patternFill>
      </fill>
      <border>
        <left style="thin">
          <color indexed="64"/>
        </left>
        <right style="thin">
          <color indexed="64"/>
        </right>
        <top style="thin">
          <color indexed="64"/>
        </top>
        <bottom style="thin">
          <color indexed="64"/>
        </bottom>
      </border>
    </dxf>
    <dxf>
      <fill>
        <patternFill>
          <bgColor indexed="40"/>
        </patternFill>
      </fill>
      <border>
        <left style="thin">
          <color indexed="64"/>
        </left>
        <right style="thin">
          <color indexed="64"/>
        </right>
        <top style="thin">
          <color indexed="64"/>
        </top>
        <bottom style="thin">
          <color indexed="64"/>
        </bottom>
      </border>
    </dxf>
    <dxf>
      <fill>
        <patternFill>
          <bgColor indexed="40"/>
        </patternFill>
      </fill>
      <border>
        <left style="thin">
          <color indexed="64"/>
        </left>
        <right style="thin">
          <color indexed="64"/>
        </right>
        <top style="thin">
          <color indexed="64"/>
        </top>
        <bottom style="thin">
          <color indexed="64"/>
        </bottom>
      </border>
    </dxf>
    <dxf>
      <fill>
        <patternFill>
          <bgColor indexed="40"/>
        </patternFill>
      </fill>
      <border>
        <left style="thin">
          <color indexed="64"/>
        </left>
        <right style="thin">
          <color indexed="64"/>
        </right>
        <top style="thin">
          <color indexed="64"/>
        </top>
        <bottom style="thin">
          <color indexed="64"/>
        </bottom>
      </border>
    </dxf>
    <dxf>
      <fill>
        <patternFill>
          <bgColor indexed="40"/>
        </patternFill>
      </fill>
      <border>
        <left style="thin">
          <color indexed="64"/>
        </left>
        <right style="thin">
          <color indexed="64"/>
        </right>
        <top style="thin">
          <color indexed="64"/>
        </top>
        <bottom style="thin">
          <color indexed="64"/>
        </bottom>
      </border>
    </dxf>
    <dxf>
      <fill>
        <patternFill>
          <bgColor indexed="40"/>
        </patternFill>
      </fill>
      <border>
        <left style="thin">
          <color indexed="64"/>
        </left>
        <right style="thin">
          <color indexed="64"/>
        </right>
        <top style="thin">
          <color indexed="64"/>
        </top>
        <bottom style="thin">
          <color indexed="64"/>
        </bottom>
      </border>
    </dxf>
    <dxf>
      <fill>
        <patternFill>
          <bgColor indexed="40"/>
        </patternFill>
      </fill>
      <border>
        <left style="thin">
          <color indexed="64"/>
        </left>
        <right style="thin">
          <color indexed="64"/>
        </right>
        <top style="thin">
          <color indexed="64"/>
        </top>
        <bottom style="thin">
          <color indexed="64"/>
        </bottom>
      </border>
    </dxf>
    <dxf>
      <fill>
        <patternFill>
          <bgColor indexed="40"/>
        </patternFill>
      </fill>
      <border>
        <left style="thin">
          <color indexed="64"/>
        </left>
        <right style="thin">
          <color indexed="64"/>
        </right>
        <top style="thin">
          <color indexed="64"/>
        </top>
        <bottom style="thin">
          <color indexed="64"/>
        </bottom>
      </border>
    </dxf>
    <dxf>
      <fill>
        <patternFill>
          <bgColor indexed="40"/>
        </patternFill>
      </fill>
      <border>
        <left style="thin">
          <color indexed="64"/>
        </left>
        <right style="thin">
          <color indexed="64"/>
        </right>
        <top style="thin">
          <color indexed="64"/>
        </top>
        <bottom style="thin">
          <color indexed="64"/>
        </bottom>
      </border>
    </dxf>
    <dxf>
      <fill>
        <patternFill>
          <bgColor indexed="40"/>
        </patternFill>
      </fill>
      <border>
        <left style="thin">
          <color indexed="64"/>
        </left>
        <right style="thin">
          <color indexed="64"/>
        </right>
        <top style="thin">
          <color indexed="64"/>
        </top>
        <bottom style="thin">
          <color indexed="64"/>
        </bottom>
      </border>
    </dxf>
    <dxf>
      <fill>
        <patternFill>
          <bgColor indexed="40"/>
        </patternFill>
      </fill>
      <border>
        <left style="thin">
          <color indexed="64"/>
        </left>
        <right style="thin">
          <color indexed="64"/>
        </right>
        <top style="thin">
          <color indexed="64"/>
        </top>
        <bottom style="thin">
          <color indexed="64"/>
        </bottom>
      </border>
    </dxf>
    <dxf>
      <fill>
        <patternFill>
          <bgColor indexed="40"/>
        </patternFill>
      </fill>
      <border>
        <left style="thin">
          <color indexed="64"/>
        </left>
        <right style="thin">
          <color indexed="64"/>
        </right>
        <top style="thin">
          <color indexed="64"/>
        </top>
        <bottom style="thin">
          <color indexed="64"/>
        </bottom>
      </border>
    </dxf>
    <dxf>
      <fill>
        <patternFill>
          <bgColor indexed="40"/>
        </patternFill>
      </fill>
      <border>
        <left style="thin">
          <color indexed="64"/>
        </left>
        <right style="thin">
          <color indexed="64"/>
        </right>
        <top style="thin">
          <color indexed="64"/>
        </top>
        <bottom style="thin">
          <color indexed="64"/>
        </bottom>
      </border>
    </dxf>
    <dxf>
      <fill>
        <patternFill>
          <bgColor indexed="40"/>
        </patternFill>
      </fill>
      <border>
        <left style="thin">
          <color indexed="64"/>
        </left>
        <right style="thin">
          <color indexed="64"/>
        </right>
        <top style="thin">
          <color indexed="64"/>
        </top>
        <bottom style="thin">
          <color indexed="64"/>
        </bottom>
      </border>
    </dxf>
    <dxf>
      <fill>
        <patternFill>
          <bgColor indexed="40"/>
        </patternFill>
      </fill>
      <border>
        <left style="thin">
          <color indexed="64"/>
        </left>
        <right style="thin">
          <color indexed="64"/>
        </right>
        <top style="thin">
          <color indexed="64"/>
        </top>
        <bottom style="thin">
          <color indexed="64"/>
        </bottom>
      </border>
    </dxf>
    <dxf>
      <fill>
        <patternFill>
          <bgColor indexed="40"/>
        </patternFill>
      </fill>
      <border>
        <left style="thin">
          <color indexed="64"/>
        </left>
        <right style="thin">
          <color indexed="64"/>
        </right>
        <top style="thin">
          <color indexed="64"/>
        </top>
        <bottom style="thin">
          <color indexed="64"/>
        </bottom>
      </border>
    </dxf>
    <dxf>
      <fill>
        <patternFill>
          <bgColor indexed="40"/>
        </patternFill>
      </fill>
      <border>
        <left style="thin">
          <color indexed="64"/>
        </left>
        <right style="thin">
          <color indexed="64"/>
        </right>
        <top style="thin">
          <color indexed="64"/>
        </top>
        <bottom style="thin">
          <color indexed="64"/>
        </bottom>
      </border>
    </dxf>
    <dxf>
      <fill>
        <patternFill>
          <bgColor indexed="40"/>
        </patternFill>
      </fill>
      <border>
        <left style="thin">
          <color indexed="64"/>
        </left>
        <right style="thin">
          <color indexed="64"/>
        </right>
        <top style="thin">
          <color indexed="64"/>
        </top>
        <bottom style="thin">
          <color indexed="64"/>
        </bottom>
      </border>
    </dxf>
    <dxf>
      <fill>
        <patternFill>
          <bgColor indexed="40"/>
        </patternFill>
      </fill>
      <border>
        <left style="thin">
          <color indexed="64"/>
        </left>
        <right style="thin">
          <color indexed="64"/>
        </right>
        <top style="thin">
          <color indexed="64"/>
        </top>
        <bottom style="thin">
          <color indexed="64"/>
        </bottom>
      </border>
    </dxf>
    <dxf>
      <fill>
        <patternFill>
          <bgColor indexed="40"/>
        </patternFill>
      </fill>
      <border>
        <left style="thin">
          <color indexed="64"/>
        </left>
        <right style="thin">
          <color indexed="64"/>
        </right>
        <top style="thin">
          <color indexed="64"/>
        </top>
        <bottom style="thin">
          <color indexed="64"/>
        </bottom>
      </border>
    </dxf>
    <dxf>
      <fill>
        <patternFill>
          <bgColor indexed="40"/>
        </patternFill>
      </fill>
      <border>
        <left style="thin">
          <color indexed="64"/>
        </left>
        <right style="thin">
          <color indexed="64"/>
        </right>
        <top style="thin">
          <color indexed="64"/>
        </top>
        <bottom style="thin">
          <color indexed="64"/>
        </bottom>
      </border>
    </dxf>
    <dxf>
      <fill>
        <patternFill>
          <bgColor indexed="40"/>
        </patternFill>
      </fill>
      <border>
        <left style="thin">
          <color indexed="64"/>
        </left>
        <right style="thin">
          <color indexed="64"/>
        </right>
        <top style="thin">
          <color indexed="64"/>
        </top>
        <bottom style="thin">
          <color indexed="64"/>
        </bottom>
      </border>
    </dxf>
    <dxf>
      <fill>
        <patternFill>
          <bgColor indexed="40"/>
        </patternFill>
      </fill>
      <border>
        <left style="thin">
          <color indexed="64"/>
        </left>
        <right style="thin">
          <color indexed="64"/>
        </right>
        <top style="thin">
          <color indexed="64"/>
        </top>
        <bottom style="thin">
          <color indexed="64"/>
        </bottom>
      </border>
    </dxf>
    <dxf>
      <fill>
        <patternFill>
          <bgColor indexed="40"/>
        </patternFill>
      </fill>
      <border>
        <left style="thin">
          <color indexed="64"/>
        </left>
        <right style="thin">
          <color indexed="64"/>
        </right>
        <top style="thin">
          <color indexed="64"/>
        </top>
        <bottom style="thin">
          <color indexed="64"/>
        </bottom>
      </border>
    </dxf>
    <dxf>
      <fill>
        <patternFill>
          <bgColor indexed="40"/>
        </patternFill>
      </fill>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indexed="26"/>
        </patternFill>
      </fill>
      <border>
        <left style="thin">
          <color indexed="64"/>
        </left>
        <right style="thin">
          <color indexed="64"/>
        </right>
        <top style="thin">
          <color indexed="64"/>
        </top>
        <bottom style="thin">
          <color indexed="64"/>
        </bottom>
      </border>
    </dxf>
    <dxf>
      <fill>
        <patternFill patternType="solid">
          <bgColor indexed="51"/>
        </patternFill>
      </fill>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indexed="26"/>
        </patternFill>
      </fill>
      <border>
        <left style="thin">
          <color indexed="64"/>
        </left>
        <right style="thin">
          <color indexed="64"/>
        </right>
        <top style="thin">
          <color indexed="64"/>
        </top>
        <bottom style="thin">
          <color indexed="64"/>
        </bottom>
      </border>
    </dxf>
    <dxf>
      <fill>
        <patternFill patternType="solid">
          <bgColor indexed="51"/>
        </patternFill>
      </fill>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indexed="51"/>
        </patternFill>
      </fill>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color rgb="FF9C0006"/>
      </font>
      <fill>
        <patternFill>
          <bgColor rgb="FFFFC7CE"/>
        </patternFill>
      </fill>
    </dxf>
    <dxf>
      <fill>
        <patternFill patternType="solid">
          <bgColor indexed="26"/>
        </patternFill>
      </fill>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indexed="26"/>
        </patternFill>
      </fill>
      <border>
        <left style="thin">
          <color indexed="64"/>
        </left>
        <right style="thin">
          <color indexed="64"/>
        </right>
        <top style="thin">
          <color indexed="64"/>
        </top>
        <bottom style="thin">
          <color indexed="64"/>
        </bottom>
      </border>
    </dxf>
    <dxf>
      <fill>
        <patternFill patternType="solid">
          <bgColor indexed="51"/>
        </patternFill>
      </fill>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indexed="26"/>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ont>
        <condense val="0"/>
        <extend val="0"/>
        <color indexed="10"/>
      </font>
    </dxf>
    <dxf>
      <font>
        <condense val="0"/>
        <extend val="0"/>
        <color indexed="10"/>
      </font>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ont>
        <strike val="0"/>
      </font>
    </dxf>
  </dxfs>
  <tableStyles count="0" defaultTableStyle="TableStyleMedium9" defaultPivotStyle="PivotStyleLight16"/>
  <colors>
    <mruColors>
      <color rgb="FFFFFF66"/>
      <color rgb="FF00FFCC"/>
      <color rgb="FFFFFFCC"/>
      <color rgb="FF66FFFF"/>
      <color rgb="FF00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3.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 Id="rId35" Type="http://schemas.openxmlformats.org/officeDocument/2006/relationships/customXml" Target="../customXml/item5.xml"/><Relationship Id="rId8" Type="http://schemas.openxmlformats.org/officeDocument/2006/relationships/worksheet" Target="worksheets/sheet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n-US"/>
              <a:t>Schedule Variation</a:t>
            </a:r>
          </a:p>
        </c:rich>
      </c:tx>
      <c:layout>
        <c:manualLayout>
          <c:xMode val="edge"/>
          <c:yMode val="edge"/>
          <c:x val="0.25872711496278572"/>
          <c:y val="1.6129032258064516E-2"/>
        </c:manualLayout>
      </c:layout>
      <c:overlay val="0"/>
      <c:spPr>
        <a:noFill/>
        <a:ln w="25400">
          <a:noFill/>
        </a:ln>
      </c:spPr>
    </c:title>
    <c:autoTitleDeleted val="0"/>
    <c:plotArea>
      <c:layout>
        <c:manualLayout>
          <c:layoutTarget val="inner"/>
          <c:xMode val="edge"/>
          <c:yMode val="edge"/>
          <c:x val="0.21765935580899862"/>
          <c:y val="0.27419398027025621"/>
          <c:w val="0.69404587040982579"/>
          <c:h val="0.26774235720507372"/>
        </c:manualLayout>
      </c:layout>
      <c:lineChart>
        <c:grouping val="standard"/>
        <c:varyColors val="0"/>
        <c:ser>
          <c:idx val="0"/>
          <c:order val="0"/>
          <c:tx>
            <c:strRef>
              <c:f>'Size, Schedule and Effort'!$K$2:$K$2</c:f>
              <c:strCache>
                <c:ptCount val="1"/>
                <c:pt idx="0">
                  <c:v>SVA (Cumulative)</c:v>
                </c:pt>
              </c:strCache>
            </c:strRef>
          </c:tx>
          <c:spPr>
            <a:ln w="12700">
              <a:solidFill>
                <a:srgbClr val="0000FF"/>
              </a:solidFill>
              <a:prstDash val="solid"/>
            </a:ln>
          </c:spPr>
          <c:marker>
            <c:symbol val="diamond"/>
            <c:size val="5"/>
            <c:spPr>
              <a:noFill/>
              <a:ln>
                <a:solidFill>
                  <a:srgbClr val="000080"/>
                </a:solidFill>
                <a:prstDash val="solid"/>
              </a:ln>
            </c:spPr>
          </c:marker>
          <c:cat>
            <c:strRef>
              <c:f>'Size, Schedule and Effort'!$A$3:$A$24</c:f>
              <c:strCache>
                <c:ptCount val="6"/>
                <c:pt idx="0">
                  <c:v>Analysis and Design-Rel1</c:v>
                </c:pt>
                <c:pt idx="1">
                  <c:v>Development and Unit Testing-Rel-1</c:v>
                </c:pt>
                <c:pt idx="2">
                  <c:v>System Integration Testing - Rel-1</c:v>
                </c:pt>
                <c:pt idx="3">
                  <c:v>User Acceptance Testing - Rel-1</c:v>
                </c:pt>
                <c:pt idx="4">
                  <c:v>Production Deployment Rel-1</c:v>
                </c:pt>
                <c:pt idx="5">
                  <c:v>Post Production Deployment Support - Rel-1</c:v>
                </c:pt>
              </c:strCache>
            </c:strRef>
          </c:cat>
          <c:val>
            <c:numRef>
              <c:f>'Size, Schedule and Effort'!$K$3:$K$24</c:f>
              <c:numCache>
                <c:formatCode>General</c:formatCode>
                <c:ptCount val="22"/>
                <c:pt idx="0">
                  <c:v>0</c:v>
                </c:pt>
                <c:pt idx="1">
                  <c:v>0</c:v>
                </c:pt>
                <c:pt idx="2">
                  <c:v>0</c:v>
                </c:pt>
                <c:pt idx="3">
                  <c:v>0</c:v>
                </c:pt>
                <c:pt idx="4">
                  <c:v>0</c:v>
                </c:pt>
                <c:pt idx="5">
                  <c:v>0</c:v>
                </c:pt>
                <c:pt idx="11">
                  <c:v>0</c:v>
                </c:pt>
                <c:pt idx="12">
                  <c:v>0</c:v>
                </c:pt>
                <c:pt idx="13">
                  <c:v>0</c:v>
                </c:pt>
                <c:pt idx="14">
                  <c:v>0</c:v>
                </c:pt>
                <c:pt idx="15">
                  <c:v>0</c:v>
                </c:pt>
                <c:pt idx="16">
                  <c:v>0</c:v>
                </c:pt>
                <c:pt idx="17">
                  <c:v>0</c:v>
                </c:pt>
                <c:pt idx="18">
                  <c:v>0</c:v>
                </c:pt>
                <c:pt idx="19">
                  <c:v>0</c:v>
                </c:pt>
                <c:pt idx="20">
                  <c:v>0</c:v>
                </c:pt>
                <c:pt idx="21">
                  <c:v>0</c:v>
                </c:pt>
              </c:numCache>
            </c:numRef>
          </c:val>
          <c:smooth val="0"/>
          <c:extLst>
            <c:ext xmlns:c16="http://schemas.microsoft.com/office/drawing/2014/chart" uri="{C3380CC4-5D6E-409C-BE32-E72D297353CC}">
              <c16:uniqueId val="{00000000-6D82-4B21-840F-E0818E009914}"/>
            </c:ext>
          </c:extLst>
        </c:ser>
        <c:ser>
          <c:idx val="1"/>
          <c:order val="1"/>
          <c:tx>
            <c:strRef>
              <c:f>'Size, Schedule and Effort'!$L$2</c:f>
              <c:strCache>
                <c:ptCount val="1"/>
                <c:pt idx="0">
                  <c:v>SVB (Cumulative)</c:v>
                </c:pt>
              </c:strCache>
            </c:strRef>
          </c:tx>
          <c:spPr>
            <a:ln w="12700">
              <a:solidFill>
                <a:srgbClr val="FF00FF"/>
              </a:solidFill>
              <a:prstDash val="lgDash"/>
            </a:ln>
          </c:spPr>
          <c:marker>
            <c:symbol val="square"/>
            <c:size val="5"/>
            <c:spPr>
              <a:noFill/>
              <a:ln>
                <a:solidFill>
                  <a:srgbClr val="FF00FF"/>
                </a:solidFill>
                <a:prstDash val="solid"/>
              </a:ln>
            </c:spPr>
          </c:marker>
          <c:cat>
            <c:strRef>
              <c:f>'Size, Schedule and Effort'!$A$3:$A$24</c:f>
              <c:strCache>
                <c:ptCount val="6"/>
                <c:pt idx="0">
                  <c:v>Analysis and Design-Rel1</c:v>
                </c:pt>
                <c:pt idx="1">
                  <c:v>Development and Unit Testing-Rel-1</c:v>
                </c:pt>
                <c:pt idx="2">
                  <c:v>System Integration Testing - Rel-1</c:v>
                </c:pt>
                <c:pt idx="3">
                  <c:v>User Acceptance Testing - Rel-1</c:v>
                </c:pt>
                <c:pt idx="4">
                  <c:v>Production Deployment Rel-1</c:v>
                </c:pt>
                <c:pt idx="5">
                  <c:v>Post Production Deployment Support - Rel-1</c:v>
                </c:pt>
              </c:strCache>
            </c:strRef>
          </c:cat>
          <c:val>
            <c:numRef>
              <c:f>'Size, Schedule and Effort'!$L$3:$L$24</c:f>
              <c:numCache>
                <c:formatCode>General</c:formatCode>
                <c:ptCount val="22"/>
                <c:pt idx="0">
                  <c:v>0</c:v>
                </c:pt>
                <c:pt idx="1">
                  <c:v>0</c:v>
                </c:pt>
                <c:pt idx="2">
                  <c:v>0</c:v>
                </c:pt>
                <c:pt idx="3">
                  <c:v>0</c:v>
                </c:pt>
                <c:pt idx="4">
                  <c:v>0</c:v>
                </c:pt>
                <c:pt idx="5">
                  <c:v>0</c:v>
                </c:pt>
                <c:pt idx="11">
                  <c:v>0</c:v>
                </c:pt>
                <c:pt idx="12">
                  <c:v>0</c:v>
                </c:pt>
                <c:pt idx="13">
                  <c:v>0</c:v>
                </c:pt>
                <c:pt idx="14">
                  <c:v>0</c:v>
                </c:pt>
                <c:pt idx="15">
                  <c:v>0</c:v>
                </c:pt>
                <c:pt idx="16">
                  <c:v>0</c:v>
                </c:pt>
                <c:pt idx="17">
                  <c:v>0</c:v>
                </c:pt>
                <c:pt idx="18">
                  <c:v>0</c:v>
                </c:pt>
                <c:pt idx="19">
                  <c:v>0</c:v>
                </c:pt>
                <c:pt idx="20">
                  <c:v>0</c:v>
                </c:pt>
                <c:pt idx="21">
                  <c:v>0</c:v>
                </c:pt>
              </c:numCache>
            </c:numRef>
          </c:val>
          <c:smooth val="0"/>
          <c:extLst>
            <c:ext xmlns:c16="http://schemas.microsoft.com/office/drawing/2014/chart" uri="{C3380CC4-5D6E-409C-BE32-E72D297353CC}">
              <c16:uniqueId val="{00000001-6D82-4B21-840F-E0818E009914}"/>
            </c:ext>
          </c:extLst>
        </c:ser>
        <c:ser>
          <c:idx val="2"/>
          <c:order val="2"/>
          <c:tx>
            <c:strRef>
              <c:f>'Size, Schedule and Effort'!$Z$2</c:f>
              <c:strCache>
                <c:ptCount val="1"/>
                <c:pt idx="0">
                  <c:v>Project SVA goal</c:v>
                </c:pt>
              </c:strCache>
            </c:strRef>
          </c:tx>
          <c:spPr>
            <a:ln w="12700">
              <a:solidFill>
                <a:srgbClr val="000000"/>
              </a:solidFill>
              <a:prstDash val="sysDash"/>
            </a:ln>
          </c:spPr>
          <c:marker>
            <c:symbol val="none"/>
          </c:marker>
          <c:cat>
            <c:strRef>
              <c:f>'Size, Schedule and Effort'!$A$3:$A$28</c:f>
              <c:strCache>
                <c:ptCount val="6"/>
                <c:pt idx="0">
                  <c:v>Analysis and Design-Rel1</c:v>
                </c:pt>
                <c:pt idx="1">
                  <c:v>Development and Unit Testing-Rel-1</c:v>
                </c:pt>
                <c:pt idx="2">
                  <c:v>System Integration Testing - Rel-1</c:v>
                </c:pt>
                <c:pt idx="3">
                  <c:v>User Acceptance Testing - Rel-1</c:v>
                </c:pt>
                <c:pt idx="4">
                  <c:v>Production Deployment Rel-1</c:v>
                </c:pt>
                <c:pt idx="5">
                  <c:v>Post Production Deployment Support - Rel-1</c:v>
                </c:pt>
              </c:strCache>
            </c:strRef>
          </c:cat>
          <c:val>
            <c:numRef>
              <c:f>'Size, Schedule and Effort'!$Z$3:$Z$28</c:f>
              <c:numCache>
                <c:formatCode>General</c:formatCode>
                <c:ptCount val="26"/>
                <c:pt idx="0">
                  <c:v>10</c:v>
                </c:pt>
                <c:pt idx="1">
                  <c:v>10</c:v>
                </c:pt>
                <c:pt idx="2">
                  <c:v>10</c:v>
                </c:pt>
                <c:pt idx="3">
                  <c:v>10</c:v>
                </c:pt>
                <c:pt idx="4">
                  <c:v>10</c:v>
                </c:pt>
                <c:pt idx="7">
                  <c:v>0</c:v>
                </c:pt>
                <c:pt idx="8">
                  <c:v>0</c:v>
                </c:pt>
                <c:pt idx="9">
                  <c:v>0</c:v>
                </c:pt>
                <c:pt idx="10">
                  <c:v>0</c:v>
                </c:pt>
                <c:pt idx="11">
                  <c:v>0</c:v>
                </c:pt>
                <c:pt idx="13">
                  <c:v>0</c:v>
                </c:pt>
                <c:pt idx="14">
                  <c:v>0</c:v>
                </c:pt>
                <c:pt idx="15">
                  <c:v>0</c:v>
                </c:pt>
                <c:pt idx="16">
                  <c:v>0</c:v>
                </c:pt>
                <c:pt idx="17">
                  <c:v>0</c:v>
                </c:pt>
                <c:pt idx="19">
                  <c:v>0</c:v>
                </c:pt>
                <c:pt idx="20">
                  <c:v>0</c:v>
                </c:pt>
                <c:pt idx="21">
                  <c:v>0</c:v>
                </c:pt>
                <c:pt idx="22">
                  <c:v>0</c:v>
                </c:pt>
                <c:pt idx="23">
                  <c:v>0</c:v>
                </c:pt>
                <c:pt idx="24">
                  <c:v>0</c:v>
                </c:pt>
                <c:pt idx="25">
                  <c:v>0</c:v>
                </c:pt>
              </c:numCache>
            </c:numRef>
          </c:val>
          <c:smooth val="0"/>
          <c:extLst>
            <c:ext xmlns:c16="http://schemas.microsoft.com/office/drawing/2014/chart" uri="{C3380CC4-5D6E-409C-BE32-E72D297353CC}">
              <c16:uniqueId val="{00000002-6D82-4B21-840F-E0818E009914}"/>
            </c:ext>
          </c:extLst>
        </c:ser>
        <c:ser>
          <c:idx val="3"/>
          <c:order val="3"/>
          <c:tx>
            <c:strRef>
              <c:f>'Size, Schedule and Effort'!$AA$2</c:f>
              <c:strCache>
                <c:ptCount val="1"/>
                <c:pt idx="0">
                  <c:v>Project SVB Goal</c:v>
                </c:pt>
              </c:strCache>
            </c:strRef>
          </c:tx>
          <c:spPr>
            <a:ln w="25400">
              <a:solidFill>
                <a:srgbClr val="FF8080"/>
              </a:solidFill>
              <a:prstDash val="sysDash"/>
            </a:ln>
          </c:spPr>
          <c:marker>
            <c:symbol val="none"/>
          </c:marker>
          <c:cat>
            <c:strRef>
              <c:f>'Size, Schedule and Effort'!$A$3:$A$28</c:f>
              <c:strCache>
                <c:ptCount val="6"/>
                <c:pt idx="0">
                  <c:v>Analysis and Design-Rel1</c:v>
                </c:pt>
                <c:pt idx="1">
                  <c:v>Development and Unit Testing-Rel-1</c:v>
                </c:pt>
                <c:pt idx="2">
                  <c:v>System Integration Testing - Rel-1</c:v>
                </c:pt>
                <c:pt idx="3">
                  <c:v>User Acceptance Testing - Rel-1</c:v>
                </c:pt>
                <c:pt idx="4">
                  <c:v>Production Deployment Rel-1</c:v>
                </c:pt>
                <c:pt idx="5">
                  <c:v>Post Production Deployment Support - Rel-1</c:v>
                </c:pt>
              </c:strCache>
            </c:strRef>
          </c:cat>
          <c:val>
            <c:numRef>
              <c:f>'Size, Schedule and Effort'!$AA$3:$AA$28</c:f>
              <c:numCache>
                <c:formatCode>General</c:formatCode>
                <c:ptCount val="26"/>
                <c:pt idx="0">
                  <c:v>5</c:v>
                </c:pt>
                <c:pt idx="1">
                  <c:v>5</c:v>
                </c:pt>
                <c:pt idx="2">
                  <c:v>5</c:v>
                </c:pt>
                <c:pt idx="3">
                  <c:v>5</c:v>
                </c:pt>
                <c:pt idx="4">
                  <c:v>5</c:v>
                </c:pt>
                <c:pt idx="7">
                  <c:v>0</c:v>
                </c:pt>
                <c:pt idx="8">
                  <c:v>0</c:v>
                </c:pt>
                <c:pt idx="9">
                  <c:v>0</c:v>
                </c:pt>
                <c:pt idx="10">
                  <c:v>0</c:v>
                </c:pt>
                <c:pt idx="11">
                  <c:v>0</c:v>
                </c:pt>
                <c:pt idx="13">
                  <c:v>0</c:v>
                </c:pt>
                <c:pt idx="14">
                  <c:v>0</c:v>
                </c:pt>
                <c:pt idx="15">
                  <c:v>0</c:v>
                </c:pt>
                <c:pt idx="16">
                  <c:v>0</c:v>
                </c:pt>
                <c:pt idx="17">
                  <c:v>0</c:v>
                </c:pt>
                <c:pt idx="19">
                  <c:v>0</c:v>
                </c:pt>
                <c:pt idx="20">
                  <c:v>0</c:v>
                </c:pt>
                <c:pt idx="21">
                  <c:v>0</c:v>
                </c:pt>
                <c:pt idx="22">
                  <c:v>0</c:v>
                </c:pt>
                <c:pt idx="23">
                  <c:v>0</c:v>
                </c:pt>
                <c:pt idx="24">
                  <c:v>0</c:v>
                </c:pt>
                <c:pt idx="25">
                  <c:v>0</c:v>
                </c:pt>
              </c:numCache>
            </c:numRef>
          </c:val>
          <c:smooth val="0"/>
          <c:extLst>
            <c:ext xmlns:c16="http://schemas.microsoft.com/office/drawing/2014/chart" uri="{C3380CC4-5D6E-409C-BE32-E72D297353CC}">
              <c16:uniqueId val="{00000003-6D82-4B21-840F-E0818E009914}"/>
            </c:ext>
          </c:extLst>
        </c:ser>
        <c:dLbls>
          <c:showLegendKey val="0"/>
          <c:showVal val="0"/>
          <c:showCatName val="0"/>
          <c:showSerName val="0"/>
          <c:showPercent val="0"/>
          <c:showBubbleSize val="0"/>
        </c:dLbls>
        <c:marker val="1"/>
        <c:smooth val="0"/>
        <c:axId val="91952256"/>
        <c:axId val="91954560"/>
      </c:lineChart>
      <c:catAx>
        <c:axId val="91952256"/>
        <c:scaling>
          <c:orientation val="minMax"/>
        </c:scaling>
        <c:delete val="0"/>
        <c:axPos val="b"/>
        <c:title>
          <c:tx>
            <c:rich>
              <a:bodyPr/>
              <a:lstStyle/>
              <a:p>
                <a:pPr>
                  <a:defRPr sz="1200" b="1" i="0" u="none" strike="noStrike" baseline="0">
                    <a:solidFill>
                      <a:srgbClr val="000000"/>
                    </a:solidFill>
                    <a:latin typeface="Arial"/>
                    <a:ea typeface="Arial"/>
                    <a:cs typeface="Arial"/>
                  </a:defRPr>
                </a:pPr>
                <a:r>
                  <a:rPr lang="en-US"/>
                  <a:t>Task</a:t>
                </a:r>
              </a:p>
            </c:rich>
          </c:tx>
          <c:layout>
            <c:manualLayout>
              <c:xMode val="edge"/>
              <c:yMode val="edge"/>
              <c:x val="0.52156100610626954"/>
              <c:y val="0.8806465159596985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5400000" vert="horz"/>
          <a:lstStyle/>
          <a:p>
            <a:pPr>
              <a:defRPr sz="950" b="0" i="0" u="none" strike="noStrike" baseline="0">
                <a:solidFill>
                  <a:srgbClr val="000000"/>
                </a:solidFill>
                <a:latin typeface="Arial"/>
                <a:ea typeface="Arial"/>
                <a:cs typeface="Arial"/>
              </a:defRPr>
            </a:pPr>
            <a:endParaRPr lang="en-US"/>
          </a:p>
        </c:txPr>
        <c:crossAx val="91954560"/>
        <c:crosses val="autoZero"/>
        <c:auto val="1"/>
        <c:lblAlgn val="ctr"/>
        <c:lblOffset val="100"/>
        <c:tickLblSkip val="2"/>
        <c:tickMarkSkip val="1"/>
        <c:noMultiLvlLbl val="0"/>
      </c:catAx>
      <c:valAx>
        <c:axId val="91954560"/>
        <c:scaling>
          <c:orientation val="minMax"/>
        </c:scaling>
        <c:delete val="0"/>
        <c:axPos val="l"/>
        <c:title>
          <c:tx>
            <c:rich>
              <a:bodyPr/>
              <a:lstStyle/>
              <a:p>
                <a:pPr>
                  <a:defRPr sz="1125" b="1" i="0" u="none" strike="noStrike" baseline="0">
                    <a:solidFill>
                      <a:srgbClr val="000000"/>
                    </a:solidFill>
                    <a:latin typeface="Arial"/>
                    <a:ea typeface="Arial"/>
                    <a:cs typeface="Arial"/>
                  </a:defRPr>
                </a:pPr>
                <a:r>
                  <a:rPr lang="en-US"/>
                  <a:t>% Variation</a:t>
                </a:r>
              </a:p>
            </c:rich>
          </c:tx>
          <c:layout>
            <c:manualLayout>
              <c:xMode val="edge"/>
              <c:yMode val="edge"/>
              <c:x val="1.0266940451745379E-2"/>
              <c:y val="0.2612906612479891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91952256"/>
        <c:crosses val="autoZero"/>
        <c:crossBetween val="between"/>
      </c:valAx>
      <c:spPr>
        <a:solidFill>
          <a:srgbClr val="FFFFFF"/>
        </a:solidFill>
        <a:ln w="25400">
          <a:noFill/>
        </a:ln>
      </c:spPr>
    </c:plotArea>
    <c:legend>
      <c:legendPos val="r"/>
      <c:layout>
        <c:manualLayout>
          <c:xMode val="edge"/>
          <c:yMode val="edge"/>
          <c:x val="0.65913822373845976"/>
          <c:y val="7.7419354838709681E-2"/>
          <c:w val="0.3059550410408145"/>
          <c:h val="0.26129066124798916"/>
        </c:manualLayout>
      </c:layout>
      <c:overlay val="0"/>
      <c:spPr>
        <a:noFill/>
        <a:ln w="25400">
          <a:noFill/>
        </a:ln>
      </c:spPr>
      <c:txPr>
        <a:bodyPr/>
        <a:lstStyle/>
        <a:p>
          <a:pPr>
            <a:defRPr sz="6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n-US"/>
              <a:t>Effort variation</a:t>
            </a:r>
          </a:p>
        </c:rich>
      </c:tx>
      <c:layout>
        <c:manualLayout>
          <c:xMode val="edge"/>
          <c:yMode val="edge"/>
          <c:x val="0.29327902240325865"/>
          <c:y val="2.2875816993464051E-2"/>
        </c:manualLayout>
      </c:layout>
      <c:overlay val="0"/>
      <c:spPr>
        <a:noFill/>
        <a:ln w="25400">
          <a:noFill/>
        </a:ln>
      </c:spPr>
    </c:title>
    <c:autoTitleDeleted val="0"/>
    <c:plotArea>
      <c:layout>
        <c:manualLayout>
          <c:layoutTarget val="inner"/>
          <c:xMode val="edge"/>
          <c:yMode val="edge"/>
          <c:x val="0.23421588594704684"/>
          <c:y val="0.26797471141847751"/>
          <c:w val="0.7372708757637475"/>
          <c:h val="0.28431463284643343"/>
        </c:manualLayout>
      </c:layout>
      <c:lineChart>
        <c:grouping val="standard"/>
        <c:varyColors val="0"/>
        <c:ser>
          <c:idx val="0"/>
          <c:order val="0"/>
          <c:tx>
            <c:strRef>
              <c:f>'Size, Schedule and Effort'!$M$2:$M$2</c:f>
              <c:strCache>
                <c:ptCount val="1"/>
                <c:pt idx="0">
                  <c:v>EVA (Cumulative)</c:v>
                </c:pt>
              </c:strCache>
            </c:strRef>
          </c:tx>
          <c:spPr>
            <a:ln w="12700">
              <a:solidFill>
                <a:srgbClr val="0000FF"/>
              </a:solidFill>
              <a:prstDash val="solid"/>
            </a:ln>
          </c:spPr>
          <c:marker>
            <c:symbol val="diamond"/>
            <c:size val="5"/>
            <c:spPr>
              <a:noFill/>
              <a:ln>
                <a:solidFill>
                  <a:srgbClr val="000080"/>
                </a:solidFill>
                <a:prstDash val="solid"/>
              </a:ln>
            </c:spPr>
          </c:marker>
          <c:cat>
            <c:strRef>
              <c:f>'Size, Schedule and Effort'!$A$3:$A$24</c:f>
              <c:strCache>
                <c:ptCount val="6"/>
                <c:pt idx="0">
                  <c:v>Analysis and Design-Rel1</c:v>
                </c:pt>
                <c:pt idx="1">
                  <c:v>Development and Unit Testing-Rel-1</c:v>
                </c:pt>
                <c:pt idx="2">
                  <c:v>System Integration Testing - Rel-1</c:v>
                </c:pt>
                <c:pt idx="3">
                  <c:v>User Acceptance Testing - Rel-1</c:v>
                </c:pt>
                <c:pt idx="4">
                  <c:v>Production Deployment Rel-1</c:v>
                </c:pt>
                <c:pt idx="5">
                  <c:v>Post Production Deployment Support - Rel-1</c:v>
                </c:pt>
              </c:strCache>
            </c:strRef>
          </c:cat>
          <c:val>
            <c:numRef>
              <c:f>'Size, Schedule and Effort'!$M$3:$M$24</c:f>
              <c:numCache>
                <c:formatCode>0.00\ "%"</c:formatCode>
                <c:ptCount val="22"/>
                <c:pt idx="0">
                  <c:v>0</c:v>
                </c:pt>
                <c:pt idx="1">
                  <c:v>0</c:v>
                </c:pt>
                <c:pt idx="2">
                  <c:v>0</c:v>
                </c:pt>
                <c:pt idx="3">
                  <c:v>0</c:v>
                </c:pt>
                <c:pt idx="4">
                  <c:v>0</c:v>
                </c:pt>
                <c:pt idx="5">
                  <c:v>0</c:v>
                </c:pt>
              </c:numCache>
            </c:numRef>
          </c:val>
          <c:smooth val="0"/>
          <c:extLst>
            <c:ext xmlns:c16="http://schemas.microsoft.com/office/drawing/2014/chart" uri="{C3380CC4-5D6E-409C-BE32-E72D297353CC}">
              <c16:uniqueId val="{00000000-BCAE-4D09-9CBA-EC6B07FAA02A}"/>
            </c:ext>
          </c:extLst>
        </c:ser>
        <c:ser>
          <c:idx val="1"/>
          <c:order val="1"/>
          <c:tx>
            <c:strRef>
              <c:f>'Size, Schedule and Effort'!$N$2</c:f>
              <c:strCache>
                <c:ptCount val="1"/>
                <c:pt idx="0">
                  <c:v>EVB (Cumulative)</c:v>
                </c:pt>
              </c:strCache>
            </c:strRef>
          </c:tx>
          <c:spPr>
            <a:ln w="12700">
              <a:solidFill>
                <a:srgbClr val="FF00FF"/>
              </a:solidFill>
              <a:prstDash val="solid"/>
            </a:ln>
          </c:spPr>
          <c:marker>
            <c:symbol val="square"/>
            <c:size val="5"/>
            <c:spPr>
              <a:solidFill>
                <a:srgbClr val="FF00FF"/>
              </a:solidFill>
              <a:ln>
                <a:solidFill>
                  <a:srgbClr val="FF00FF"/>
                </a:solidFill>
                <a:prstDash val="solid"/>
              </a:ln>
            </c:spPr>
          </c:marker>
          <c:cat>
            <c:strRef>
              <c:f>'Size, Schedule and Effort'!$A$3:$A$24</c:f>
              <c:strCache>
                <c:ptCount val="6"/>
                <c:pt idx="0">
                  <c:v>Analysis and Design-Rel1</c:v>
                </c:pt>
                <c:pt idx="1">
                  <c:v>Development and Unit Testing-Rel-1</c:v>
                </c:pt>
                <c:pt idx="2">
                  <c:v>System Integration Testing - Rel-1</c:v>
                </c:pt>
                <c:pt idx="3">
                  <c:v>User Acceptance Testing - Rel-1</c:v>
                </c:pt>
                <c:pt idx="4">
                  <c:v>Production Deployment Rel-1</c:v>
                </c:pt>
                <c:pt idx="5">
                  <c:v>Post Production Deployment Support - Rel-1</c:v>
                </c:pt>
              </c:strCache>
            </c:strRef>
          </c:cat>
          <c:val>
            <c:numRef>
              <c:f>'Size, Schedule and Effort'!$N$3:$N$24</c:f>
              <c:numCache>
                <c:formatCode>0.00\ "%"</c:formatCode>
                <c:ptCount val="22"/>
                <c:pt idx="0">
                  <c:v>0</c:v>
                </c:pt>
                <c:pt idx="1">
                  <c:v>0</c:v>
                </c:pt>
                <c:pt idx="2">
                  <c:v>0</c:v>
                </c:pt>
                <c:pt idx="3">
                  <c:v>0</c:v>
                </c:pt>
                <c:pt idx="4">
                  <c:v>0</c:v>
                </c:pt>
                <c:pt idx="5">
                  <c:v>0</c:v>
                </c:pt>
              </c:numCache>
            </c:numRef>
          </c:val>
          <c:smooth val="0"/>
          <c:extLst>
            <c:ext xmlns:c16="http://schemas.microsoft.com/office/drawing/2014/chart" uri="{C3380CC4-5D6E-409C-BE32-E72D297353CC}">
              <c16:uniqueId val="{00000001-BCAE-4D09-9CBA-EC6B07FAA02A}"/>
            </c:ext>
          </c:extLst>
        </c:ser>
        <c:ser>
          <c:idx val="2"/>
          <c:order val="2"/>
          <c:tx>
            <c:strRef>
              <c:f>'Size, Schedule and Effort'!$AB$2</c:f>
              <c:strCache>
                <c:ptCount val="1"/>
                <c:pt idx="0">
                  <c:v>Project EVA goal</c:v>
                </c:pt>
              </c:strCache>
            </c:strRef>
          </c:tx>
          <c:spPr>
            <a:ln w="12700">
              <a:solidFill>
                <a:srgbClr val="000000"/>
              </a:solidFill>
              <a:prstDash val="sysDash"/>
            </a:ln>
          </c:spPr>
          <c:marker>
            <c:symbol val="none"/>
          </c:marker>
          <c:cat>
            <c:strRef>
              <c:f>'Size, Schedule and Effort'!$A$3:$A$28</c:f>
              <c:strCache>
                <c:ptCount val="6"/>
                <c:pt idx="0">
                  <c:v>Analysis and Design-Rel1</c:v>
                </c:pt>
                <c:pt idx="1">
                  <c:v>Development and Unit Testing-Rel-1</c:v>
                </c:pt>
                <c:pt idx="2">
                  <c:v>System Integration Testing - Rel-1</c:v>
                </c:pt>
                <c:pt idx="3">
                  <c:v>User Acceptance Testing - Rel-1</c:v>
                </c:pt>
                <c:pt idx="4">
                  <c:v>Production Deployment Rel-1</c:v>
                </c:pt>
                <c:pt idx="5">
                  <c:v>Post Production Deployment Support - Rel-1</c:v>
                </c:pt>
              </c:strCache>
            </c:strRef>
          </c:cat>
          <c:val>
            <c:numRef>
              <c:f>'Size, Schedule and Effort'!$AB$3:$AB$28</c:f>
              <c:numCache>
                <c:formatCode>General</c:formatCode>
                <c:ptCount val="26"/>
                <c:pt idx="0">
                  <c:v>10</c:v>
                </c:pt>
                <c:pt idx="1">
                  <c:v>10</c:v>
                </c:pt>
                <c:pt idx="2">
                  <c:v>10</c:v>
                </c:pt>
                <c:pt idx="3">
                  <c:v>10</c:v>
                </c:pt>
                <c:pt idx="4">
                  <c:v>10</c:v>
                </c:pt>
                <c:pt idx="7">
                  <c:v>0</c:v>
                </c:pt>
                <c:pt idx="8">
                  <c:v>0</c:v>
                </c:pt>
                <c:pt idx="9">
                  <c:v>0</c:v>
                </c:pt>
                <c:pt idx="10">
                  <c:v>0</c:v>
                </c:pt>
                <c:pt idx="11">
                  <c:v>0</c:v>
                </c:pt>
                <c:pt idx="13">
                  <c:v>0</c:v>
                </c:pt>
                <c:pt idx="14">
                  <c:v>0</c:v>
                </c:pt>
                <c:pt idx="15">
                  <c:v>0</c:v>
                </c:pt>
                <c:pt idx="16">
                  <c:v>0</c:v>
                </c:pt>
                <c:pt idx="17">
                  <c:v>0</c:v>
                </c:pt>
                <c:pt idx="19">
                  <c:v>0</c:v>
                </c:pt>
                <c:pt idx="20">
                  <c:v>0</c:v>
                </c:pt>
                <c:pt idx="21">
                  <c:v>0</c:v>
                </c:pt>
                <c:pt idx="22">
                  <c:v>0</c:v>
                </c:pt>
                <c:pt idx="23">
                  <c:v>0</c:v>
                </c:pt>
                <c:pt idx="24">
                  <c:v>0</c:v>
                </c:pt>
                <c:pt idx="25">
                  <c:v>0</c:v>
                </c:pt>
              </c:numCache>
            </c:numRef>
          </c:val>
          <c:smooth val="0"/>
          <c:extLst>
            <c:ext xmlns:c16="http://schemas.microsoft.com/office/drawing/2014/chart" uri="{C3380CC4-5D6E-409C-BE32-E72D297353CC}">
              <c16:uniqueId val="{00000002-BCAE-4D09-9CBA-EC6B07FAA02A}"/>
            </c:ext>
          </c:extLst>
        </c:ser>
        <c:ser>
          <c:idx val="3"/>
          <c:order val="3"/>
          <c:tx>
            <c:strRef>
              <c:f>'Size, Schedule and Effort'!$AC$2</c:f>
              <c:strCache>
                <c:ptCount val="1"/>
                <c:pt idx="0">
                  <c:v>Project EVB Goal</c:v>
                </c:pt>
              </c:strCache>
            </c:strRef>
          </c:tx>
          <c:spPr>
            <a:ln w="25400">
              <a:solidFill>
                <a:srgbClr val="FF8080"/>
              </a:solidFill>
              <a:prstDash val="sysDash"/>
            </a:ln>
          </c:spPr>
          <c:marker>
            <c:symbol val="none"/>
          </c:marker>
          <c:cat>
            <c:strRef>
              <c:f>'Size, Schedule and Effort'!$A$3:$A$28</c:f>
              <c:strCache>
                <c:ptCount val="6"/>
                <c:pt idx="0">
                  <c:v>Analysis and Design-Rel1</c:v>
                </c:pt>
                <c:pt idx="1">
                  <c:v>Development and Unit Testing-Rel-1</c:v>
                </c:pt>
                <c:pt idx="2">
                  <c:v>System Integration Testing - Rel-1</c:v>
                </c:pt>
                <c:pt idx="3">
                  <c:v>User Acceptance Testing - Rel-1</c:v>
                </c:pt>
                <c:pt idx="4">
                  <c:v>Production Deployment Rel-1</c:v>
                </c:pt>
                <c:pt idx="5">
                  <c:v>Post Production Deployment Support - Rel-1</c:v>
                </c:pt>
              </c:strCache>
            </c:strRef>
          </c:cat>
          <c:val>
            <c:numRef>
              <c:f>'Size, Schedule and Effort'!$AC$3:$AC$28</c:f>
              <c:numCache>
                <c:formatCode>General</c:formatCode>
                <c:ptCount val="26"/>
                <c:pt idx="0">
                  <c:v>5</c:v>
                </c:pt>
                <c:pt idx="1">
                  <c:v>5</c:v>
                </c:pt>
                <c:pt idx="2">
                  <c:v>5</c:v>
                </c:pt>
                <c:pt idx="3">
                  <c:v>5</c:v>
                </c:pt>
                <c:pt idx="4">
                  <c:v>5</c:v>
                </c:pt>
                <c:pt idx="7">
                  <c:v>0</c:v>
                </c:pt>
                <c:pt idx="8">
                  <c:v>0</c:v>
                </c:pt>
                <c:pt idx="9">
                  <c:v>0</c:v>
                </c:pt>
                <c:pt idx="10">
                  <c:v>0</c:v>
                </c:pt>
                <c:pt idx="11">
                  <c:v>0</c:v>
                </c:pt>
                <c:pt idx="13">
                  <c:v>0</c:v>
                </c:pt>
                <c:pt idx="14">
                  <c:v>0</c:v>
                </c:pt>
                <c:pt idx="15">
                  <c:v>0</c:v>
                </c:pt>
                <c:pt idx="16">
                  <c:v>0</c:v>
                </c:pt>
                <c:pt idx="17">
                  <c:v>0</c:v>
                </c:pt>
                <c:pt idx="19">
                  <c:v>0</c:v>
                </c:pt>
                <c:pt idx="20">
                  <c:v>0</c:v>
                </c:pt>
                <c:pt idx="21">
                  <c:v>0</c:v>
                </c:pt>
                <c:pt idx="22">
                  <c:v>0</c:v>
                </c:pt>
                <c:pt idx="23">
                  <c:v>0</c:v>
                </c:pt>
                <c:pt idx="24">
                  <c:v>0</c:v>
                </c:pt>
                <c:pt idx="25">
                  <c:v>0</c:v>
                </c:pt>
              </c:numCache>
            </c:numRef>
          </c:val>
          <c:smooth val="0"/>
          <c:extLst>
            <c:ext xmlns:c16="http://schemas.microsoft.com/office/drawing/2014/chart" uri="{C3380CC4-5D6E-409C-BE32-E72D297353CC}">
              <c16:uniqueId val="{00000003-BCAE-4D09-9CBA-EC6B07FAA02A}"/>
            </c:ext>
          </c:extLst>
        </c:ser>
        <c:dLbls>
          <c:showLegendKey val="0"/>
          <c:showVal val="0"/>
          <c:showCatName val="0"/>
          <c:showSerName val="0"/>
          <c:showPercent val="0"/>
          <c:showBubbleSize val="0"/>
        </c:dLbls>
        <c:marker val="1"/>
        <c:smooth val="0"/>
        <c:axId val="86781312"/>
        <c:axId val="86783488"/>
      </c:lineChart>
      <c:catAx>
        <c:axId val="86781312"/>
        <c:scaling>
          <c:orientation val="minMax"/>
        </c:scaling>
        <c:delete val="0"/>
        <c:axPos val="b"/>
        <c:title>
          <c:tx>
            <c:rich>
              <a:bodyPr/>
              <a:lstStyle/>
              <a:p>
                <a:pPr>
                  <a:defRPr sz="1200" b="1" i="0" u="none" strike="noStrike" baseline="0">
                    <a:solidFill>
                      <a:srgbClr val="000000"/>
                    </a:solidFill>
                    <a:latin typeface="Arial"/>
                    <a:ea typeface="Arial"/>
                    <a:cs typeface="Arial"/>
                  </a:defRPr>
                </a:pPr>
                <a:r>
                  <a:rPr lang="en-US"/>
                  <a:t>Tasks</a:t>
                </a:r>
              </a:p>
            </c:rich>
          </c:tx>
          <c:layout>
            <c:manualLayout>
              <c:xMode val="edge"/>
              <c:yMode val="edge"/>
              <c:x val="0.54989816700610994"/>
              <c:y val="0.8921596075000428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5400000" vert="horz"/>
          <a:lstStyle/>
          <a:p>
            <a:pPr>
              <a:defRPr sz="1200" b="0" i="0" u="none" strike="noStrike" baseline="0">
                <a:solidFill>
                  <a:srgbClr val="000000"/>
                </a:solidFill>
                <a:latin typeface="Arial"/>
                <a:ea typeface="Arial"/>
                <a:cs typeface="Arial"/>
              </a:defRPr>
            </a:pPr>
            <a:endParaRPr lang="en-US"/>
          </a:p>
        </c:txPr>
        <c:crossAx val="86783488"/>
        <c:crosses val="autoZero"/>
        <c:auto val="1"/>
        <c:lblAlgn val="ctr"/>
        <c:lblOffset val="100"/>
        <c:tickLblSkip val="3"/>
        <c:tickMarkSkip val="1"/>
        <c:noMultiLvlLbl val="0"/>
      </c:catAx>
      <c:valAx>
        <c:axId val="86783488"/>
        <c:scaling>
          <c:orientation val="minMax"/>
        </c:scaling>
        <c:delete val="0"/>
        <c:axPos val="l"/>
        <c:title>
          <c:tx>
            <c:rich>
              <a:bodyPr/>
              <a:lstStyle/>
              <a:p>
                <a:pPr>
                  <a:defRPr sz="1100" b="1" i="0" u="none" strike="noStrike" baseline="0">
                    <a:solidFill>
                      <a:srgbClr val="000000"/>
                    </a:solidFill>
                    <a:latin typeface="Arial"/>
                    <a:ea typeface="Arial"/>
                    <a:cs typeface="Arial"/>
                  </a:defRPr>
                </a:pPr>
                <a:r>
                  <a:rPr lang="en-US"/>
                  <a:t>% Variation</a:t>
                </a:r>
              </a:p>
            </c:rich>
          </c:tx>
          <c:layout>
            <c:manualLayout>
              <c:xMode val="edge"/>
              <c:yMode val="edge"/>
              <c:x val="2.6476578411405296E-2"/>
              <c:y val="0.27451083320467295"/>
            </c:manualLayout>
          </c:layout>
          <c:overlay val="0"/>
          <c:spPr>
            <a:noFill/>
            <a:ln w="25400">
              <a:noFill/>
            </a:ln>
          </c:spPr>
        </c:title>
        <c:numFmt formatCode="0.0\ &quot;%&quot;"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86781312"/>
        <c:crosses val="autoZero"/>
        <c:crossBetween val="between"/>
      </c:valAx>
      <c:spPr>
        <a:solidFill>
          <a:srgbClr val="FFFFFF"/>
        </a:solidFill>
        <a:ln w="25400">
          <a:noFill/>
        </a:ln>
      </c:spPr>
    </c:plotArea>
    <c:legend>
      <c:legendPos val="r"/>
      <c:layout>
        <c:manualLayout>
          <c:xMode val="edge"/>
          <c:yMode val="edge"/>
          <c:x val="0.62321792260692466"/>
          <c:y val="6.8627794074760259E-2"/>
          <c:w val="0.3075356415478615"/>
          <c:h val="0.25163467311684079"/>
        </c:manualLayout>
      </c:layout>
      <c:overlay val="0"/>
      <c:spPr>
        <a:noFill/>
        <a:ln w="25400">
          <a:noFill/>
        </a:ln>
      </c:spPr>
      <c:txPr>
        <a:bodyPr/>
        <a:lstStyle/>
        <a:p>
          <a:pPr>
            <a:defRPr sz="57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92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n-US"/>
              <a:t>Productivity tracking</a:t>
            </a:r>
          </a:p>
        </c:rich>
      </c:tx>
      <c:layout>
        <c:manualLayout>
          <c:xMode val="edge"/>
          <c:yMode val="edge"/>
          <c:x val="0.27402927394811843"/>
          <c:y val="2.2653721682847898E-2"/>
        </c:manualLayout>
      </c:layout>
      <c:overlay val="0"/>
      <c:spPr>
        <a:noFill/>
        <a:ln w="25400">
          <a:noFill/>
        </a:ln>
      </c:spPr>
    </c:title>
    <c:autoTitleDeleted val="0"/>
    <c:plotArea>
      <c:layout>
        <c:manualLayout>
          <c:layoutTarget val="inner"/>
          <c:xMode val="edge"/>
          <c:yMode val="edge"/>
          <c:x val="0.1492845517089878"/>
          <c:y val="0.31068059352432725"/>
          <c:w val="0.7218828322366122"/>
          <c:h val="0.2233016765956102"/>
        </c:manualLayout>
      </c:layout>
      <c:barChart>
        <c:barDir val="col"/>
        <c:grouping val="clustered"/>
        <c:varyColors val="0"/>
        <c:ser>
          <c:idx val="0"/>
          <c:order val="0"/>
          <c:tx>
            <c:strRef>
              <c:f>'Size, Schedule and Effort'!$AD$2</c:f>
              <c:strCache>
                <c:ptCount val="1"/>
                <c:pt idx="0">
                  <c:v>Actual Vs. Initial estimated productivity</c:v>
                </c:pt>
              </c:strCache>
            </c:strRef>
          </c:tx>
          <c:spPr>
            <a:solidFill>
              <a:srgbClr val="00CCFF"/>
            </a:solidFill>
            <a:ln w="12700">
              <a:solidFill>
                <a:srgbClr val="000000"/>
              </a:solidFill>
              <a:prstDash val="solid"/>
            </a:ln>
          </c:spPr>
          <c:invertIfNegative val="0"/>
          <c:cat>
            <c:strRef>
              <c:f>'Size, Schedule and Effort'!$A$3:$A$28</c:f>
              <c:strCache>
                <c:ptCount val="6"/>
                <c:pt idx="0">
                  <c:v>Analysis and Design-Rel1</c:v>
                </c:pt>
                <c:pt idx="1">
                  <c:v>Development and Unit Testing-Rel-1</c:v>
                </c:pt>
                <c:pt idx="2">
                  <c:v>System Integration Testing - Rel-1</c:v>
                </c:pt>
                <c:pt idx="3">
                  <c:v>User Acceptance Testing - Rel-1</c:v>
                </c:pt>
                <c:pt idx="4">
                  <c:v>Production Deployment Rel-1</c:v>
                </c:pt>
                <c:pt idx="5">
                  <c:v>Post Production Deployment Support - Rel-1</c:v>
                </c:pt>
              </c:strCache>
            </c:strRef>
          </c:cat>
          <c:val>
            <c:numRef>
              <c:f>'Size, Schedule and Effort'!$AD$3:$AD$28</c:f>
              <c:numCache>
                <c:formatCode>General</c:formatCode>
                <c:ptCount val="26"/>
                <c:pt idx="0">
                  <c:v>0</c:v>
                </c:pt>
                <c:pt idx="1">
                  <c:v>0</c:v>
                </c:pt>
                <c:pt idx="2">
                  <c:v>0</c:v>
                </c:pt>
                <c:pt idx="3">
                  <c:v>0</c:v>
                </c:pt>
                <c:pt idx="4">
                  <c:v>0</c:v>
                </c:pt>
                <c:pt idx="5">
                  <c:v>0</c:v>
                </c:pt>
                <c:pt idx="7">
                  <c:v>0</c:v>
                </c:pt>
                <c:pt idx="8">
                  <c:v>0</c:v>
                </c:pt>
                <c:pt idx="9">
                  <c:v>0</c:v>
                </c:pt>
                <c:pt idx="10">
                  <c:v>0</c:v>
                </c:pt>
                <c:pt idx="11">
                  <c:v>0</c:v>
                </c:pt>
                <c:pt idx="13">
                  <c:v>0</c:v>
                </c:pt>
                <c:pt idx="14">
                  <c:v>0</c:v>
                </c:pt>
                <c:pt idx="15">
                  <c:v>0</c:v>
                </c:pt>
                <c:pt idx="16">
                  <c:v>0</c:v>
                </c:pt>
                <c:pt idx="17">
                  <c:v>0</c:v>
                </c:pt>
                <c:pt idx="19">
                  <c:v>0</c:v>
                </c:pt>
                <c:pt idx="20">
                  <c:v>0</c:v>
                </c:pt>
                <c:pt idx="21">
                  <c:v>0</c:v>
                </c:pt>
                <c:pt idx="22">
                  <c:v>0</c:v>
                </c:pt>
                <c:pt idx="23">
                  <c:v>0</c:v>
                </c:pt>
                <c:pt idx="24">
                  <c:v>0</c:v>
                </c:pt>
                <c:pt idx="25">
                  <c:v>0</c:v>
                </c:pt>
              </c:numCache>
            </c:numRef>
          </c:val>
          <c:extLst>
            <c:ext xmlns:c16="http://schemas.microsoft.com/office/drawing/2014/chart" uri="{C3380CC4-5D6E-409C-BE32-E72D297353CC}">
              <c16:uniqueId val="{00000000-49EF-4306-ACEE-A68E9E414DAD}"/>
            </c:ext>
          </c:extLst>
        </c:ser>
        <c:ser>
          <c:idx val="1"/>
          <c:order val="1"/>
          <c:tx>
            <c:strRef>
              <c:f>'Size, Schedule and Effort'!$AE$2</c:f>
              <c:strCache>
                <c:ptCount val="1"/>
                <c:pt idx="0">
                  <c:v>Actual Vs. Last baselined productivity</c:v>
                </c:pt>
              </c:strCache>
            </c:strRef>
          </c:tx>
          <c:spPr>
            <a:solidFill>
              <a:srgbClr val="CCFFCC"/>
            </a:solidFill>
            <a:ln w="12700">
              <a:solidFill>
                <a:srgbClr val="000000"/>
              </a:solidFill>
              <a:prstDash val="solid"/>
            </a:ln>
          </c:spPr>
          <c:invertIfNegative val="0"/>
          <c:cat>
            <c:strRef>
              <c:f>'Size, Schedule and Effort'!$A$3:$A$28</c:f>
              <c:strCache>
                <c:ptCount val="6"/>
                <c:pt idx="0">
                  <c:v>Analysis and Design-Rel1</c:v>
                </c:pt>
                <c:pt idx="1">
                  <c:v>Development and Unit Testing-Rel-1</c:v>
                </c:pt>
                <c:pt idx="2">
                  <c:v>System Integration Testing - Rel-1</c:v>
                </c:pt>
                <c:pt idx="3">
                  <c:v>User Acceptance Testing - Rel-1</c:v>
                </c:pt>
                <c:pt idx="4">
                  <c:v>Production Deployment Rel-1</c:v>
                </c:pt>
                <c:pt idx="5">
                  <c:v>Post Production Deployment Support - Rel-1</c:v>
                </c:pt>
              </c:strCache>
            </c:strRef>
          </c:cat>
          <c:val>
            <c:numRef>
              <c:f>'Size, Schedule and Effort'!$AE$3:$AE$28</c:f>
              <c:numCache>
                <c:formatCode>General</c:formatCode>
                <c:ptCount val="26"/>
                <c:pt idx="0">
                  <c:v>0</c:v>
                </c:pt>
                <c:pt idx="1">
                  <c:v>0</c:v>
                </c:pt>
                <c:pt idx="2">
                  <c:v>0</c:v>
                </c:pt>
                <c:pt idx="3">
                  <c:v>0</c:v>
                </c:pt>
                <c:pt idx="4">
                  <c:v>0</c:v>
                </c:pt>
                <c:pt idx="5">
                  <c:v>0</c:v>
                </c:pt>
                <c:pt idx="7">
                  <c:v>0</c:v>
                </c:pt>
                <c:pt idx="8">
                  <c:v>0</c:v>
                </c:pt>
                <c:pt idx="9">
                  <c:v>0</c:v>
                </c:pt>
                <c:pt idx="10">
                  <c:v>0</c:v>
                </c:pt>
                <c:pt idx="11">
                  <c:v>0</c:v>
                </c:pt>
                <c:pt idx="13">
                  <c:v>0</c:v>
                </c:pt>
                <c:pt idx="14">
                  <c:v>0</c:v>
                </c:pt>
                <c:pt idx="15">
                  <c:v>0</c:v>
                </c:pt>
                <c:pt idx="16">
                  <c:v>0</c:v>
                </c:pt>
                <c:pt idx="17">
                  <c:v>0</c:v>
                </c:pt>
                <c:pt idx="19">
                  <c:v>0</c:v>
                </c:pt>
                <c:pt idx="20">
                  <c:v>0</c:v>
                </c:pt>
                <c:pt idx="21">
                  <c:v>0</c:v>
                </c:pt>
                <c:pt idx="22">
                  <c:v>0</c:v>
                </c:pt>
                <c:pt idx="23">
                  <c:v>0</c:v>
                </c:pt>
                <c:pt idx="24">
                  <c:v>0</c:v>
                </c:pt>
                <c:pt idx="25">
                  <c:v>0</c:v>
                </c:pt>
              </c:numCache>
            </c:numRef>
          </c:val>
          <c:extLst>
            <c:ext xmlns:c16="http://schemas.microsoft.com/office/drawing/2014/chart" uri="{C3380CC4-5D6E-409C-BE32-E72D297353CC}">
              <c16:uniqueId val="{00000001-49EF-4306-ACEE-A68E9E414DAD}"/>
            </c:ext>
          </c:extLst>
        </c:ser>
        <c:dLbls>
          <c:showLegendKey val="0"/>
          <c:showVal val="0"/>
          <c:showCatName val="0"/>
          <c:showSerName val="0"/>
          <c:showPercent val="0"/>
          <c:showBubbleSize val="0"/>
        </c:dLbls>
        <c:gapWidth val="150"/>
        <c:axId val="86797696"/>
        <c:axId val="86799872"/>
      </c:barChart>
      <c:catAx>
        <c:axId val="86797696"/>
        <c:scaling>
          <c:orientation val="minMax"/>
        </c:scaling>
        <c:delete val="0"/>
        <c:axPos val="b"/>
        <c:title>
          <c:tx>
            <c:rich>
              <a:bodyPr/>
              <a:lstStyle/>
              <a:p>
                <a:pPr>
                  <a:defRPr sz="1200" b="1" i="0" u="none" strike="noStrike" baseline="0">
                    <a:solidFill>
                      <a:srgbClr val="000000"/>
                    </a:solidFill>
                    <a:latin typeface="Arial"/>
                    <a:ea typeface="Arial"/>
                    <a:cs typeface="Arial"/>
                  </a:defRPr>
                </a:pPr>
                <a:r>
                  <a:rPr lang="en-US"/>
                  <a:t>Tasks</a:t>
                </a:r>
              </a:p>
            </c:rich>
          </c:tx>
          <c:layout>
            <c:manualLayout>
              <c:xMode val="edge"/>
              <c:yMode val="edge"/>
              <c:x val="0.45603357862475774"/>
              <c:y val="0.86408038800975118"/>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5400000" vert="horz"/>
          <a:lstStyle/>
          <a:p>
            <a:pPr>
              <a:defRPr sz="1200" b="0" i="0" u="none" strike="noStrike" baseline="0">
                <a:solidFill>
                  <a:srgbClr val="000000"/>
                </a:solidFill>
                <a:latin typeface="Arial"/>
                <a:ea typeface="Arial"/>
                <a:cs typeface="Arial"/>
              </a:defRPr>
            </a:pPr>
            <a:endParaRPr lang="en-US"/>
          </a:p>
        </c:txPr>
        <c:crossAx val="86799872"/>
        <c:crosses val="autoZero"/>
        <c:auto val="1"/>
        <c:lblAlgn val="ctr"/>
        <c:lblOffset val="100"/>
        <c:tickLblSkip val="3"/>
        <c:tickMarkSkip val="1"/>
        <c:noMultiLvlLbl val="0"/>
      </c:catAx>
      <c:valAx>
        <c:axId val="86799872"/>
        <c:scaling>
          <c:orientation val="minMax"/>
        </c:scaling>
        <c:delete val="0"/>
        <c:axPos val="l"/>
        <c:title>
          <c:tx>
            <c:rich>
              <a:bodyPr/>
              <a:lstStyle/>
              <a:p>
                <a:pPr>
                  <a:defRPr sz="1200" b="1" i="0" u="none" strike="noStrike" baseline="0">
                    <a:solidFill>
                      <a:srgbClr val="000000"/>
                    </a:solidFill>
                    <a:latin typeface="Arial"/>
                    <a:ea typeface="Arial"/>
                    <a:cs typeface="Arial"/>
                  </a:defRPr>
                </a:pPr>
                <a:r>
                  <a:rPr lang="en-US"/>
                  <a:t>Productivity ratio</a:t>
                </a:r>
              </a:p>
            </c:rich>
          </c:tx>
          <c:layout>
            <c:manualLayout>
              <c:xMode val="edge"/>
              <c:yMode val="edge"/>
              <c:x val="1.2269938650306749E-2"/>
              <c:y val="0.19741168276295559"/>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86797696"/>
        <c:crosses val="autoZero"/>
        <c:crossBetween val="between"/>
      </c:valAx>
      <c:spPr>
        <a:noFill/>
        <a:ln w="25400">
          <a:noFill/>
        </a:ln>
      </c:spPr>
    </c:plotArea>
    <c:legend>
      <c:legendPos val="r"/>
      <c:layout>
        <c:manualLayout>
          <c:xMode val="edge"/>
          <c:yMode val="edge"/>
          <c:x val="0.68098288327456002"/>
          <c:y val="4.5307443365695796E-2"/>
          <c:w val="0.29447917169862969"/>
          <c:h val="0.22006540444580347"/>
        </c:manualLayout>
      </c:layout>
      <c:overlay val="0"/>
      <c:spPr>
        <a:noFill/>
        <a:ln w="25400">
          <a:noFill/>
        </a:ln>
      </c:spPr>
      <c:txPr>
        <a:bodyPr/>
        <a:lstStyle/>
        <a:p>
          <a:pPr>
            <a:defRPr sz="52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1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500" b="1" i="0" u="none" strike="noStrike" baseline="0">
                <a:solidFill>
                  <a:srgbClr val="000000"/>
                </a:solidFill>
                <a:latin typeface="Arial"/>
                <a:ea typeface="Arial"/>
                <a:cs typeface="Arial"/>
              </a:defRPr>
            </a:pPr>
            <a:r>
              <a:rPr lang="en-US"/>
              <a:t>Staff loading</a:t>
            </a:r>
          </a:p>
        </c:rich>
      </c:tx>
      <c:layout>
        <c:manualLayout>
          <c:xMode val="edge"/>
          <c:yMode val="edge"/>
          <c:x val="0.43558325148006805"/>
          <c:y val="3.6667016622922134E-2"/>
        </c:manualLayout>
      </c:layout>
      <c:overlay val="0"/>
      <c:spPr>
        <a:noFill/>
        <a:ln w="25400">
          <a:noFill/>
        </a:ln>
      </c:spPr>
    </c:title>
    <c:autoTitleDeleted val="0"/>
    <c:plotArea>
      <c:layout>
        <c:manualLayout>
          <c:layoutTarget val="inner"/>
          <c:xMode val="edge"/>
          <c:yMode val="edge"/>
          <c:x val="5.5214779060002737E-2"/>
          <c:y val="0.27000087890911101"/>
          <c:w val="0.88445896086856235"/>
          <c:h val="0.32666773003818372"/>
        </c:manualLayout>
      </c:layout>
      <c:lineChart>
        <c:grouping val="standard"/>
        <c:varyColors val="0"/>
        <c:ser>
          <c:idx val="0"/>
          <c:order val="0"/>
          <c:spPr>
            <a:ln w="12700">
              <a:solidFill>
                <a:srgbClr val="000080"/>
              </a:solidFill>
              <a:prstDash val="solid"/>
            </a:ln>
          </c:spPr>
          <c:marker>
            <c:symbol val="diamond"/>
            <c:size val="5"/>
            <c:spPr>
              <a:solidFill>
                <a:srgbClr val="000080"/>
              </a:solidFill>
              <a:ln>
                <a:solidFill>
                  <a:srgbClr val="000080"/>
                </a:solidFill>
                <a:prstDash val="solid"/>
              </a:ln>
            </c:spPr>
          </c:marker>
          <c:val>
            <c:numRef>
              <c:f>[4]Staffing!#REF!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[4]Staffing!#REF!</c15:sqref>
                        </c15:formulaRef>
                      </c:ext>
                    </c:extLst>
                    <c:strCache>
                      <c:ptCount val="1"/>
                      <c:pt idx="0">
                        <c:v>#REF!</c:v>
                      </c:pt>
                    </c:strCache>
                  </c:strRef>
                </c15:tx>
              </c15:filteredSeriesTitle>
            </c:ext>
            <c:ext xmlns:c15="http://schemas.microsoft.com/office/drawing/2012/chart" uri="{02D57815-91ED-43cb-92C2-25804820EDAC}">
              <c15:filteredCategoryTitle>
                <c15:cat>
                  <c:strRef>
                    <c:extLst>
                      <c:ext uri="{02D57815-91ED-43cb-92C2-25804820EDAC}">
                        <c15:formulaRef>
                          <c15:sqref>[4]Staffing!#REF!</c15:sqref>
                        </c15:formulaRef>
                      </c:ext>
                    </c:extLst>
                    <c:strCache>
                      <c:ptCount val="1"/>
                      <c:pt idx="0">
                        <c:v>#REF!</c:v>
                      </c:pt>
                    </c:strCache>
                  </c:strRef>
                </c15:cat>
              </c15:filteredCategoryTitle>
            </c:ext>
            <c:ext xmlns:c16="http://schemas.microsoft.com/office/drawing/2014/chart" uri="{C3380CC4-5D6E-409C-BE32-E72D297353CC}">
              <c16:uniqueId val="{00000000-B3A2-4882-84F2-4F52956B5121}"/>
            </c:ext>
          </c:extLst>
        </c:ser>
        <c:ser>
          <c:idx val="1"/>
          <c:order val="1"/>
          <c:spPr>
            <a:ln w="12700">
              <a:solidFill>
                <a:srgbClr val="FF8080"/>
              </a:solidFill>
              <a:prstDash val="solid"/>
            </a:ln>
          </c:spPr>
          <c:marker>
            <c:symbol val="none"/>
          </c:marker>
          <c:val>
            <c:numRef>
              <c:f>[4]Staffing!#REF!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[4]Staffing!#REF!</c15:sqref>
                        </c15:formulaRef>
                      </c:ext>
                    </c:extLst>
                    <c:strCache>
                      <c:ptCount val="1"/>
                      <c:pt idx="0">
                        <c:v>#REF!</c:v>
                      </c:pt>
                    </c:strCache>
                  </c:strRef>
                </c15:tx>
              </c15:filteredSeriesTitle>
            </c:ext>
            <c:ext xmlns:c15="http://schemas.microsoft.com/office/drawing/2012/chart" uri="{02D57815-91ED-43cb-92C2-25804820EDAC}">
              <c15:filteredCategoryTitle>
                <c15:cat>
                  <c:strRef>
                    <c:extLst>
                      <c:ext uri="{02D57815-91ED-43cb-92C2-25804820EDAC}">
                        <c15:formulaRef>
                          <c15:sqref>[4]Staffing!#REF!</c15:sqref>
                        </c15:formulaRef>
                      </c:ext>
                    </c:extLst>
                    <c:strCache>
                      <c:ptCount val="1"/>
                      <c:pt idx="0">
                        <c:v>#REF!</c:v>
                      </c:pt>
                    </c:strCache>
                  </c:strRef>
                </c15:cat>
              </c15:filteredCategoryTitle>
            </c:ext>
            <c:ext xmlns:c16="http://schemas.microsoft.com/office/drawing/2014/chart" uri="{C3380CC4-5D6E-409C-BE32-E72D297353CC}">
              <c16:uniqueId val="{00000001-B3A2-4882-84F2-4F52956B5121}"/>
            </c:ext>
          </c:extLst>
        </c:ser>
        <c:dLbls>
          <c:showLegendKey val="0"/>
          <c:showVal val="0"/>
          <c:showCatName val="0"/>
          <c:showSerName val="0"/>
          <c:showPercent val="0"/>
          <c:showBubbleSize val="0"/>
        </c:dLbls>
        <c:marker val="1"/>
        <c:smooth val="0"/>
        <c:axId val="86809984"/>
        <c:axId val="86820352"/>
      </c:lineChart>
      <c:catAx>
        <c:axId val="86809984"/>
        <c:scaling>
          <c:orientation val="minMax"/>
        </c:scaling>
        <c:delete val="0"/>
        <c:axPos val="b"/>
        <c:title>
          <c:tx>
            <c:rich>
              <a:bodyPr/>
              <a:lstStyle/>
              <a:p>
                <a:pPr>
                  <a:defRPr sz="2000" b="1" i="0" u="none" strike="noStrike" baseline="0">
                    <a:solidFill>
                      <a:srgbClr val="000000"/>
                    </a:solidFill>
                    <a:latin typeface="Arial"/>
                    <a:ea typeface="Arial"/>
                    <a:cs typeface="Arial"/>
                  </a:defRPr>
                </a:pPr>
                <a:r>
                  <a:rPr lang="en-US"/>
                  <a:t>Period</a:t>
                </a:r>
              </a:p>
            </c:rich>
          </c:tx>
          <c:layout>
            <c:manualLayout>
              <c:xMode val="edge"/>
              <c:yMode val="edge"/>
              <c:x val="0.44887568501790037"/>
              <c:y val="0.82333613298337704"/>
            </c:manualLayout>
          </c:layout>
          <c:overlay val="0"/>
          <c:spPr>
            <a:noFill/>
            <a:ln w="25400">
              <a:noFill/>
            </a:ln>
          </c:spPr>
        </c:title>
        <c:numFmt formatCode="d\-mmm\-yy" sourceLinked="0"/>
        <c:majorTickMark val="out"/>
        <c:minorTickMark val="none"/>
        <c:tickLblPos val="nextTo"/>
        <c:spPr>
          <a:ln w="3175">
            <a:solidFill>
              <a:srgbClr val="000000"/>
            </a:solidFill>
            <a:prstDash val="solid"/>
          </a:ln>
        </c:spPr>
        <c:txPr>
          <a:bodyPr rot="-5400000" vert="horz"/>
          <a:lstStyle/>
          <a:p>
            <a:pPr>
              <a:defRPr sz="1150" b="0" i="0" u="none" strike="noStrike" baseline="0">
                <a:solidFill>
                  <a:srgbClr val="000000"/>
                </a:solidFill>
                <a:latin typeface="Arial"/>
                <a:ea typeface="Arial"/>
                <a:cs typeface="Arial"/>
              </a:defRPr>
            </a:pPr>
            <a:endParaRPr lang="en-US"/>
          </a:p>
        </c:txPr>
        <c:crossAx val="86820352"/>
        <c:crosses val="autoZero"/>
        <c:auto val="1"/>
        <c:lblAlgn val="ctr"/>
        <c:lblOffset val="100"/>
        <c:tickLblSkip val="2"/>
        <c:tickMarkSkip val="1"/>
        <c:noMultiLvlLbl val="1"/>
      </c:catAx>
      <c:valAx>
        <c:axId val="86820352"/>
        <c:scaling>
          <c:orientation val="minMax"/>
        </c:scaling>
        <c:delete val="0"/>
        <c:axPos val="l"/>
        <c:title>
          <c:tx>
            <c:rich>
              <a:bodyPr/>
              <a:lstStyle/>
              <a:p>
                <a:pPr>
                  <a:defRPr sz="2000" b="1" i="0" u="none" strike="noStrike" baseline="0">
                    <a:solidFill>
                      <a:srgbClr val="000000"/>
                    </a:solidFill>
                    <a:latin typeface="Arial"/>
                    <a:ea typeface="Arial"/>
                    <a:cs typeface="Arial"/>
                  </a:defRPr>
                </a:pPr>
                <a:r>
                  <a:rPr lang="en-US"/>
                  <a:t>Loading</a:t>
                </a:r>
              </a:p>
            </c:rich>
          </c:tx>
          <c:layout>
            <c:manualLayout>
              <c:xMode val="edge"/>
              <c:yMode val="edge"/>
              <c:x val="5.1124744376278121E-3"/>
              <c:y val="0.24333403324584427"/>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150" b="0" i="0" u="none" strike="noStrike" baseline="0">
                <a:solidFill>
                  <a:srgbClr val="000000"/>
                </a:solidFill>
                <a:latin typeface="Arial"/>
                <a:ea typeface="Arial"/>
                <a:cs typeface="Arial"/>
              </a:defRPr>
            </a:pPr>
            <a:endParaRPr lang="en-US"/>
          </a:p>
        </c:txPr>
        <c:crossAx val="86809984"/>
        <c:crosses val="autoZero"/>
        <c:crossBetween val="between"/>
      </c:valAx>
      <c:spPr>
        <a:noFill/>
        <a:ln w="25400">
          <a:noFill/>
        </a:ln>
      </c:spPr>
    </c:plotArea>
    <c:legend>
      <c:legendPos val="r"/>
      <c:layout>
        <c:manualLayout>
          <c:xMode val="edge"/>
          <c:yMode val="edge"/>
          <c:x val="0.82515423302148583"/>
          <c:y val="1.6667016622922134E-2"/>
          <c:w val="0.17075686091385811"/>
          <c:h val="0.16000034995625545"/>
        </c:manualLayout>
      </c:layout>
      <c:overlay val="0"/>
      <c:spPr>
        <a:noFill/>
        <a:ln w="25400">
          <a:noFill/>
        </a:ln>
      </c:spPr>
      <c:txPr>
        <a:bodyPr/>
        <a:lstStyle/>
        <a:p>
          <a:pPr>
            <a:defRPr sz="78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2288893554972295"/>
          <c:y val="3.5714285714285712E-2"/>
        </c:manualLayout>
      </c:layout>
      <c:overlay val="0"/>
      <c:spPr>
        <a:noFill/>
        <a:ln w="25400">
          <a:noFill/>
        </a:ln>
      </c:spPr>
      <c:txPr>
        <a:bodyPr/>
        <a:lstStyle/>
        <a:p>
          <a:pPr>
            <a:defRPr sz="1050" b="1" i="0" u="none" strike="noStrike" baseline="0">
              <a:solidFill>
                <a:srgbClr val="000000"/>
              </a:solidFill>
              <a:latin typeface="Arial"/>
              <a:ea typeface="Arial"/>
              <a:cs typeface="Arial"/>
            </a:defRPr>
          </a:pPr>
          <a:endParaRPr lang="en-US"/>
        </a:p>
      </c:txPr>
    </c:title>
    <c:autoTitleDeleted val="0"/>
    <c:plotArea>
      <c:layout>
        <c:manualLayout>
          <c:layoutTarget val="inner"/>
          <c:xMode val="edge"/>
          <c:yMode val="edge"/>
          <c:x val="0.14222253086486733"/>
          <c:y val="0.14285714285714285"/>
          <c:w val="0.76000164930913483"/>
          <c:h val="0.58116883116883122"/>
        </c:manualLayout>
      </c:layout>
      <c:scatterChart>
        <c:scatterStyle val="lineMarker"/>
        <c:varyColors val="0"/>
        <c:ser>
          <c:idx val="0"/>
          <c:order val="0"/>
          <c:tx>
            <c:v>Risk Impact - Probability battlemap</c:v>
          </c:tx>
          <c:spPr>
            <a:ln w="28575">
              <a:noFill/>
            </a:ln>
          </c:spPr>
          <c:marker>
            <c:symbol val="diamond"/>
            <c:size val="5"/>
            <c:spPr>
              <a:solidFill>
                <a:srgbClr val="000080"/>
              </a:solidFill>
              <a:ln>
                <a:solidFill>
                  <a:srgbClr val="000080"/>
                </a:solidFill>
                <a:prstDash val="solid"/>
              </a:ln>
            </c:spPr>
          </c:marker>
          <c:dLbls>
            <c:dLbl>
              <c:idx val="0"/>
              <c:layout>
                <c:manualLayout>
                  <c:x val="-6.0058200464673164E-3"/>
                  <c:y val="6.832105202623813E-2"/>
                </c:manualLayout>
              </c:layout>
              <c:tx>
                <c:rich>
                  <a:bodyPr/>
                  <a:lstStyle/>
                  <a:p>
                    <a:pPr>
                      <a:defRPr sz="875" b="0" i="0" u="none" strike="noStrike" baseline="0">
                        <a:solidFill>
                          <a:srgbClr val="000000"/>
                        </a:solidFill>
                        <a:latin typeface="Arial"/>
                        <a:ea typeface="Arial"/>
                        <a:cs typeface="Arial"/>
                      </a:defRPr>
                    </a:pPr>
                    <a:r>
                      <a:rPr lang="en-US"/>
                      <a:t>XRD values</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1B70-436D-9554-74F63C93BFD1}"/>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strRef>
              <c:f>Charts!#REF!</c:f>
              <c:strCache>
                <c:ptCount val="1"/>
                <c:pt idx="0">
                  <c:v>#REF!</c:v>
                </c:pt>
              </c:strCache>
            </c:strRef>
          </c:xVal>
          <c:yVal>
            <c:numRef>
              <c:f>Charts!#REF!</c:f>
              <c:numCache>
                <c:formatCode>General</c:formatCode>
                <c:ptCount val="1"/>
                <c:pt idx="0">
                  <c:v>1</c:v>
                </c:pt>
              </c:numCache>
            </c:numRef>
          </c:yVal>
          <c:smooth val="0"/>
          <c:extLst>
            <c:ext xmlns:c16="http://schemas.microsoft.com/office/drawing/2014/chart" uri="{C3380CC4-5D6E-409C-BE32-E72D297353CC}">
              <c16:uniqueId val="{00000001-1B70-436D-9554-74F63C93BFD1}"/>
            </c:ext>
          </c:extLst>
        </c:ser>
        <c:dLbls>
          <c:showLegendKey val="0"/>
          <c:showVal val="0"/>
          <c:showCatName val="0"/>
          <c:showSerName val="0"/>
          <c:showPercent val="0"/>
          <c:showBubbleSize val="0"/>
        </c:dLbls>
        <c:axId val="86847872"/>
        <c:axId val="86849792"/>
      </c:scatterChart>
      <c:valAx>
        <c:axId val="86847872"/>
        <c:scaling>
          <c:orientation val="minMax"/>
          <c:max val="1"/>
          <c:min val="0"/>
        </c:scaling>
        <c:delete val="0"/>
        <c:axPos val="b"/>
        <c:title>
          <c:tx>
            <c:rich>
              <a:bodyPr/>
              <a:lstStyle/>
              <a:p>
                <a:pPr>
                  <a:defRPr sz="1150" b="0" i="0" u="none" strike="noStrike" baseline="0">
                    <a:solidFill>
                      <a:srgbClr val="000000"/>
                    </a:solidFill>
                    <a:latin typeface="Arial"/>
                    <a:ea typeface="Arial"/>
                    <a:cs typeface="Arial"/>
                  </a:defRPr>
                </a:pPr>
                <a:r>
                  <a:rPr lang="en-US"/>
                  <a:t>Probability</a:t>
                </a:r>
              </a:p>
            </c:rich>
          </c:tx>
          <c:layout>
            <c:manualLayout>
              <c:xMode val="edge"/>
              <c:yMode val="edge"/>
              <c:x val="0.44444537766112563"/>
              <c:y val="0.82792207792207795"/>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50" b="0" i="0" u="none" strike="noStrike" baseline="0">
                <a:solidFill>
                  <a:srgbClr val="000000"/>
                </a:solidFill>
                <a:latin typeface="Arial"/>
                <a:ea typeface="Arial"/>
                <a:cs typeface="Arial"/>
              </a:defRPr>
            </a:pPr>
            <a:endParaRPr lang="en-US"/>
          </a:p>
        </c:txPr>
        <c:crossAx val="86849792"/>
        <c:crosses val="autoZero"/>
        <c:crossBetween val="midCat"/>
      </c:valAx>
      <c:valAx>
        <c:axId val="86849792"/>
        <c:scaling>
          <c:orientation val="minMax"/>
          <c:max val="10"/>
          <c:min val="0"/>
        </c:scaling>
        <c:delete val="0"/>
        <c:axPos val="l"/>
        <c:title>
          <c:tx>
            <c:rich>
              <a:bodyPr/>
              <a:lstStyle/>
              <a:p>
                <a:pPr>
                  <a:defRPr sz="1150" b="0" i="0" u="none" strike="noStrike" baseline="0">
                    <a:solidFill>
                      <a:srgbClr val="000000"/>
                    </a:solidFill>
                    <a:latin typeface="Arial"/>
                    <a:ea typeface="Arial"/>
                    <a:cs typeface="Arial"/>
                  </a:defRPr>
                </a:pPr>
                <a:r>
                  <a:rPr lang="en-US"/>
                  <a:t>Normalized Impact</a:t>
                </a:r>
              </a:p>
            </c:rich>
          </c:tx>
          <c:layout>
            <c:manualLayout>
              <c:xMode val="edge"/>
              <c:yMode val="edge"/>
              <c:x val="2.4444444444444446E-2"/>
              <c:y val="0.22727272727272727"/>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50" b="0" i="0" u="none" strike="noStrike" baseline="0">
                <a:solidFill>
                  <a:srgbClr val="000000"/>
                </a:solidFill>
                <a:latin typeface="Arial"/>
                <a:ea typeface="Arial"/>
                <a:cs typeface="Arial"/>
              </a:defRPr>
            </a:pPr>
            <a:endParaRPr lang="en-US"/>
          </a:p>
        </c:txPr>
        <c:crossAx val="86847872"/>
        <c:crosses val="autoZero"/>
        <c:crossBetween val="midCat"/>
      </c:valAx>
      <c:spPr>
        <a:gradFill rotWithShape="0">
          <a:gsLst>
            <a:gs pos="0">
              <a:srgbClr val="FFFFCC"/>
            </a:gs>
            <a:gs pos="100000">
              <a:srgbClr val="FF6600"/>
            </a:gs>
          </a:gsLst>
          <a:lin ang="18900000" scaled="1"/>
        </a:gradFill>
        <a:ln w="25400">
          <a:noFill/>
        </a:ln>
      </c:spPr>
    </c:plotArea>
    <c:plotVisOnly val="1"/>
    <c:dispBlanksAs val="gap"/>
    <c:showDLblsOverMax val="0"/>
  </c:chart>
  <c:spPr>
    <a:solidFill>
      <a:srgbClr val="FFFFFF"/>
    </a:solidFill>
    <a:ln w="3175">
      <a:solidFill>
        <a:srgbClr val="000000"/>
      </a:solidFill>
      <a:prstDash val="solid"/>
    </a:ln>
  </c:spPr>
  <c:txPr>
    <a:bodyPr/>
    <a:lstStyle/>
    <a:p>
      <a:pPr>
        <a:defRPr sz="87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75" b="1" i="0" u="none" strike="noStrike" baseline="0">
                <a:solidFill>
                  <a:srgbClr val="000000"/>
                </a:solidFill>
                <a:latin typeface="Arial"/>
                <a:ea typeface="Arial"/>
                <a:cs typeface="Arial"/>
              </a:defRPr>
            </a:pPr>
            <a:r>
              <a:rPr lang="en-US"/>
              <a:t>Risk tracking</a:t>
            </a:r>
          </a:p>
        </c:rich>
      </c:tx>
      <c:layout>
        <c:manualLayout>
          <c:xMode val="edge"/>
          <c:yMode val="edge"/>
          <c:x val="0.38169689726284212"/>
          <c:y val="3.5598705501618123E-2"/>
        </c:manualLayout>
      </c:layout>
      <c:overlay val="0"/>
      <c:spPr>
        <a:noFill/>
        <a:ln w="25400">
          <a:noFill/>
        </a:ln>
      </c:spPr>
    </c:title>
    <c:autoTitleDeleted val="0"/>
    <c:plotArea>
      <c:layout>
        <c:manualLayout>
          <c:layoutTarget val="inner"/>
          <c:xMode val="edge"/>
          <c:yMode val="edge"/>
          <c:x val="0.14285729855924176"/>
          <c:y val="0.23301044514324543"/>
          <c:w val="0.64955427938655241"/>
          <c:h val="0.40453202281813438"/>
        </c:manualLayout>
      </c:layout>
      <c:lineChart>
        <c:grouping val="standard"/>
        <c:varyColors val="0"/>
        <c:ser>
          <c:idx val="0"/>
          <c:order val="0"/>
          <c:tx>
            <c:v>Risk Index - Initial</c:v>
          </c:tx>
          <c:spPr>
            <a:ln w="28575">
              <a:noFill/>
            </a:ln>
          </c:spPr>
          <c:marker>
            <c:symbol val="diamond"/>
            <c:size val="5"/>
            <c:spPr>
              <a:solidFill>
                <a:srgbClr val="000080"/>
              </a:solidFill>
              <a:ln>
                <a:solidFill>
                  <a:srgbClr val="000080"/>
                </a:solidFill>
                <a:prstDash val="solid"/>
              </a:ln>
            </c:spPr>
          </c:marker>
          <c:val>
            <c:numRef>
              <c:f>Charts!#REF!</c:f>
              <c:numCache>
                <c:formatCode>General</c:formatCode>
                <c:ptCount val="1"/>
                <c:pt idx="0">
                  <c:v>1</c:v>
                </c:pt>
              </c:numCache>
            </c:numRef>
          </c:val>
          <c:smooth val="0"/>
          <c:extLst>
            <c:ext xmlns:c15="http://schemas.microsoft.com/office/drawing/2012/chart" uri="{02D57815-91ED-43cb-92C2-25804820EDAC}">
              <c15:filteredCategoryTitle>
                <c15:cat>
                  <c:strRef>
                    <c:extLst>
                      <c:ext uri="{02D57815-91ED-43cb-92C2-25804820EDAC}">
                        <c15:formulaRef>
                          <c15:sqref>Charts!#REF!</c15:sqref>
                        </c15:formulaRef>
                      </c:ext>
                    </c:extLst>
                    <c:strCache>
                      <c:ptCount val="1"/>
                      <c:pt idx="0">
                        <c:v>#REF!</c:v>
                      </c:pt>
                    </c:strCache>
                  </c:strRef>
                </c15:cat>
              </c15:filteredCategoryTitle>
            </c:ext>
            <c:ext xmlns:c16="http://schemas.microsoft.com/office/drawing/2014/chart" uri="{C3380CC4-5D6E-409C-BE32-E72D297353CC}">
              <c16:uniqueId val="{00000000-5C4D-4290-9BFD-A7253A313A20}"/>
            </c:ext>
          </c:extLst>
        </c:ser>
        <c:ser>
          <c:idx val="1"/>
          <c:order val="1"/>
          <c:tx>
            <c:v>Risk Index - Revised</c:v>
          </c:tx>
          <c:spPr>
            <a:ln w="28575">
              <a:noFill/>
            </a:ln>
          </c:spPr>
          <c:marker>
            <c:symbol val="square"/>
            <c:size val="5"/>
            <c:spPr>
              <a:solidFill>
                <a:srgbClr val="FF00FF"/>
              </a:solidFill>
              <a:ln>
                <a:solidFill>
                  <a:srgbClr val="FF00FF"/>
                </a:solidFill>
                <a:prstDash val="solid"/>
              </a:ln>
            </c:spPr>
          </c:marker>
          <c:val>
            <c:numRef>
              <c:f>Charts!#REF!</c:f>
              <c:numCache>
                <c:formatCode>General</c:formatCode>
                <c:ptCount val="1"/>
                <c:pt idx="0">
                  <c:v>1</c:v>
                </c:pt>
              </c:numCache>
            </c:numRef>
          </c:val>
          <c:smooth val="0"/>
          <c:extLst>
            <c:ext xmlns:c15="http://schemas.microsoft.com/office/drawing/2012/chart" uri="{02D57815-91ED-43cb-92C2-25804820EDAC}">
              <c15:filteredCategoryTitle>
                <c15:cat>
                  <c:strRef>
                    <c:extLst>
                      <c:ext uri="{02D57815-91ED-43cb-92C2-25804820EDAC}">
                        <c15:formulaRef>
                          <c15:sqref>Charts!#REF!</c15:sqref>
                        </c15:formulaRef>
                      </c:ext>
                    </c:extLst>
                    <c:strCache>
                      <c:ptCount val="1"/>
                      <c:pt idx="0">
                        <c:v>#REF!</c:v>
                      </c:pt>
                    </c:strCache>
                  </c:strRef>
                </c15:cat>
              </c15:filteredCategoryTitle>
            </c:ext>
            <c:ext xmlns:c16="http://schemas.microsoft.com/office/drawing/2014/chart" uri="{C3380CC4-5D6E-409C-BE32-E72D297353CC}">
              <c16:uniqueId val="{00000001-5C4D-4290-9BFD-A7253A313A20}"/>
            </c:ext>
          </c:extLst>
        </c:ser>
        <c:dLbls>
          <c:showLegendKey val="0"/>
          <c:showVal val="0"/>
          <c:showCatName val="0"/>
          <c:showSerName val="0"/>
          <c:showPercent val="0"/>
          <c:showBubbleSize val="0"/>
        </c:dLbls>
        <c:marker val="1"/>
        <c:smooth val="0"/>
        <c:axId val="86863232"/>
        <c:axId val="86873984"/>
      </c:lineChart>
      <c:catAx>
        <c:axId val="86863232"/>
        <c:scaling>
          <c:orientation val="minMax"/>
        </c:scaling>
        <c:delete val="0"/>
        <c:axPos val="b"/>
        <c:title>
          <c:tx>
            <c:rich>
              <a:bodyPr/>
              <a:lstStyle/>
              <a:p>
                <a:pPr>
                  <a:defRPr sz="1150" b="0" i="0" u="none" strike="noStrike" baseline="0">
                    <a:solidFill>
                      <a:srgbClr val="000000"/>
                    </a:solidFill>
                    <a:latin typeface="Arial"/>
                    <a:ea typeface="Arial"/>
                    <a:cs typeface="Arial"/>
                  </a:defRPr>
                </a:pPr>
                <a:r>
                  <a:rPr lang="en-US"/>
                  <a:t>Title</a:t>
                </a:r>
              </a:p>
            </c:rich>
          </c:tx>
          <c:layout>
            <c:manualLayout>
              <c:xMode val="edge"/>
              <c:yMode val="edge"/>
              <c:x val="0.43303618297712781"/>
              <c:y val="0.85760789610036614"/>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50" b="0" i="0" u="none" strike="noStrike" baseline="0">
                <a:solidFill>
                  <a:srgbClr val="000000"/>
                </a:solidFill>
                <a:latin typeface="Arial"/>
                <a:ea typeface="Arial"/>
                <a:cs typeface="Arial"/>
              </a:defRPr>
            </a:pPr>
            <a:endParaRPr lang="en-US"/>
          </a:p>
        </c:txPr>
        <c:crossAx val="86873984"/>
        <c:crosses val="autoZero"/>
        <c:auto val="1"/>
        <c:lblAlgn val="ctr"/>
        <c:lblOffset val="100"/>
        <c:tickLblSkip val="1"/>
        <c:tickMarkSkip val="1"/>
        <c:noMultiLvlLbl val="0"/>
      </c:catAx>
      <c:valAx>
        <c:axId val="86873984"/>
        <c:scaling>
          <c:orientation val="minMax"/>
        </c:scaling>
        <c:delete val="0"/>
        <c:axPos val="l"/>
        <c:title>
          <c:tx>
            <c:rich>
              <a:bodyPr/>
              <a:lstStyle/>
              <a:p>
                <a:pPr>
                  <a:defRPr sz="1150" b="0" i="0" u="none" strike="noStrike" baseline="0">
                    <a:solidFill>
                      <a:srgbClr val="000000"/>
                    </a:solidFill>
                    <a:latin typeface="Arial"/>
                    <a:ea typeface="Arial"/>
                    <a:cs typeface="Arial"/>
                  </a:defRPr>
                </a:pPr>
                <a:r>
                  <a:rPr lang="en-US"/>
                  <a:t>Risk Index</a:t>
                </a:r>
              </a:p>
            </c:rich>
          </c:tx>
          <c:layout>
            <c:manualLayout>
              <c:xMode val="edge"/>
              <c:yMode val="edge"/>
              <c:x val="1.5625E-2"/>
              <c:y val="0.3721693040797085"/>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50" b="0" i="0" u="none" strike="noStrike" baseline="0">
                <a:solidFill>
                  <a:srgbClr val="000000"/>
                </a:solidFill>
                <a:latin typeface="Arial"/>
                <a:ea typeface="Arial"/>
                <a:cs typeface="Arial"/>
              </a:defRPr>
            </a:pPr>
            <a:endParaRPr lang="en-US"/>
          </a:p>
        </c:txPr>
        <c:crossAx val="86863232"/>
        <c:crosses val="autoZero"/>
        <c:crossBetween val="between"/>
      </c:valAx>
      <c:spPr>
        <a:noFill/>
        <a:ln w="25400">
          <a:noFill/>
        </a:ln>
      </c:spPr>
    </c:plotArea>
    <c:legend>
      <c:legendPos val="r"/>
      <c:layout>
        <c:manualLayout>
          <c:xMode val="edge"/>
          <c:yMode val="edge"/>
          <c:x val="0.660714988751406"/>
          <c:y val="2.2653721682847898E-2"/>
          <c:w val="0.33035761154855636"/>
          <c:h val="0.14239516176982731"/>
        </c:manualLayout>
      </c:layout>
      <c:overlay val="0"/>
      <c:spPr>
        <a:noFill/>
        <a:ln w="25400">
          <a:noFill/>
        </a:ln>
      </c:spPr>
      <c:txPr>
        <a:bodyPr/>
        <a:lstStyle/>
        <a:p>
          <a:pPr>
            <a:defRPr sz="61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32857185708929237"/>
          <c:y val="3.5714285714285712E-2"/>
        </c:manualLayout>
      </c:layout>
      <c:overlay val="0"/>
      <c:spPr>
        <a:noFill/>
        <a:ln w="25400">
          <a:noFill/>
        </a:ln>
      </c:spPr>
      <c:txPr>
        <a:bodyPr/>
        <a:lstStyle/>
        <a:p>
          <a:pPr>
            <a:defRPr sz="1175" b="1" i="0" u="none" strike="noStrike" baseline="0">
              <a:solidFill>
                <a:srgbClr val="000000"/>
              </a:solidFill>
              <a:latin typeface="Arial"/>
              <a:ea typeface="Arial"/>
              <a:cs typeface="Arial"/>
            </a:defRPr>
          </a:pPr>
          <a:endParaRPr lang="en-US"/>
        </a:p>
      </c:txPr>
    </c:title>
    <c:autoTitleDeleted val="0"/>
    <c:plotArea>
      <c:layout>
        <c:manualLayout>
          <c:layoutTarget val="inner"/>
          <c:xMode val="edge"/>
          <c:yMode val="edge"/>
          <c:x val="0.2734696602655256"/>
          <c:y val="0.23376623376623376"/>
          <c:w val="0.69795987918514746"/>
          <c:h val="0.26948051948051949"/>
        </c:manualLayout>
      </c:layout>
      <c:barChart>
        <c:barDir val="col"/>
        <c:grouping val="clustered"/>
        <c:varyColors val="0"/>
        <c:ser>
          <c:idx val="0"/>
          <c:order val="0"/>
          <c:tx>
            <c:strRef>
              <c:f>'Quality of Work'!$G$18</c:f>
              <c:strCache>
                <c:ptCount val="1"/>
                <c:pt idx="0">
                  <c:v>Delivery quality index</c:v>
                </c:pt>
              </c:strCache>
            </c:strRef>
          </c:tx>
          <c:spPr>
            <a:solidFill>
              <a:srgbClr val="9999FF"/>
            </a:solidFill>
            <a:ln w="12700">
              <a:solidFill>
                <a:srgbClr val="000000"/>
              </a:solidFill>
              <a:prstDash val="solid"/>
            </a:ln>
          </c:spPr>
          <c:invertIfNegative val="0"/>
          <c:val>
            <c:numRef>
              <c:f>'Quality of Work'!$G$19:$G$39</c:f>
              <c:numCache>
                <c:formatCode>0.00</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5="http://schemas.microsoft.com/office/drawing/2012/chart" uri="{02D57815-91ED-43cb-92C2-25804820EDAC}">
              <c15:filteredCategoryTitle>
                <c15:cat>
                  <c:strRef>
                    <c:extLst>
                      <c:ext uri="{02D57815-91ED-43cb-92C2-25804820EDAC}">
                        <c15:formulaRef>
                          <c15:sqref>'Quality of Work'!$A$19:$A$39</c15:sqref>
                        </c15:formulaRef>
                      </c:ext>
                    </c:extLst>
                    <c:strCache>
                      <c:ptCount val="4"/>
                      <c:pt idx="0">
                        <c:v>0</c:v>
                      </c:pt>
                      <c:pt idx="1">
                        <c:v>0</c:v>
                      </c:pt>
                      <c:pt idx="2">
                        <c:v>0</c:v>
                      </c:pt>
                      <c:pt idx="3">
                        <c:v>0</c:v>
                      </c:pt>
                    </c:strCache>
                  </c:strRef>
                </c15:cat>
              </c15:filteredCategoryTitle>
            </c:ext>
            <c:ext xmlns:c16="http://schemas.microsoft.com/office/drawing/2014/chart" uri="{C3380CC4-5D6E-409C-BE32-E72D297353CC}">
              <c16:uniqueId val="{00000000-FF30-4EEB-A0F8-F39EBDEC80F9}"/>
            </c:ext>
          </c:extLst>
        </c:ser>
        <c:dLbls>
          <c:showLegendKey val="0"/>
          <c:showVal val="0"/>
          <c:showCatName val="0"/>
          <c:showSerName val="0"/>
          <c:showPercent val="0"/>
          <c:showBubbleSize val="0"/>
        </c:dLbls>
        <c:gapWidth val="150"/>
        <c:axId val="86883328"/>
        <c:axId val="86893696"/>
      </c:barChart>
      <c:catAx>
        <c:axId val="86883328"/>
        <c:scaling>
          <c:orientation val="minMax"/>
        </c:scaling>
        <c:delete val="0"/>
        <c:axPos val="b"/>
        <c:title>
          <c:tx>
            <c:rich>
              <a:bodyPr/>
              <a:lstStyle/>
              <a:p>
                <a:pPr>
                  <a:defRPr sz="1125" b="0" i="0" u="none" strike="noStrike" baseline="0">
                    <a:solidFill>
                      <a:srgbClr val="000000"/>
                    </a:solidFill>
                    <a:latin typeface="Arial"/>
                    <a:ea typeface="Arial"/>
                    <a:cs typeface="Arial"/>
                  </a:defRPr>
                </a:pPr>
                <a:r>
                  <a:rPr lang="en-US"/>
                  <a:t>Task / Activity</a:t>
                </a:r>
              </a:p>
            </c:rich>
          </c:tx>
          <c:layout>
            <c:manualLayout>
              <c:xMode val="edge"/>
              <c:yMode val="edge"/>
              <c:x val="0.52857185708929244"/>
              <c:y val="0.87012987012987009"/>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2700000" vert="horz"/>
          <a:lstStyle/>
          <a:p>
            <a:pPr>
              <a:defRPr sz="1125" b="0" i="0" u="none" strike="noStrike" baseline="0">
                <a:solidFill>
                  <a:srgbClr val="000000"/>
                </a:solidFill>
                <a:latin typeface="Arial"/>
                <a:ea typeface="Arial"/>
                <a:cs typeface="Arial"/>
              </a:defRPr>
            </a:pPr>
            <a:endParaRPr lang="en-US"/>
          </a:p>
        </c:txPr>
        <c:crossAx val="86893696"/>
        <c:crosses val="autoZero"/>
        <c:auto val="1"/>
        <c:lblAlgn val="ctr"/>
        <c:lblOffset val="100"/>
        <c:tickLblSkip val="2"/>
        <c:tickMarkSkip val="1"/>
        <c:noMultiLvlLbl val="0"/>
      </c:catAx>
      <c:valAx>
        <c:axId val="86893696"/>
        <c:scaling>
          <c:orientation val="minMax"/>
        </c:scaling>
        <c:delete val="0"/>
        <c:axPos val="l"/>
        <c:title>
          <c:tx>
            <c:rich>
              <a:bodyPr/>
              <a:lstStyle/>
              <a:p>
                <a:pPr>
                  <a:defRPr sz="1125" b="0" i="0" u="none" strike="noStrike" baseline="0">
                    <a:solidFill>
                      <a:srgbClr val="000000"/>
                    </a:solidFill>
                    <a:latin typeface="Arial"/>
                    <a:ea typeface="Arial"/>
                    <a:cs typeface="Arial"/>
                  </a:defRPr>
                </a:pPr>
                <a:r>
                  <a:rPr lang="en-US"/>
                  <a:t>Satisfaction index</a:t>
                </a:r>
              </a:p>
            </c:rich>
          </c:tx>
          <c:layout>
            <c:manualLayout>
              <c:xMode val="edge"/>
              <c:yMode val="edge"/>
              <c:x val="3.2653061224489799E-2"/>
              <c:y val="0.16883116883116883"/>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1125" b="0" i="0" u="none" strike="noStrike" baseline="0">
                <a:solidFill>
                  <a:srgbClr val="000000"/>
                </a:solidFill>
                <a:latin typeface="Arial"/>
                <a:ea typeface="Arial"/>
                <a:cs typeface="Arial"/>
              </a:defRPr>
            </a:pPr>
            <a:endParaRPr lang="en-US"/>
          </a:p>
        </c:txPr>
        <c:crossAx val="86883328"/>
        <c:crosses val="autoZero"/>
        <c:crossBetween val="between"/>
      </c:valAx>
      <c:spPr>
        <a:noFill/>
        <a:ln w="25400">
          <a:noFill/>
        </a:ln>
      </c:spPr>
    </c:plotArea>
    <c:plotVisOnly val="1"/>
    <c:dispBlanksAs val="gap"/>
    <c:showDLblsOverMax val="0"/>
  </c:chart>
  <c:spPr>
    <a:solidFill>
      <a:srgbClr val="FFFFFF"/>
    </a:solidFill>
    <a:ln w="3175">
      <a:solidFill>
        <a:srgbClr val="000000"/>
      </a:solidFill>
      <a:prstDash val="solid"/>
    </a:ln>
  </c:spPr>
  <c:txPr>
    <a:bodyPr/>
    <a:lstStyle/>
    <a:p>
      <a:pPr>
        <a:defRPr sz="82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1" i="0" u="none" strike="noStrike" baseline="0">
                <a:solidFill>
                  <a:srgbClr val="000000"/>
                </a:solidFill>
                <a:latin typeface="Arial"/>
                <a:ea typeface="Arial"/>
                <a:cs typeface="Arial"/>
              </a:defRPr>
            </a:pPr>
            <a:r>
              <a:rPr lang="en-US"/>
              <a:t>Issues / Defects</a:t>
            </a:r>
          </a:p>
        </c:rich>
      </c:tx>
      <c:layout>
        <c:manualLayout>
          <c:xMode val="edge"/>
          <c:yMode val="edge"/>
          <c:x val="0.33033755050281632"/>
          <c:y val="2.0338983050847456E-2"/>
        </c:manualLayout>
      </c:layout>
      <c:overlay val="0"/>
      <c:spPr>
        <a:noFill/>
        <a:ln w="25400">
          <a:noFill/>
        </a:ln>
      </c:spPr>
    </c:title>
    <c:autoTitleDeleted val="0"/>
    <c:plotArea>
      <c:layout>
        <c:manualLayout>
          <c:layoutTarget val="inner"/>
          <c:xMode val="edge"/>
          <c:yMode val="edge"/>
          <c:x val="0.16179793034358578"/>
          <c:y val="0.24067836447028018"/>
          <c:w val="0.608989432265441"/>
          <c:h val="0.20000033103868353"/>
        </c:manualLayout>
      </c:layout>
      <c:barChart>
        <c:barDir val="col"/>
        <c:grouping val="stacked"/>
        <c:varyColors val="0"/>
        <c:ser>
          <c:idx val="0"/>
          <c:order val="0"/>
          <c:tx>
            <c:strRef>
              <c:f>'Verification Summary'!$Q$9</c:f>
              <c:strCache>
                <c:ptCount val="1"/>
                <c:pt idx="0">
                  <c:v>Major issues / defects</c:v>
                </c:pt>
              </c:strCache>
            </c:strRef>
          </c:tx>
          <c:spPr>
            <a:solidFill>
              <a:srgbClr val="9999FF"/>
            </a:solidFill>
            <a:ln w="12700">
              <a:solidFill>
                <a:srgbClr val="000000"/>
              </a:solidFill>
              <a:prstDash val="solid"/>
            </a:ln>
          </c:spPr>
          <c:invertIfNegative val="0"/>
          <c:cat>
            <c:strRef>
              <c:f>'Verification Summary'!$P$10:$P$19</c:f>
              <c:strCache>
                <c:ptCount val="6"/>
                <c:pt idx="0">
                  <c:v>Analysis and design-Hours</c:v>
                </c:pt>
                <c:pt idx="1">
                  <c:v>Coding and unit testing-Hours</c:v>
                </c:pt>
                <c:pt idx="2">
                  <c:v>System integration testing-Hours</c:v>
                </c:pt>
                <c:pt idx="3">
                  <c:v>User acceptance testing-Hours</c:v>
                </c:pt>
                <c:pt idx="4">
                  <c:v>Production Deployment-Hours</c:v>
                </c:pt>
                <c:pt idx="5">
                  <c:v>Post production support -Hours</c:v>
                </c:pt>
              </c:strCache>
            </c:strRef>
          </c:cat>
          <c:val>
            <c:numRef>
              <c:f>'Verification Summary'!$Q$10:$Q$19</c:f>
              <c:numCache>
                <c:formatCode>General</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11F4-4329-ABB1-99D8D3771C81}"/>
            </c:ext>
          </c:extLst>
        </c:ser>
        <c:ser>
          <c:idx val="1"/>
          <c:order val="1"/>
          <c:tx>
            <c:strRef>
              <c:f>'Verification Summary'!$R$9</c:f>
              <c:strCache>
                <c:ptCount val="1"/>
                <c:pt idx="0">
                  <c:v>Minor issues /d efects</c:v>
                </c:pt>
              </c:strCache>
            </c:strRef>
          </c:tx>
          <c:spPr>
            <a:solidFill>
              <a:srgbClr val="993366"/>
            </a:solidFill>
            <a:ln w="12700">
              <a:solidFill>
                <a:srgbClr val="000000"/>
              </a:solidFill>
              <a:prstDash val="solid"/>
            </a:ln>
          </c:spPr>
          <c:invertIfNegative val="0"/>
          <c:cat>
            <c:strRef>
              <c:f>'Verification Summary'!$P$10:$P$19</c:f>
              <c:strCache>
                <c:ptCount val="6"/>
                <c:pt idx="0">
                  <c:v>Analysis and design-Hours</c:v>
                </c:pt>
                <c:pt idx="1">
                  <c:v>Coding and unit testing-Hours</c:v>
                </c:pt>
                <c:pt idx="2">
                  <c:v>System integration testing-Hours</c:v>
                </c:pt>
                <c:pt idx="3">
                  <c:v>User acceptance testing-Hours</c:v>
                </c:pt>
                <c:pt idx="4">
                  <c:v>Production Deployment-Hours</c:v>
                </c:pt>
                <c:pt idx="5">
                  <c:v>Post production support -Hours</c:v>
                </c:pt>
              </c:strCache>
            </c:strRef>
          </c:cat>
          <c:val>
            <c:numRef>
              <c:f>'Verification Summary'!$R$10:$R$19</c:f>
              <c:numCache>
                <c:formatCode>General</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1-11F4-4329-ABB1-99D8D3771C81}"/>
            </c:ext>
          </c:extLst>
        </c:ser>
        <c:ser>
          <c:idx val="2"/>
          <c:order val="2"/>
          <c:tx>
            <c:strRef>
              <c:f>'Verification Summary'!$S$9</c:f>
              <c:strCache>
                <c:ptCount val="1"/>
                <c:pt idx="0">
                  <c:v>Trivial issues / defects</c:v>
                </c:pt>
              </c:strCache>
            </c:strRef>
          </c:tx>
          <c:spPr>
            <a:solidFill>
              <a:srgbClr val="FFFFCC"/>
            </a:solidFill>
            <a:ln w="12700">
              <a:solidFill>
                <a:srgbClr val="000000"/>
              </a:solidFill>
              <a:prstDash val="solid"/>
            </a:ln>
          </c:spPr>
          <c:invertIfNegative val="0"/>
          <c:cat>
            <c:strRef>
              <c:f>'Verification Summary'!$P$10:$P$19</c:f>
              <c:strCache>
                <c:ptCount val="6"/>
                <c:pt idx="0">
                  <c:v>Analysis and design-Hours</c:v>
                </c:pt>
                <c:pt idx="1">
                  <c:v>Coding and unit testing-Hours</c:v>
                </c:pt>
                <c:pt idx="2">
                  <c:v>System integration testing-Hours</c:v>
                </c:pt>
                <c:pt idx="3">
                  <c:v>User acceptance testing-Hours</c:v>
                </c:pt>
                <c:pt idx="4">
                  <c:v>Production Deployment-Hours</c:v>
                </c:pt>
                <c:pt idx="5">
                  <c:v>Post production support -Hours</c:v>
                </c:pt>
              </c:strCache>
            </c:strRef>
          </c:cat>
          <c:val>
            <c:numRef>
              <c:f>'Verification Summary'!$S$10:$S$19</c:f>
              <c:numCache>
                <c:formatCode>General</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2-11F4-4329-ABB1-99D8D3771C81}"/>
            </c:ext>
          </c:extLst>
        </c:ser>
        <c:dLbls>
          <c:showLegendKey val="0"/>
          <c:showVal val="0"/>
          <c:showCatName val="0"/>
          <c:showSerName val="0"/>
          <c:showPercent val="0"/>
          <c:showBubbleSize val="0"/>
        </c:dLbls>
        <c:gapWidth val="150"/>
        <c:overlap val="100"/>
        <c:axId val="86990208"/>
        <c:axId val="86992384"/>
      </c:barChart>
      <c:catAx>
        <c:axId val="86990208"/>
        <c:scaling>
          <c:orientation val="minMax"/>
        </c:scaling>
        <c:delete val="0"/>
        <c:axPos val="b"/>
        <c:title>
          <c:tx>
            <c:rich>
              <a:bodyPr/>
              <a:lstStyle/>
              <a:p>
                <a:pPr>
                  <a:defRPr sz="900" b="1" i="0" u="none" strike="noStrike" baseline="0">
                    <a:solidFill>
                      <a:srgbClr val="000000"/>
                    </a:solidFill>
                    <a:latin typeface="Arial"/>
                    <a:ea typeface="Arial"/>
                    <a:cs typeface="Arial"/>
                  </a:defRPr>
                </a:pPr>
                <a:r>
                  <a:rPr lang="en-US"/>
                  <a:t>Phase - work product type</a:t>
                </a:r>
              </a:p>
            </c:rich>
          </c:tx>
          <c:layout>
            <c:manualLayout>
              <c:xMode val="edge"/>
              <c:yMode val="edge"/>
              <c:x val="0.29438225839747556"/>
              <c:y val="0.72542479647671154"/>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5400000" vert="horz"/>
          <a:lstStyle/>
          <a:p>
            <a:pPr>
              <a:defRPr sz="900" b="0" i="0" u="none" strike="noStrike" baseline="0">
                <a:solidFill>
                  <a:srgbClr val="000000"/>
                </a:solidFill>
                <a:latin typeface="Arial"/>
                <a:ea typeface="Arial"/>
                <a:cs typeface="Arial"/>
              </a:defRPr>
            </a:pPr>
            <a:endParaRPr lang="en-US"/>
          </a:p>
        </c:txPr>
        <c:crossAx val="86992384"/>
        <c:crosses val="autoZero"/>
        <c:auto val="1"/>
        <c:lblAlgn val="ctr"/>
        <c:lblOffset val="100"/>
        <c:tickLblSkip val="2"/>
        <c:tickMarkSkip val="1"/>
        <c:noMultiLvlLbl val="0"/>
      </c:catAx>
      <c:valAx>
        <c:axId val="86992384"/>
        <c:scaling>
          <c:orientation val="minMax"/>
        </c:scaling>
        <c:delete val="0"/>
        <c:axPos val="l"/>
        <c:title>
          <c:tx>
            <c:rich>
              <a:bodyPr/>
              <a:lstStyle/>
              <a:p>
                <a:pPr>
                  <a:defRPr sz="900" b="1" i="0" u="none" strike="noStrike" baseline="0">
                    <a:solidFill>
                      <a:srgbClr val="000000"/>
                    </a:solidFill>
                    <a:latin typeface="Arial"/>
                    <a:ea typeface="Arial"/>
                    <a:cs typeface="Arial"/>
                  </a:defRPr>
                </a:pPr>
                <a:r>
                  <a:rPr lang="en-US"/>
                  <a:t>No. of defects</a:t>
                </a:r>
              </a:p>
            </c:rich>
          </c:tx>
          <c:layout>
            <c:manualLayout>
              <c:xMode val="edge"/>
              <c:yMode val="edge"/>
              <c:x val="3.8202247191011236E-2"/>
              <c:y val="0.20000035588771742"/>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900" b="0" i="0" u="none" strike="noStrike" baseline="0">
                <a:solidFill>
                  <a:srgbClr val="000000"/>
                </a:solidFill>
                <a:latin typeface="Arial"/>
                <a:ea typeface="Arial"/>
                <a:cs typeface="Arial"/>
              </a:defRPr>
            </a:pPr>
            <a:endParaRPr lang="en-US"/>
          </a:p>
        </c:txPr>
        <c:crossAx val="86990208"/>
        <c:crosses val="autoZero"/>
        <c:crossBetween val="between"/>
      </c:valAx>
      <c:spPr>
        <a:noFill/>
        <a:ln w="25400">
          <a:noFill/>
        </a:ln>
      </c:spPr>
    </c:plotArea>
    <c:legend>
      <c:legendPos val="r"/>
      <c:layout>
        <c:manualLayout>
          <c:xMode val="edge"/>
          <c:yMode val="edge"/>
          <c:x val="0.66966362912501098"/>
          <c:y val="1.6949152542372881E-2"/>
          <c:w val="0.32134855053230704"/>
          <c:h val="0.20678001690466655"/>
        </c:manualLayout>
      </c:layout>
      <c:overlay val="0"/>
      <c:spPr>
        <a:noFill/>
        <a:ln w="25400">
          <a:noFill/>
        </a:ln>
      </c:spPr>
      <c:txPr>
        <a:bodyPr/>
        <a:lstStyle/>
        <a:p>
          <a:pPr>
            <a:defRPr sz="57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57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0" i="0" u="none" strike="noStrike" baseline="0">
                <a:solidFill>
                  <a:srgbClr val="000000"/>
                </a:solidFill>
                <a:latin typeface="Arial"/>
                <a:ea typeface="Arial"/>
                <a:cs typeface="Arial"/>
              </a:defRPr>
            </a:pPr>
            <a:r>
              <a:rPr lang="en-US" sz="1200" b="1" i="0" u="none" strike="noStrike" baseline="0">
                <a:solidFill>
                  <a:srgbClr val="000000"/>
                </a:solidFill>
                <a:latin typeface="Arial"/>
                <a:cs typeface="Arial"/>
              </a:rPr>
              <a:t>EV</a:t>
            </a:r>
            <a:r>
              <a:rPr lang="en-US" sz="1200" b="1" i="0" u="none" strike="noStrike" baseline="-25000">
                <a:solidFill>
                  <a:srgbClr val="000000"/>
                </a:solidFill>
                <a:latin typeface="Arial"/>
                <a:cs typeface="Arial"/>
              </a:rPr>
              <a:t>A</a:t>
            </a:r>
          </a:p>
        </c:rich>
      </c:tx>
      <c:layout>
        <c:manualLayout>
          <c:xMode val="edge"/>
          <c:yMode val="edge"/>
          <c:x val="0.47482014388489208"/>
          <c:y val="3.1746031746031744E-2"/>
        </c:manualLayout>
      </c:layout>
      <c:overlay val="0"/>
      <c:spPr>
        <a:noFill/>
        <a:ln w="25400">
          <a:noFill/>
        </a:ln>
      </c:spPr>
    </c:title>
    <c:autoTitleDeleted val="0"/>
    <c:plotArea>
      <c:layout>
        <c:manualLayout>
          <c:layoutTarget val="inner"/>
          <c:xMode val="edge"/>
          <c:yMode val="edge"/>
          <c:x val="0.20431654676258992"/>
          <c:y val="0.1111113981672613"/>
          <c:w val="0.72661870503597126"/>
          <c:h val="0.26455094801728885"/>
        </c:manualLayout>
      </c:layout>
      <c:lineChart>
        <c:grouping val="standard"/>
        <c:varyColors val="0"/>
        <c:ser>
          <c:idx val="0"/>
          <c:order val="0"/>
          <c:tx>
            <c:strRef>
              <c:f>'Size, Schedule and Effort'!$M$2:$M$2</c:f>
              <c:strCache>
                <c:ptCount val="1"/>
                <c:pt idx="0">
                  <c:v>EVA (Cumulative)</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val>
            <c:numRef>
              <c:f>'Size, Schedule and Effort'!$M$3:$M$28</c:f>
              <c:numCache>
                <c:formatCode>0.00\ "%"</c:formatCode>
                <c:ptCount val="26"/>
                <c:pt idx="0">
                  <c:v>0</c:v>
                </c:pt>
                <c:pt idx="1">
                  <c:v>0</c:v>
                </c:pt>
                <c:pt idx="2">
                  <c:v>0</c:v>
                </c:pt>
                <c:pt idx="3">
                  <c:v>0</c:v>
                </c:pt>
                <c:pt idx="4">
                  <c:v>0</c:v>
                </c:pt>
                <c:pt idx="5">
                  <c:v>0</c:v>
                </c:pt>
                <c:pt idx="25">
                  <c:v>0</c:v>
                </c:pt>
              </c:numCache>
            </c:numRef>
          </c:val>
          <c:smooth val="0"/>
          <c:extLst>
            <c:ext xmlns:c15="http://schemas.microsoft.com/office/drawing/2012/chart" uri="{02D57815-91ED-43cb-92C2-25804820EDAC}">
              <c15:filteredCategoryTitle>
                <c15:cat>
                  <c:strRef>
                    <c:extLst>
                      <c:ext uri="{02D57815-91ED-43cb-92C2-25804820EDAC}">
                        <c15:formulaRef>
                          <c15:sqref>'Size, Schedule and Effort'!#REF!</c15:sqref>
                        </c15:formulaRef>
                      </c:ext>
                    </c:extLst>
                    <c:strCache>
                      <c:ptCount val="1"/>
                      <c:pt idx="0">
                        <c:v>#REF!</c:v>
                      </c:pt>
                    </c:strCache>
                  </c:strRef>
                </c15:cat>
              </c15:filteredCategoryTitle>
            </c:ext>
            <c:ext xmlns:c16="http://schemas.microsoft.com/office/drawing/2014/chart" uri="{C3380CC4-5D6E-409C-BE32-E72D297353CC}">
              <c16:uniqueId val="{00000000-38F7-441D-8F8A-9E08A9EB46DC}"/>
            </c:ext>
          </c:extLst>
        </c:ser>
        <c:ser>
          <c:idx val="1"/>
          <c:order val="1"/>
          <c:spPr>
            <a:ln w="28575">
              <a:noFill/>
            </a:ln>
          </c:spPr>
          <c:marker>
            <c:symbol val="none"/>
          </c:marker>
          <c:trendline>
            <c:name>UCL</c:name>
            <c:spPr>
              <a:ln w="25400">
                <a:solidFill>
                  <a:srgbClr val="FF0000"/>
                </a:solidFill>
                <a:prstDash val="lgDash"/>
              </a:ln>
            </c:spPr>
            <c:trendlineType val="linear"/>
            <c:forward val="31.5"/>
            <c:backward val="0.5"/>
            <c:dispRSqr val="0"/>
            <c:dispEq val="0"/>
          </c:trendline>
          <c:val>
            <c:numRef>
              <c:f>'Size, Schedule and Effort'!$AN$3:$AN$3</c:f>
              <c:numCache>
                <c:formatCode>General</c:formatCode>
                <c:ptCount val="1"/>
                <c:pt idx="0">
                  <c:v>15</c:v>
                </c:pt>
              </c:numCache>
            </c:numRef>
          </c:val>
          <c:smooth val="0"/>
          <c:extLst>
            <c:ext xmlns:c15="http://schemas.microsoft.com/office/drawing/2012/chart" uri="{02D57815-91ED-43cb-92C2-25804820EDAC}">
              <c15:filteredCategoryTitle>
                <c15:cat>
                  <c:strRef>
                    <c:extLst>
                      <c:ext uri="{02D57815-91ED-43cb-92C2-25804820EDAC}">
                        <c15:formulaRef>
                          <c15:sqref>'Size, Schedule and Effort'!#REF!</c15:sqref>
                        </c15:formulaRef>
                      </c:ext>
                    </c:extLst>
                    <c:strCache>
                      <c:ptCount val="1"/>
                      <c:pt idx="0">
                        <c:v>#REF!</c:v>
                      </c:pt>
                    </c:strCache>
                  </c:strRef>
                </c15:cat>
              </c15:filteredCategoryTitle>
            </c:ext>
            <c:ext xmlns:c16="http://schemas.microsoft.com/office/drawing/2014/chart" uri="{C3380CC4-5D6E-409C-BE32-E72D297353CC}">
              <c16:uniqueId val="{00000002-38F7-441D-8F8A-9E08A9EB46DC}"/>
            </c:ext>
          </c:extLst>
        </c:ser>
        <c:ser>
          <c:idx val="2"/>
          <c:order val="2"/>
          <c:spPr>
            <a:ln w="28575">
              <a:noFill/>
            </a:ln>
          </c:spPr>
          <c:marker>
            <c:symbol val="none"/>
          </c:marker>
          <c:trendline>
            <c:name>LCL</c:name>
            <c:spPr>
              <a:ln w="25400">
                <a:solidFill>
                  <a:srgbClr val="FF9900"/>
                </a:solidFill>
                <a:prstDash val="lgDash"/>
              </a:ln>
            </c:spPr>
            <c:trendlineType val="linear"/>
            <c:forward val="31.5"/>
            <c:backward val="0.5"/>
            <c:dispRSqr val="0"/>
            <c:dispEq val="0"/>
          </c:trendline>
          <c:val>
            <c:numRef>
              <c:f>'Size, Schedule and Effort'!$AO$3:$AO$3</c:f>
              <c:numCache>
                <c:formatCode>General</c:formatCode>
                <c:ptCount val="1"/>
                <c:pt idx="0">
                  <c:v>0</c:v>
                </c:pt>
              </c:numCache>
            </c:numRef>
          </c:val>
          <c:smooth val="0"/>
          <c:extLst>
            <c:ext xmlns:c15="http://schemas.microsoft.com/office/drawing/2012/chart" uri="{02D57815-91ED-43cb-92C2-25804820EDAC}">
              <c15:filteredCategoryTitle>
                <c15:cat>
                  <c:strRef>
                    <c:extLst>
                      <c:ext uri="{02D57815-91ED-43cb-92C2-25804820EDAC}">
                        <c15:formulaRef>
                          <c15:sqref>'Size, Schedule and Effort'!#REF!</c15:sqref>
                        </c15:formulaRef>
                      </c:ext>
                    </c:extLst>
                    <c:strCache>
                      <c:ptCount val="1"/>
                      <c:pt idx="0">
                        <c:v>#REF!</c:v>
                      </c:pt>
                    </c:strCache>
                  </c:strRef>
                </c15:cat>
              </c15:filteredCategoryTitle>
            </c:ext>
            <c:ext xmlns:c16="http://schemas.microsoft.com/office/drawing/2014/chart" uri="{C3380CC4-5D6E-409C-BE32-E72D297353CC}">
              <c16:uniqueId val="{00000004-38F7-441D-8F8A-9E08A9EB46DC}"/>
            </c:ext>
          </c:extLst>
        </c:ser>
        <c:ser>
          <c:idx val="3"/>
          <c:order val="3"/>
          <c:spPr>
            <a:ln w="28575">
              <a:noFill/>
            </a:ln>
          </c:spPr>
          <c:marker>
            <c:symbol val="none"/>
          </c:marker>
          <c:trendline>
            <c:name>Project Goal</c:name>
            <c:spPr>
              <a:ln w="25400">
                <a:pattFill prst="pct75">
                  <a:fgClr>
                    <a:srgbClr val="000000"/>
                  </a:fgClr>
                  <a:bgClr>
                    <a:srgbClr val="FFFFFF"/>
                  </a:bgClr>
                </a:pattFill>
                <a:prstDash val="solid"/>
              </a:ln>
            </c:spPr>
            <c:trendlineType val="linear"/>
            <c:forward val="31.5"/>
            <c:backward val="0.5"/>
            <c:dispRSqr val="0"/>
            <c:dispEq val="0"/>
          </c:trendline>
          <c:val>
            <c:numRef>
              <c:f>'Size, Schedule and Effort'!$AB$3:$AB$3</c:f>
              <c:numCache>
                <c:formatCode>General</c:formatCode>
                <c:ptCount val="1"/>
                <c:pt idx="0">
                  <c:v>10</c:v>
                </c:pt>
              </c:numCache>
            </c:numRef>
          </c:val>
          <c:smooth val="0"/>
          <c:extLst>
            <c:ext xmlns:c15="http://schemas.microsoft.com/office/drawing/2012/chart" uri="{02D57815-91ED-43cb-92C2-25804820EDAC}">
              <c15:filteredCategoryTitle>
                <c15:cat>
                  <c:strRef>
                    <c:extLst>
                      <c:ext uri="{02D57815-91ED-43cb-92C2-25804820EDAC}">
                        <c15:formulaRef>
                          <c15:sqref>'Size, Schedule and Effort'!#REF!</c15:sqref>
                        </c15:formulaRef>
                      </c:ext>
                    </c:extLst>
                    <c:strCache>
                      <c:ptCount val="1"/>
                      <c:pt idx="0">
                        <c:v>#REF!</c:v>
                      </c:pt>
                    </c:strCache>
                  </c:strRef>
                </c15:cat>
              </c15:filteredCategoryTitle>
            </c:ext>
            <c:ext xmlns:c16="http://schemas.microsoft.com/office/drawing/2014/chart" uri="{C3380CC4-5D6E-409C-BE32-E72D297353CC}">
              <c16:uniqueId val="{00000006-38F7-441D-8F8A-9E08A9EB46DC}"/>
            </c:ext>
          </c:extLst>
        </c:ser>
        <c:dLbls>
          <c:showLegendKey val="0"/>
          <c:showVal val="0"/>
          <c:showCatName val="0"/>
          <c:showSerName val="0"/>
          <c:showPercent val="0"/>
          <c:showBubbleSize val="0"/>
        </c:dLbls>
        <c:marker val="1"/>
        <c:smooth val="0"/>
        <c:axId val="87044480"/>
        <c:axId val="87046400"/>
      </c:lineChart>
      <c:catAx>
        <c:axId val="87044480"/>
        <c:scaling>
          <c:orientation val="minMax"/>
        </c:scaling>
        <c:delete val="0"/>
        <c:axPos val="b"/>
        <c:title>
          <c:tx>
            <c:rich>
              <a:bodyPr/>
              <a:lstStyle/>
              <a:p>
                <a:pPr>
                  <a:defRPr sz="1200" b="1" i="0" u="none" strike="noStrike" baseline="0">
                    <a:solidFill>
                      <a:srgbClr val="000000"/>
                    </a:solidFill>
                    <a:latin typeface="Arial"/>
                    <a:ea typeface="Arial"/>
                    <a:cs typeface="Arial"/>
                  </a:defRPr>
                </a:pPr>
                <a:r>
                  <a:rPr lang="en-US"/>
                  <a:t>Phase / Work product</a:t>
                </a:r>
              </a:p>
            </c:rich>
          </c:tx>
          <c:layout>
            <c:manualLayout>
              <c:xMode val="edge"/>
              <c:yMode val="edge"/>
              <c:x val="0.44460431654676258"/>
              <c:y val="0.69047785693454988"/>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2700000" vert="horz"/>
          <a:lstStyle/>
          <a:p>
            <a:pPr>
              <a:defRPr sz="1200" b="0" i="0" u="none" strike="noStrike" baseline="0">
                <a:solidFill>
                  <a:srgbClr val="000000"/>
                </a:solidFill>
                <a:latin typeface="Arial"/>
                <a:ea typeface="Arial"/>
                <a:cs typeface="Arial"/>
              </a:defRPr>
            </a:pPr>
            <a:endParaRPr lang="en-US"/>
          </a:p>
        </c:txPr>
        <c:crossAx val="87046400"/>
        <c:crosses val="autoZero"/>
        <c:auto val="1"/>
        <c:lblAlgn val="ctr"/>
        <c:lblOffset val="100"/>
        <c:tickLblSkip val="2"/>
        <c:tickMarkSkip val="1"/>
        <c:noMultiLvlLbl val="0"/>
      </c:catAx>
      <c:valAx>
        <c:axId val="87046400"/>
        <c:scaling>
          <c:orientation val="minMax"/>
        </c:scaling>
        <c:delete val="0"/>
        <c:axPos val="l"/>
        <c:title>
          <c:tx>
            <c:rich>
              <a:bodyPr/>
              <a:lstStyle/>
              <a:p>
                <a:pPr>
                  <a:defRPr sz="1200" b="1" i="0" u="none" strike="noStrike" baseline="0">
                    <a:solidFill>
                      <a:srgbClr val="000000"/>
                    </a:solidFill>
                    <a:latin typeface="Arial"/>
                    <a:ea typeface="Arial"/>
                    <a:cs typeface="Arial"/>
                  </a:defRPr>
                </a:pPr>
                <a:r>
                  <a:rPr lang="en-US"/>
                  <a:t>% Variance</a:t>
                </a:r>
              </a:p>
            </c:rich>
          </c:tx>
          <c:layout>
            <c:manualLayout>
              <c:xMode val="edge"/>
              <c:yMode val="edge"/>
              <c:x val="1.870503597122302E-2"/>
              <c:y val="0.12169339943618157"/>
            </c:manualLayout>
          </c:layout>
          <c:overlay val="0"/>
          <c:spPr>
            <a:noFill/>
            <a:ln w="25400">
              <a:noFill/>
            </a:ln>
          </c:spPr>
        </c:title>
        <c:numFmt formatCode="0\ &quot;%&quot;"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87044480"/>
        <c:crosses val="autoZero"/>
        <c:crossBetween val="between"/>
      </c:valAx>
      <c:spPr>
        <a:noFill/>
        <a:ln w="25400">
          <a:noFill/>
        </a:ln>
      </c:spPr>
    </c:plotArea>
    <c:legend>
      <c:legendPos val="r"/>
      <c:legendEntry>
        <c:idx val="1"/>
        <c:delete val="1"/>
      </c:legendEntry>
      <c:legendEntry>
        <c:idx val="2"/>
        <c:delete val="1"/>
      </c:legendEntry>
      <c:legendEntry>
        <c:idx val="3"/>
        <c:delete val="1"/>
      </c:legendEntry>
      <c:layout>
        <c:manualLayout>
          <c:xMode val="edge"/>
          <c:yMode val="edge"/>
          <c:x val="0.22158273381294963"/>
          <c:y val="0.92328292296796233"/>
          <c:w val="0.76546762589928052"/>
          <c:h val="6.3492341235123373E-2"/>
        </c:manualLayout>
      </c:layout>
      <c:overlay val="0"/>
      <c:spPr>
        <a:noFill/>
        <a:ln w="25400">
          <a:noFill/>
        </a:ln>
      </c:spPr>
      <c:txPr>
        <a:bodyPr/>
        <a:lstStyle/>
        <a:p>
          <a:pPr>
            <a:defRPr sz="64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printSettings>
    <c:headerFooter alignWithMargins="0">
      <c:oddHeader>&amp;L&amp;"Arial,Bold"&amp;14PM Workbook - SDLC&amp;"Arial,Regular"&amp;10
PLCT013-1.4&amp;R&amp;"Arial,Bold"&amp;14HCL Technologies</c:oddHeader>
      <c:oddFooter>&amp;L&amp;F / &amp;A&amp;CHCLT Confidential&amp;RSheet &amp;P of &amp;N</c:oddFooter>
    </c:headerFooter>
    <c:pageMargins b="1" l="0.75" r="0.75" t="1" header="0.5" footer="0.5"/>
    <c:pageSetup paperSize="9" orientation="landscape"/>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50" b="0" i="0" u="none" strike="noStrike" baseline="0">
                <a:solidFill>
                  <a:srgbClr val="000000"/>
                </a:solidFill>
                <a:latin typeface="Arial"/>
                <a:ea typeface="Arial"/>
                <a:cs typeface="Arial"/>
              </a:defRPr>
            </a:pPr>
            <a:r>
              <a:rPr lang="en-US" sz="1200" b="1" i="0" u="none" strike="noStrike" baseline="0">
                <a:solidFill>
                  <a:srgbClr val="000000"/>
                </a:solidFill>
                <a:latin typeface="Arial"/>
                <a:cs typeface="Arial"/>
              </a:rPr>
              <a:t>EV</a:t>
            </a:r>
            <a:r>
              <a:rPr lang="en-US" sz="1200" b="1" i="0" u="none" strike="noStrike" baseline="-25000">
                <a:solidFill>
                  <a:srgbClr val="000000"/>
                </a:solidFill>
                <a:latin typeface="Arial"/>
                <a:cs typeface="Arial"/>
              </a:rPr>
              <a:t>B</a:t>
            </a:r>
          </a:p>
        </c:rich>
      </c:tx>
      <c:layout>
        <c:manualLayout>
          <c:xMode val="edge"/>
          <c:yMode val="edge"/>
          <c:x val="0.47742818057455538"/>
          <c:y val="3.1914893617021274E-2"/>
        </c:manualLayout>
      </c:layout>
      <c:overlay val="0"/>
      <c:spPr>
        <a:noFill/>
        <a:ln w="25400">
          <a:noFill/>
        </a:ln>
      </c:spPr>
    </c:title>
    <c:autoTitleDeleted val="0"/>
    <c:plotArea>
      <c:layout>
        <c:manualLayout>
          <c:layoutTarget val="inner"/>
          <c:xMode val="edge"/>
          <c:yMode val="edge"/>
          <c:x val="0.13679890560875513"/>
          <c:y val="0.1196810064840198"/>
          <c:w val="0.77838577291381672"/>
          <c:h val="0.39095795451446469"/>
        </c:manualLayout>
      </c:layout>
      <c:lineChart>
        <c:grouping val="standard"/>
        <c:varyColors val="0"/>
        <c:ser>
          <c:idx val="0"/>
          <c:order val="0"/>
          <c:tx>
            <c:strRef>
              <c:f>'Size, Schedule and Effort'!$N$2</c:f>
              <c:strCache>
                <c:ptCount val="1"/>
                <c:pt idx="0">
                  <c:v>EVB (Cumulative)</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val>
            <c:numRef>
              <c:f>'Size, Schedule and Effort'!$N$3:$N$28</c:f>
              <c:numCache>
                <c:formatCode>0.00\ "%"</c:formatCode>
                <c:ptCount val="26"/>
                <c:pt idx="0">
                  <c:v>0</c:v>
                </c:pt>
                <c:pt idx="1">
                  <c:v>0</c:v>
                </c:pt>
                <c:pt idx="2">
                  <c:v>0</c:v>
                </c:pt>
                <c:pt idx="3">
                  <c:v>0</c:v>
                </c:pt>
                <c:pt idx="4">
                  <c:v>0</c:v>
                </c:pt>
                <c:pt idx="5">
                  <c:v>0</c:v>
                </c:pt>
                <c:pt idx="25">
                  <c:v>0</c:v>
                </c:pt>
              </c:numCache>
            </c:numRef>
          </c:val>
          <c:smooth val="0"/>
          <c:extLst>
            <c:ext xmlns:c15="http://schemas.microsoft.com/office/drawing/2012/chart" uri="{02D57815-91ED-43cb-92C2-25804820EDAC}">
              <c15:filteredCategoryTitle>
                <c15:cat>
                  <c:strRef>
                    <c:extLst>
                      <c:ext uri="{02D57815-91ED-43cb-92C2-25804820EDAC}">
                        <c15:formulaRef>
                          <c15:sqref>'Size, Schedule and Effort'!#REF!</c15:sqref>
                        </c15:formulaRef>
                      </c:ext>
                    </c:extLst>
                    <c:strCache>
                      <c:ptCount val="1"/>
                      <c:pt idx="0">
                        <c:v>#REF!</c:v>
                      </c:pt>
                    </c:strCache>
                  </c:strRef>
                </c15:cat>
              </c15:filteredCategoryTitle>
            </c:ext>
            <c:ext xmlns:c16="http://schemas.microsoft.com/office/drawing/2014/chart" uri="{C3380CC4-5D6E-409C-BE32-E72D297353CC}">
              <c16:uniqueId val="{00000000-2C68-4BE6-8287-064754CEC596}"/>
            </c:ext>
          </c:extLst>
        </c:ser>
        <c:ser>
          <c:idx val="1"/>
          <c:order val="1"/>
          <c:spPr>
            <a:ln w="28575">
              <a:noFill/>
            </a:ln>
          </c:spPr>
          <c:marker>
            <c:symbol val="none"/>
          </c:marker>
          <c:trendline>
            <c:name>UCL</c:name>
            <c:spPr>
              <a:ln w="25400">
                <a:solidFill>
                  <a:srgbClr val="FF0000"/>
                </a:solidFill>
                <a:prstDash val="lgDash"/>
              </a:ln>
            </c:spPr>
            <c:trendlineType val="linear"/>
            <c:forward val="31.5"/>
            <c:backward val="0.5"/>
            <c:dispRSqr val="0"/>
            <c:dispEq val="0"/>
          </c:trendline>
          <c:val>
            <c:numRef>
              <c:f>'Size, Schedule and Effort'!$AP$3:$AP$3</c:f>
              <c:numCache>
                <c:formatCode>General</c:formatCode>
                <c:ptCount val="1"/>
                <c:pt idx="0">
                  <c:v>10</c:v>
                </c:pt>
              </c:numCache>
            </c:numRef>
          </c:val>
          <c:smooth val="0"/>
          <c:extLst>
            <c:ext xmlns:c15="http://schemas.microsoft.com/office/drawing/2012/chart" uri="{02D57815-91ED-43cb-92C2-25804820EDAC}">
              <c15:filteredCategoryTitle>
                <c15:cat>
                  <c:strRef>
                    <c:extLst>
                      <c:ext uri="{02D57815-91ED-43cb-92C2-25804820EDAC}">
                        <c15:formulaRef>
                          <c15:sqref>'Size, Schedule and Effort'!#REF!</c15:sqref>
                        </c15:formulaRef>
                      </c:ext>
                    </c:extLst>
                    <c:strCache>
                      <c:ptCount val="1"/>
                      <c:pt idx="0">
                        <c:v>#REF!</c:v>
                      </c:pt>
                    </c:strCache>
                  </c:strRef>
                </c15:cat>
              </c15:filteredCategoryTitle>
            </c:ext>
            <c:ext xmlns:c16="http://schemas.microsoft.com/office/drawing/2014/chart" uri="{C3380CC4-5D6E-409C-BE32-E72D297353CC}">
              <c16:uniqueId val="{00000002-2C68-4BE6-8287-064754CEC596}"/>
            </c:ext>
          </c:extLst>
        </c:ser>
        <c:ser>
          <c:idx val="2"/>
          <c:order val="2"/>
          <c:spPr>
            <a:ln w="28575">
              <a:noFill/>
            </a:ln>
          </c:spPr>
          <c:marker>
            <c:symbol val="none"/>
          </c:marker>
          <c:trendline>
            <c:name>LCL</c:name>
            <c:spPr>
              <a:ln w="25400">
                <a:solidFill>
                  <a:srgbClr val="FF9900"/>
                </a:solidFill>
                <a:prstDash val="lgDash"/>
              </a:ln>
            </c:spPr>
            <c:trendlineType val="linear"/>
            <c:forward val="31.5"/>
            <c:backward val="0.5"/>
            <c:dispRSqr val="0"/>
            <c:dispEq val="0"/>
          </c:trendline>
          <c:val>
            <c:numRef>
              <c:f>'Size, Schedule and Effort'!$AQ$3:$AQ$3</c:f>
              <c:numCache>
                <c:formatCode>General</c:formatCode>
                <c:ptCount val="1"/>
                <c:pt idx="0">
                  <c:v>0</c:v>
                </c:pt>
              </c:numCache>
            </c:numRef>
          </c:val>
          <c:smooth val="0"/>
          <c:extLst>
            <c:ext xmlns:c15="http://schemas.microsoft.com/office/drawing/2012/chart" uri="{02D57815-91ED-43cb-92C2-25804820EDAC}">
              <c15:filteredCategoryTitle>
                <c15:cat>
                  <c:strRef>
                    <c:extLst>
                      <c:ext uri="{02D57815-91ED-43cb-92C2-25804820EDAC}">
                        <c15:formulaRef>
                          <c15:sqref>'Size, Schedule and Effort'!#REF!</c15:sqref>
                        </c15:formulaRef>
                      </c:ext>
                    </c:extLst>
                    <c:strCache>
                      <c:ptCount val="1"/>
                      <c:pt idx="0">
                        <c:v>#REF!</c:v>
                      </c:pt>
                    </c:strCache>
                  </c:strRef>
                </c15:cat>
              </c15:filteredCategoryTitle>
            </c:ext>
            <c:ext xmlns:c16="http://schemas.microsoft.com/office/drawing/2014/chart" uri="{C3380CC4-5D6E-409C-BE32-E72D297353CC}">
              <c16:uniqueId val="{00000004-2C68-4BE6-8287-064754CEC596}"/>
            </c:ext>
          </c:extLst>
        </c:ser>
        <c:ser>
          <c:idx val="3"/>
          <c:order val="3"/>
          <c:spPr>
            <a:ln w="28575">
              <a:noFill/>
            </a:ln>
          </c:spPr>
          <c:marker>
            <c:symbol val="none"/>
          </c:marker>
          <c:trendline>
            <c:name>Project Goal</c:name>
            <c:spPr>
              <a:ln w="25400">
                <a:pattFill prst="pct75">
                  <a:fgClr>
                    <a:srgbClr val="000000"/>
                  </a:fgClr>
                  <a:bgClr>
                    <a:srgbClr val="FFFFFF"/>
                  </a:bgClr>
                </a:pattFill>
                <a:prstDash val="solid"/>
              </a:ln>
            </c:spPr>
            <c:trendlineType val="linear"/>
            <c:forward val="31.5"/>
            <c:backward val="0.5"/>
            <c:dispRSqr val="0"/>
            <c:dispEq val="0"/>
          </c:trendline>
          <c:val>
            <c:numRef>
              <c:f>'Size, Schedule and Effort'!$AC$3:$AC$3</c:f>
              <c:numCache>
                <c:formatCode>General</c:formatCode>
                <c:ptCount val="1"/>
                <c:pt idx="0">
                  <c:v>5</c:v>
                </c:pt>
              </c:numCache>
            </c:numRef>
          </c:val>
          <c:smooth val="0"/>
          <c:extLst>
            <c:ext xmlns:c15="http://schemas.microsoft.com/office/drawing/2012/chart" uri="{02D57815-91ED-43cb-92C2-25804820EDAC}">
              <c15:filteredCategoryTitle>
                <c15:cat>
                  <c:strRef>
                    <c:extLst>
                      <c:ext uri="{02D57815-91ED-43cb-92C2-25804820EDAC}">
                        <c15:formulaRef>
                          <c15:sqref>'Size, Schedule and Effort'!#REF!</c15:sqref>
                        </c15:formulaRef>
                      </c:ext>
                    </c:extLst>
                    <c:strCache>
                      <c:ptCount val="1"/>
                      <c:pt idx="0">
                        <c:v>#REF!</c:v>
                      </c:pt>
                    </c:strCache>
                  </c:strRef>
                </c15:cat>
              </c15:filteredCategoryTitle>
            </c:ext>
            <c:ext xmlns:c16="http://schemas.microsoft.com/office/drawing/2014/chart" uri="{C3380CC4-5D6E-409C-BE32-E72D297353CC}">
              <c16:uniqueId val="{00000006-2C68-4BE6-8287-064754CEC596}"/>
            </c:ext>
          </c:extLst>
        </c:ser>
        <c:dLbls>
          <c:showLegendKey val="0"/>
          <c:showVal val="0"/>
          <c:showCatName val="0"/>
          <c:showSerName val="0"/>
          <c:showPercent val="0"/>
          <c:showBubbleSize val="0"/>
        </c:dLbls>
        <c:marker val="1"/>
        <c:smooth val="0"/>
        <c:axId val="87115648"/>
        <c:axId val="87154688"/>
      </c:lineChart>
      <c:catAx>
        <c:axId val="87115648"/>
        <c:scaling>
          <c:orientation val="minMax"/>
        </c:scaling>
        <c:delete val="0"/>
        <c:axPos val="b"/>
        <c:title>
          <c:tx>
            <c:rich>
              <a:bodyPr/>
              <a:lstStyle/>
              <a:p>
                <a:pPr>
                  <a:defRPr sz="1450" b="1" i="0" u="none" strike="noStrike" baseline="0">
                    <a:solidFill>
                      <a:srgbClr val="000000"/>
                    </a:solidFill>
                    <a:latin typeface="Arial"/>
                    <a:ea typeface="Arial"/>
                    <a:cs typeface="Arial"/>
                  </a:defRPr>
                </a:pPr>
                <a:r>
                  <a:rPr lang="en-US"/>
                  <a:t>Phase / Work product</a:t>
                </a:r>
              </a:p>
            </c:rich>
          </c:tx>
          <c:layout>
            <c:manualLayout>
              <c:xMode val="edge"/>
              <c:yMode val="edge"/>
              <c:x val="0.38577291381668949"/>
              <c:y val="0.72074551851231361"/>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5400000" vert="horz"/>
          <a:lstStyle/>
          <a:p>
            <a:pPr>
              <a:defRPr sz="1450" b="0" i="0" u="none" strike="noStrike" baseline="0">
                <a:solidFill>
                  <a:srgbClr val="000000"/>
                </a:solidFill>
                <a:latin typeface="Arial"/>
                <a:ea typeface="Arial"/>
                <a:cs typeface="Arial"/>
              </a:defRPr>
            </a:pPr>
            <a:endParaRPr lang="en-US"/>
          </a:p>
        </c:txPr>
        <c:crossAx val="87154688"/>
        <c:crosses val="autoZero"/>
        <c:auto val="1"/>
        <c:lblAlgn val="ctr"/>
        <c:lblOffset val="100"/>
        <c:tickLblSkip val="2"/>
        <c:tickMarkSkip val="1"/>
        <c:noMultiLvlLbl val="0"/>
      </c:catAx>
      <c:valAx>
        <c:axId val="87154688"/>
        <c:scaling>
          <c:orientation val="minMax"/>
        </c:scaling>
        <c:delete val="0"/>
        <c:axPos val="l"/>
        <c:title>
          <c:tx>
            <c:rich>
              <a:bodyPr/>
              <a:lstStyle/>
              <a:p>
                <a:pPr>
                  <a:defRPr sz="1450" b="1" i="0" u="none" strike="noStrike" baseline="0">
                    <a:solidFill>
                      <a:srgbClr val="000000"/>
                    </a:solidFill>
                    <a:latin typeface="Arial"/>
                    <a:ea typeface="Arial"/>
                    <a:cs typeface="Arial"/>
                  </a:defRPr>
                </a:pPr>
                <a:r>
                  <a:rPr lang="en-US"/>
                  <a:t>% Variance</a:t>
                </a:r>
              </a:p>
            </c:rich>
          </c:tx>
          <c:layout>
            <c:manualLayout>
              <c:xMode val="edge"/>
              <c:yMode val="edge"/>
              <c:x val="1.6415868673050615E-2"/>
              <c:y val="0.15159602390126764"/>
            </c:manualLayout>
          </c:layout>
          <c:overlay val="0"/>
          <c:spPr>
            <a:noFill/>
            <a:ln w="25400">
              <a:noFill/>
            </a:ln>
          </c:spPr>
        </c:title>
        <c:numFmt formatCode="0\ &quot;%&quot;" sourceLinked="0"/>
        <c:majorTickMark val="out"/>
        <c:minorTickMark val="none"/>
        <c:tickLblPos val="nextTo"/>
        <c:spPr>
          <a:ln w="3175">
            <a:solidFill>
              <a:srgbClr val="000000"/>
            </a:solidFill>
            <a:prstDash val="solid"/>
          </a:ln>
        </c:spPr>
        <c:txPr>
          <a:bodyPr rot="0" vert="horz"/>
          <a:lstStyle/>
          <a:p>
            <a:pPr>
              <a:defRPr sz="1450" b="0" i="0" u="none" strike="noStrike" baseline="0">
                <a:solidFill>
                  <a:srgbClr val="000000"/>
                </a:solidFill>
                <a:latin typeface="Arial"/>
                <a:ea typeface="Arial"/>
                <a:cs typeface="Arial"/>
              </a:defRPr>
            </a:pPr>
            <a:endParaRPr lang="en-US"/>
          </a:p>
        </c:txPr>
        <c:crossAx val="87115648"/>
        <c:crosses val="autoZero"/>
        <c:crossBetween val="between"/>
      </c:valAx>
      <c:spPr>
        <a:noFill/>
        <a:ln w="25400">
          <a:noFill/>
        </a:ln>
      </c:spPr>
    </c:plotArea>
    <c:legend>
      <c:legendPos val="r"/>
      <c:legendEntry>
        <c:idx val="1"/>
        <c:delete val="1"/>
      </c:legendEntry>
      <c:legendEntry>
        <c:idx val="2"/>
        <c:delete val="1"/>
      </c:legendEntry>
      <c:legendEntry>
        <c:idx val="3"/>
        <c:delete val="1"/>
      </c:legendEntry>
      <c:layout>
        <c:manualLayout>
          <c:xMode val="edge"/>
          <c:yMode val="edge"/>
          <c:x val="9.575923392612859E-3"/>
          <c:y val="0.90159686156251739"/>
          <c:w val="0.75376196990424083"/>
          <c:h val="5.851035907745572E-2"/>
        </c:manualLayout>
      </c:layout>
      <c:overlay val="0"/>
      <c:spPr>
        <a:noFill/>
        <a:ln w="25400">
          <a:noFill/>
        </a:ln>
      </c:spPr>
      <c:txPr>
        <a:bodyPr/>
        <a:lstStyle/>
        <a:p>
          <a:pPr>
            <a:defRPr sz="64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4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0" i="0" u="none" strike="noStrike" baseline="0">
                <a:solidFill>
                  <a:srgbClr val="000000"/>
                </a:solidFill>
                <a:latin typeface="Arial"/>
                <a:ea typeface="Arial"/>
                <a:cs typeface="Arial"/>
              </a:defRPr>
            </a:pPr>
            <a:r>
              <a:rPr lang="en-US" sz="1200" b="1" i="0" u="none" strike="noStrike" baseline="0">
                <a:solidFill>
                  <a:srgbClr val="000000"/>
                </a:solidFill>
                <a:latin typeface="Arial"/>
                <a:cs typeface="Arial"/>
              </a:rPr>
              <a:t>SV</a:t>
            </a:r>
            <a:r>
              <a:rPr lang="en-US" sz="1200" b="1" i="0" u="none" strike="noStrike" baseline="-25000">
                <a:solidFill>
                  <a:srgbClr val="000000"/>
                </a:solidFill>
                <a:latin typeface="Arial"/>
                <a:cs typeface="Arial"/>
              </a:rPr>
              <a:t>A</a:t>
            </a:r>
          </a:p>
        </c:rich>
      </c:tx>
      <c:layout>
        <c:manualLayout>
          <c:xMode val="edge"/>
          <c:yMode val="edge"/>
          <c:x val="0.47482014388489208"/>
          <c:y val="3.3846153846153845E-2"/>
        </c:manualLayout>
      </c:layout>
      <c:overlay val="0"/>
      <c:spPr>
        <a:noFill/>
        <a:ln w="25400">
          <a:noFill/>
        </a:ln>
      </c:spPr>
    </c:title>
    <c:autoTitleDeleted val="0"/>
    <c:plotArea>
      <c:layout>
        <c:manualLayout>
          <c:layoutTarget val="inner"/>
          <c:xMode val="edge"/>
          <c:yMode val="edge"/>
          <c:x val="0.14820143884892087"/>
          <c:y val="0.1230771079884435"/>
          <c:w val="0.76402877697841731"/>
          <c:h val="0.34769283006735285"/>
        </c:manualLayout>
      </c:layout>
      <c:lineChart>
        <c:grouping val="standard"/>
        <c:varyColors val="0"/>
        <c:ser>
          <c:idx val="0"/>
          <c:order val="0"/>
          <c:tx>
            <c:strRef>
              <c:f>'Size, Schedule and Effort'!$K$2:$K$2</c:f>
              <c:strCache>
                <c:ptCount val="1"/>
                <c:pt idx="0">
                  <c:v>SVA (Cumulative)</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val>
            <c:numRef>
              <c:f>'Size, Schedule and Effort'!$K$3:$K$28</c:f>
              <c:numCache>
                <c:formatCode>General</c:formatCode>
                <c:ptCount val="26"/>
                <c:pt idx="0">
                  <c:v>0</c:v>
                </c:pt>
                <c:pt idx="1">
                  <c:v>0</c:v>
                </c:pt>
                <c:pt idx="2">
                  <c:v>0</c:v>
                </c:pt>
                <c:pt idx="3">
                  <c:v>0</c:v>
                </c:pt>
                <c:pt idx="4">
                  <c:v>0</c:v>
                </c:pt>
                <c:pt idx="5">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formatCode="0.00\ &quot;%&quot;">
                  <c:v>0</c:v>
                </c:pt>
              </c:numCache>
            </c:numRef>
          </c:val>
          <c:smooth val="0"/>
          <c:extLst>
            <c:ext xmlns:c15="http://schemas.microsoft.com/office/drawing/2012/chart" uri="{02D57815-91ED-43cb-92C2-25804820EDAC}">
              <c15:filteredCategoryTitle>
                <c15:cat>
                  <c:strRef>
                    <c:extLst>
                      <c:ext uri="{02D57815-91ED-43cb-92C2-25804820EDAC}">
                        <c15:formulaRef>
                          <c15:sqref>'Size, Schedule and Effort'!#REF!</c15:sqref>
                        </c15:formulaRef>
                      </c:ext>
                    </c:extLst>
                    <c:strCache>
                      <c:ptCount val="1"/>
                      <c:pt idx="0">
                        <c:v>#REF!</c:v>
                      </c:pt>
                    </c:strCache>
                  </c:strRef>
                </c15:cat>
              </c15:filteredCategoryTitle>
            </c:ext>
            <c:ext xmlns:c16="http://schemas.microsoft.com/office/drawing/2014/chart" uri="{C3380CC4-5D6E-409C-BE32-E72D297353CC}">
              <c16:uniqueId val="{00000000-6EF9-4D3A-A659-19DC8E674CB5}"/>
            </c:ext>
          </c:extLst>
        </c:ser>
        <c:ser>
          <c:idx val="1"/>
          <c:order val="1"/>
          <c:spPr>
            <a:ln w="28575">
              <a:noFill/>
            </a:ln>
          </c:spPr>
          <c:marker>
            <c:symbol val="none"/>
          </c:marker>
          <c:trendline>
            <c:name>UCL</c:name>
            <c:spPr>
              <a:ln w="25400">
                <a:solidFill>
                  <a:srgbClr val="FF0000"/>
                </a:solidFill>
                <a:prstDash val="lgDash"/>
              </a:ln>
            </c:spPr>
            <c:trendlineType val="linear"/>
            <c:forward val="31.5"/>
            <c:backward val="0.5"/>
            <c:dispRSqr val="0"/>
            <c:dispEq val="0"/>
          </c:trendline>
          <c:val>
            <c:numRef>
              <c:f>'Size, Schedule and Effort'!$AR$3:$AR$3</c:f>
              <c:numCache>
                <c:formatCode>General</c:formatCode>
                <c:ptCount val="1"/>
                <c:pt idx="0">
                  <c:v>15</c:v>
                </c:pt>
              </c:numCache>
            </c:numRef>
          </c:val>
          <c:smooth val="0"/>
          <c:extLst>
            <c:ext xmlns:c15="http://schemas.microsoft.com/office/drawing/2012/chart" uri="{02D57815-91ED-43cb-92C2-25804820EDAC}">
              <c15:filteredCategoryTitle>
                <c15:cat>
                  <c:strRef>
                    <c:extLst>
                      <c:ext uri="{02D57815-91ED-43cb-92C2-25804820EDAC}">
                        <c15:formulaRef>
                          <c15:sqref>'Size, Schedule and Effort'!#REF!</c15:sqref>
                        </c15:formulaRef>
                      </c:ext>
                    </c:extLst>
                    <c:strCache>
                      <c:ptCount val="1"/>
                      <c:pt idx="0">
                        <c:v>#REF!</c:v>
                      </c:pt>
                    </c:strCache>
                  </c:strRef>
                </c15:cat>
              </c15:filteredCategoryTitle>
            </c:ext>
            <c:ext xmlns:c16="http://schemas.microsoft.com/office/drawing/2014/chart" uri="{C3380CC4-5D6E-409C-BE32-E72D297353CC}">
              <c16:uniqueId val="{00000002-6EF9-4D3A-A659-19DC8E674CB5}"/>
            </c:ext>
          </c:extLst>
        </c:ser>
        <c:ser>
          <c:idx val="2"/>
          <c:order val="2"/>
          <c:spPr>
            <a:ln w="28575">
              <a:noFill/>
            </a:ln>
          </c:spPr>
          <c:marker>
            <c:symbol val="none"/>
          </c:marker>
          <c:trendline>
            <c:name>LCL</c:name>
            <c:spPr>
              <a:ln w="25400">
                <a:solidFill>
                  <a:srgbClr val="FF9900"/>
                </a:solidFill>
                <a:prstDash val="lgDash"/>
              </a:ln>
            </c:spPr>
            <c:trendlineType val="linear"/>
            <c:forward val="31.5"/>
            <c:backward val="0.5"/>
            <c:dispRSqr val="0"/>
            <c:dispEq val="0"/>
          </c:trendline>
          <c:val>
            <c:numRef>
              <c:f>'Size, Schedule and Effort'!$AS$3:$AS$3</c:f>
              <c:numCache>
                <c:formatCode>General</c:formatCode>
                <c:ptCount val="1"/>
                <c:pt idx="0">
                  <c:v>0</c:v>
                </c:pt>
              </c:numCache>
            </c:numRef>
          </c:val>
          <c:smooth val="0"/>
          <c:extLst>
            <c:ext xmlns:c15="http://schemas.microsoft.com/office/drawing/2012/chart" uri="{02D57815-91ED-43cb-92C2-25804820EDAC}">
              <c15:filteredCategoryTitle>
                <c15:cat>
                  <c:strRef>
                    <c:extLst>
                      <c:ext uri="{02D57815-91ED-43cb-92C2-25804820EDAC}">
                        <c15:formulaRef>
                          <c15:sqref>'Size, Schedule and Effort'!#REF!</c15:sqref>
                        </c15:formulaRef>
                      </c:ext>
                    </c:extLst>
                    <c:strCache>
                      <c:ptCount val="1"/>
                      <c:pt idx="0">
                        <c:v>#REF!</c:v>
                      </c:pt>
                    </c:strCache>
                  </c:strRef>
                </c15:cat>
              </c15:filteredCategoryTitle>
            </c:ext>
            <c:ext xmlns:c16="http://schemas.microsoft.com/office/drawing/2014/chart" uri="{C3380CC4-5D6E-409C-BE32-E72D297353CC}">
              <c16:uniqueId val="{00000004-6EF9-4D3A-A659-19DC8E674CB5}"/>
            </c:ext>
          </c:extLst>
        </c:ser>
        <c:ser>
          <c:idx val="3"/>
          <c:order val="3"/>
          <c:spPr>
            <a:ln w="28575">
              <a:noFill/>
            </a:ln>
          </c:spPr>
          <c:marker>
            <c:symbol val="none"/>
          </c:marker>
          <c:trendline>
            <c:name>Project Goal</c:name>
            <c:spPr>
              <a:ln w="25400">
                <a:pattFill prst="pct75">
                  <a:fgClr>
                    <a:srgbClr val="000000"/>
                  </a:fgClr>
                  <a:bgClr>
                    <a:srgbClr val="FFFFFF"/>
                  </a:bgClr>
                </a:pattFill>
                <a:prstDash val="solid"/>
              </a:ln>
            </c:spPr>
            <c:trendlineType val="linear"/>
            <c:forward val="31.5"/>
            <c:backward val="0.5"/>
            <c:dispRSqr val="0"/>
            <c:dispEq val="0"/>
          </c:trendline>
          <c:val>
            <c:numRef>
              <c:f>'Size, Schedule and Effort'!$Z$3:$Z$3</c:f>
              <c:numCache>
                <c:formatCode>General</c:formatCode>
                <c:ptCount val="1"/>
                <c:pt idx="0">
                  <c:v>10</c:v>
                </c:pt>
              </c:numCache>
            </c:numRef>
          </c:val>
          <c:smooth val="0"/>
          <c:extLst>
            <c:ext xmlns:c15="http://schemas.microsoft.com/office/drawing/2012/chart" uri="{02D57815-91ED-43cb-92C2-25804820EDAC}">
              <c15:filteredCategoryTitle>
                <c15:cat>
                  <c:strRef>
                    <c:extLst>
                      <c:ext uri="{02D57815-91ED-43cb-92C2-25804820EDAC}">
                        <c15:formulaRef>
                          <c15:sqref>'Size, Schedule and Effort'!#REF!</c15:sqref>
                        </c15:formulaRef>
                      </c:ext>
                    </c:extLst>
                    <c:strCache>
                      <c:ptCount val="1"/>
                      <c:pt idx="0">
                        <c:v>#REF!</c:v>
                      </c:pt>
                    </c:strCache>
                  </c:strRef>
                </c15:cat>
              </c15:filteredCategoryTitle>
            </c:ext>
            <c:ext xmlns:c16="http://schemas.microsoft.com/office/drawing/2014/chart" uri="{C3380CC4-5D6E-409C-BE32-E72D297353CC}">
              <c16:uniqueId val="{00000006-6EF9-4D3A-A659-19DC8E674CB5}"/>
            </c:ext>
          </c:extLst>
        </c:ser>
        <c:dLbls>
          <c:showLegendKey val="0"/>
          <c:showVal val="0"/>
          <c:showCatName val="0"/>
          <c:showSerName val="0"/>
          <c:showPercent val="0"/>
          <c:showBubbleSize val="0"/>
        </c:dLbls>
        <c:marker val="1"/>
        <c:smooth val="0"/>
        <c:axId val="91058176"/>
        <c:axId val="91060096"/>
      </c:lineChart>
      <c:catAx>
        <c:axId val="91058176"/>
        <c:scaling>
          <c:orientation val="minMax"/>
        </c:scaling>
        <c:delete val="0"/>
        <c:axPos val="b"/>
        <c:title>
          <c:tx>
            <c:rich>
              <a:bodyPr/>
              <a:lstStyle/>
              <a:p>
                <a:pPr>
                  <a:defRPr sz="1200" b="1" i="0" u="none" strike="noStrike" baseline="0">
                    <a:solidFill>
                      <a:srgbClr val="000000"/>
                    </a:solidFill>
                    <a:latin typeface="Arial"/>
                    <a:ea typeface="Arial"/>
                    <a:cs typeface="Arial"/>
                  </a:defRPr>
                </a:pPr>
                <a:r>
                  <a:rPr lang="en-US"/>
                  <a:t>Phase / Work product</a:t>
                </a:r>
              </a:p>
            </c:rich>
          </c:tx>
          <c:layout>
            <c:manualLayout>
              <c:xMode val="edge"/>
              <c:yMode val="edge"/>
              <c:x val="0.40719424460431652"/>
              <c:y val="0.67384712295578431"/>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5400000" vert="horz"/>
          <a:lstStyle/>
          <a:p>
            <a:pPr>
              <a:defRPr sz="1200" b="0" i="0" u="none" strike="noStrike" baseline="0">
                <a:solidFill>
                  <a:srgbClr val="000000"/>
                </a:solidFill>
                <a:latin typeface="Arial"/>
                <a:ea typeface="Arial"/>
                <a:cs typeface="Arial"/>
              </a:defRPr>
            </a:pPr>
            <a:endParaRPr lang="en-US"/>
          </a:p>
        </c:txPr>
        <c:crossAx val="91060096"/>
        <c:crosses val="autoZero"/>
        <c:auto val="1"/>
        <c:lblAlgn val="ctr"/>
        <c:lblOffset val="100"/>
        <c:tickLblSkip val="2"/>
        <c:tickMarkSkip val="1"/>
        <c:noMultiLvlLbl val="0"/>
      </c:catAx>
      <c:valAx>
        <c:axId val="91060096"/>
        <c:scaling>
          <c:orientation val="minMax"/>
        </c:scaling>
        <c:delete val="0"/>
        <c:axPos val="l"/>
        <c:title>
          <c:tx>
            <c:rich>
              <a:bodyPr/>
              <a:lstStyle/>
              <a:p>
                <a:pPr>
                  <a:defRPr sz="1200" b="1" i="0" u="none" strike="noStrike" baseline="0">
                    <a:solidFill>
                      <a:srgbClr val="000000"/>
                    </a:solidFill>
                    <a:latin typeface="Arial"/>
                    <a:ea typeface="Arial"/>
                    <a:cs typeface="Arial"/>
                  </a:defRPr>
                </a:pPr>
                <a:r>
                  <a:rPr lang="en-US"/>
                  <a:t>% Variance</a:t>
                </a:r>
              </a:p>
            </c:rich>
          </c:tx>
          <c:layout>
            <c:manualLayout>
              <c:xMode val="edge"/>
              <c:yMode val="edge"/>
              <c:x val="1.870503597122302E-2"/>
              <c:y val="0.15384647688269734"/>
            </c:manualLayout>
          </c:layout>
          <c:overlay val="0"/>
          <c:spPr>
            <a:noFill/>
            <a:ln w="25400">
              <a:noFill/>
            </a:ln>
          </c:spPr>
        </c:title>
        <c:numFmt formatCode="0\ &quot;%&quot;"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91058176"/>
        <c:crosses val="autoZero"/>
        <c:crossBetween val="between"/>
      </c:valAx>
      <c:spPr>
        <a:noFill/>
        <a:ln w="25400">
          <a:noFill/>
        </a:ln>
      </c:spPr>
    </c:plotArea>
    <c:legend>
      <c:legendPos val="r"/>
      <c:legendEntry>
        <c:idx val="1"/>
        <c:delete val="1"/>
      </c:legendEntry>
      <c:legendEntry>
        <c:idx val="2"/>
        <c:delete val="1"/>
      </c:legendEntry>
      <c:legendEntry>
        <c:idx val="3"/>
        <c:delete val="1"/>
      </c:legendEntry>
      <c:layout>
        <c:manualLayout>
          <c:xMode val="edge"/>
          <c:yMode val="edge"/>
          <c:x val="0.1539568345323741"/>
          <c:y val="0.92307821522309708"/>
          <c:w val="0.81151079136690651"/>
          <c:h val="6.7692307692307718E-2"/>
        </c:manualLayout>
      </c:layout>
      <c:overlay val="0"/>
      <c:spPr>
        <a:noFill/>
        <a:ln w="25400">
          <a:noFill/>
        </a:ln>
      </c:spPr>
      <c:txPr>
        <a:bodyPr/>
        <a:lstStyle/>
        <a:p>
          <a:pPr>
            <a:defRPr sz="64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0" i="0" u="none" strike="noStrike" baseline="0">
                <a:solidFill>
                  <a:srgbClr val="000000"/>
                </a:solidFill>
                <a:latin typeface="Arial"/>
                <a:ea typeface="Arial"/>
                <a:cs typeface="Arial"/>
              </a:defRPr>
            </a:pPr>
            <a:r>
              <a:rPr lang="en-US" sz="1200" b="1" i="0" u="none" strike="noStrike" baseline="0">
                <a:solidFill>
                  <a:srgbClr val="000000"/>
                </a:solidFill>
                <a:latin typeface="Arial"/>
                <a:cs typeface="Arial"/>
              </a:rPr>
              <a:t>SV</a:t>
            </a:r>
            <a:r>
              <a:rPr lang="en-US" sz="1200" b="1" i="0" u="none" strike="noStrike" baseline="-25000">
                <a:solidFill>
                  <a:srgbClr val="000000"/>
                </a:solidFill>
                <a:latin typeface="Arial"/>
                <a:cs typeface="Arial"/>
              </a:rPr>
              <a:t>B</a:t>
            </a:r>
          </a:p>
        </c:rich>
      </c:tx>
      <c:layout>
        <c:manualLayout>
          <c:xMode val="edge"/>
          <c:yMode val="edge"/>
          <c:x val="0.47742818057455538"/>
          <c:y val="3.3639143730886847E-2"/>
        </c:manualLayout>
      </c:layout>
      <c:overlay val="0"/>
      <c:spPr>
        <a:noFill/>
        <a:ln w="25400">
          <a:noFill/>
        </a:ln>
      </c:spPr>
    </c:title>
    <c:autoTitleDeleted val="0"/>
    <c:plotArea>
      <c:layout>
        <c:manualLayout>
          <c:layoutTarget val="inner"/>
          <c:xMode val="edge"/>
          <c:yMode val="edge"/>
          <c:x val="0.11901504787961696"/>
          <c:y val="0.12844075055174453"/>
          <c:w val="0.7934336525307798"/>
          <c:h val="0.41590338273898231"/>
        </c:manualLayout>
      </c:layout>
      <c:lineChart>
        <c:grouping val="standard"/>
        <c:varyColors val="0"/>
        <c:ser>
          <c:idx val="0"/>
          <c:order val="0"/>
          <c:tx>
            <c:strRef>
              <c:f>'Size, Schedule and Effort'!$L$2</c:f>
              <c:strCache>
                <c:ptCount val="1"/>
                <c:pt idx="0">
                  <c:v>SVB (Cumulative)</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val>
            <c:numRef>
              <c:f>'Size, Schedule and Effort'!$L$3:$L$28</c:f>
              <c:numCache>
                <c:formatCode>General</c:formatCode>
                <c:ptCount val="26"/>
                <c:pt idx="0">
                  <c:v>0</c:v>
                </c:pt>
                <c:pt idx="1">
                  <c:v>0</c:v>
                </c:pt>
                <c:pt idx="2">
                  <c:v>0</c:v>
                </c:pt>
                <c:pt idx="3">
                  <c:v>0</c:v>
                </c:pt>
                <c:pt idx="4">
                  <c:v>0</c:v>
                </c:pt>
                <c:pt idx="5">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formatCode="0.00\ &quot;%&quot;">
                  <c:v>0</c:v>
                </c:pt>
              </c:numCache>
            </c:numRef>
          </c:val>
          <c:smooth val="0"/>
          <c:extLst>
            <c:ext xmlns:c15="http://schemas.microsoft.com/office/drawing/2012/chart" uri="{02D57815-91ED-43cb-92C2-25804820EDAC}">
              <c15:filteredCategoryTitle>
                <c15:cat>
                  <c:strRef>
                    <c:extLst>
                      <c:ext uri="{02D57815-91ED-43cb-92C2-25804820EDAC}">
                        <c15:formulaRef>
                          <c15:sqref>'Size, Schedule and Effort'!#REF!</c15:sqref>
                        </c15:formulaRef>
                      </c:ext>
                    </c:extLst>
                    <c:strCache>
                      <c:ptCount val="1"/>
                      <c:pt idx="0">
                        <c:v>#REF!</c:v>
                      </c:pt>
                    </c:strCache>
                  </c:strRef>
                </c15:cat>
              </c15:filteredCategoryTitle>
            </c:ext>
            <c:ext xmlns:c16="http://schemas.microsoft.com/office/drawing/2014/chart" uri="{C3380CC4-5D6E-409C-BE32-E72D297353CC}">
              <c16:uniqueId val="{00000000-79AF-47D0-B19C-B2026A5E2AD4}"/>
            </c:ext>
          </c:extLst>
        </c:ser>
        <c:ser>
          <c:idx val="1"/>
          <c:order val="1"/>
          <c:spPr>
            <a:ln w="28575">
              <a:noFill/>
            </a:ln>
          </c:spPr>
          <c:marker>
            <c:symbol val="none"/>
          </c:marker>
          <c:trendline>
            <c:name>UCL</c:name>
            <c:spPr>
              <a:ln w="25400">
                <a:solidFill>
                  <a:srgbClr val="FF0000"/>
                </a:solidFill>
                <a:prstDash val="lgDash"/>
              </a:ln>
            </c:spPr>
            <c:trendlineType val="linear"/>
            <c:forward val="31.5"/>
            <c:backward val="0.5"/>
            <c:dispRSqr val="0"/>
            <c:dispEq val="0"/>
          </c:trendline>
          <c:val>
            <c:numRef>
              <c:f>'Size, Schedule and Effort'!$AT$3:$AT$3</c:f>
              <c:numCache>
                <c:formatCode>General</c:formatCode>
                <c:ptCount val="1"/>
                <c:pt idx="0">
                  <c:v>10</c:v>
                </c:pt>
              </c:numCache>
            </c:numRef>
          </c:val>
          <c:smooth val="0"/>
          <c:extLst>
            <c:ext xmlns:c15="http://schemas.microsoft.com/office/drawing/2012/chart" uri="{02D57815-91ED-43cb-92C2-25804820EDAC}">
              <c15:filteredCategoryTitle>
                <c15:cat>
                  <c:strRef>
                    <c:extLst>
                      <c:ext uri="{02D57815-91ED-43cb-92C2-25804820EDAC}">
                        <c15:formulaRef>
                          <c15:sqref>'Size, Schedule and Effort'!#REF!</c15:sqref>
                        </c15:formulaRef>
                      </c:ext>
                    </c:extLst>
                    <c:strCache>
                      <c:ptCount val="1"/>
                      <c:pt idx="0">
                        <c:v>#REF!</c:v>
                      </c:pt>
                    </c:strCache>
                  </c:strRef>
                </c15:cat>
              </c15:filteredCategoryTitle>
            </c:ext>
            <c:ext xmlns:c16="http://schemas.microsoft.com/office/drawing/2014/chart" uri="{C3380CC4-5D6E-409C-BE32-E72D297353CC}">
              <c16:uniqueId val="{00000002-79AF-47D0-B19C-B2026A5E2AD4}"/>
            </c:ext>
          </c:extLst>
        </c:ser>
        <c:ser>
          <c:idx val="2"/>
          <c:order val="2"/>
          <c:spPr>
            <a:ln w="28575">
              <a:noFill/>
            </a:ln>
          </c:spPr>
          <c:marker>
            <c:symbol val="none"/>
          </c:marker>
          <c:trendline>
            <c:name>LCL</c:name>
            <c:spPr>
              <a:ln w="25400">
                <a:solidFill>
                  <a:srgbClr val="FF9900"/>
                </a:solidFill>
                <a:prstDash val="lgDash"/>
              </a:ln>
            </c:spPr>
            <c:trendlineType val="linear"/>
            <c:forward val="31.5"/>
            <c:backward val="0.5"/>
            <c:dispRSqr val="0"/>
            <c:dispEq val="0"/>
          </c:trendline>
          <c:val>
            <c:numRef>
              <c:f>'Size, Schedule and Effort'!$AU$3:$AU$3</c:f>
              <c:numCache>
                <c:formatCode>General</c:formatCode>
                <c:ptCount val="1"/>
                <c:pt idx="0">
                  <c:v>0</c:v>
                </c:pt>
              </c:numCache>
            </c:numRef>
          </c:val>
          <c:smooth val="0"/>
          <c:extLst>
            <c:ext xmlns:c15="http://schemas.microsoft.com/office/drawing/2012/chart" uri="{02D57815-91ED-43cb-92C2-25804820EDAC}">
              <c15:filteredCategoryTitle>
                <c15:cat>
                  <c:strRef>
                    <c:extLst>
                      <c:ext uri="{02D57815-91ED-43cb-92C2-25804820EDAC}">
                        <c15:formulaRef>
                          <c15:sqref>'Size, Schedule and Effort'!#REF!</c15:sqref>
                        </c15:formulaRef>
                      </c:ext>
                    </c:extLst>
                    <c:strCache>
                      <c:ptCount val="1"/>
                      <c:pt idx="0">
                        <c:v>#REF!</c:v>
                      </c:pt>
                    </c:strCache>
                  </c:strRef>
                </c15:cat>
              </c15:filteredCategoryTitle>
            </c:ext>
            <c:ext xmlns:c16="http://schemas.microsoft.com/office/drawing/2014/chart" uri="{C3380CC4-5D6E-409C-BE32-E72D297353CC}">
              <c16:uniqueId val="{00000004-79AF-47D0-B19C-B2026A5E2AD4}"/>
            </c:ext>
          </c:extLst>
        </c:ser>
        <c:ser>
          <c:idx val="3"/>
          <c:order val="3"/>
          <c:spPr>
            <a:ln w="28575">
              <a:noFill/>
            </a:ln>
          </c:spPr>
          <c:marker>
            <c:symbol val="none"/>
          </c:marker>
          <c:trendline>
            <c:name>Project Goal</c:name>
            <c:spPr>
              <a:ln w="25400">
                <a:pattFill prst="pct75">
                  <a:fgClr>
                    <a:srgbClr val="000000"/>
                  </a:fgClr>
                  <a:bgClr>
                    <a:srgbClr val="FFFFFF"/>
                  </a:bgClr>
                </a:pattFill>
                <a:prstDash val="solid"/>
              </a:ln>
            </c:spPr>
            <c:trendlineType val="linear"/>
            <c:forward val="31.5"/>
            <c:backward val="0.5"/>
            <c:dispRSqr val="0"/>
            <c:dispEq val="0"/>
          </c:trendline>
          <c:val>
            <c:numRef>
              <c:f>'Size, Schedule and Effort'!$AA$3:$AA$3</c:f>
              <c:numCache>
                <c:formatCode>General</c:formatCode>
                <c:ptCount val="1"/>
                <c:pt idx="0">
                  <c:v>5</c:v>
                </c:pt>
              </c:numCache>
            </c:numRef>
          </c:val>
          <c:smooth val="0"/>
          <c:extLst>
            <c:ext xmlns:c15="http://schemas.microsoft.com/office/drawing/2012/chart" uri="{02D57815-91ED-43cb-92C2-25804820EDAC}">
              <c15:filteredCategoryTitle>
                <c15:cat>
                  <c:strRef>
                    <c:extLst>
                      <c:ext uri="{02D57815-91ED-43cb-92C2-25804820EDAC}">
                        <c15:formulaRef>
                          <c15:sqref>'Size, Schedule and Effort'!#REF!</c15:sqref>
                        </c15:formulaRef>
                      </c:ext>
                    </c:extLst>
                    <c:strCache>
                      <c:ptCount val="1"/>
                      <c:pt idx="0">
                        <c:v>#REF!</c:v>
                      </c:pt>
                    </c:strCache>
                  </c:strRef>
                </c15:cat>
              </c15:filteredCategoryTitle>
            </c:ext>
            <c:ext xmlns:c16="http://schemas.microsoft.com/office/drawing/2014/chart" uri="{C3380CC4-5D6E-409C-BE32-E72D297353CC}">
              <c16:uniqueId val="{00000006-79AF-47D0-B19C-B2026A5E2AD4}"/>
            </c:ext>
          </c:extLst>
        </c:ser>
        <c:dLbls>
          <c:showLegendKey val="0"/>
          <c:showVal val="0"/>
          <c:showCatName val="0"/>
          <c:showSerName val="0"/>
          <c:showPercent val="0"/>
          <c:showBubbleSize val="0"/>
        </c:dLbls>
        <c:marker val="1"/>
        <c:smooth val="0"/>
        <c:axId val="91088768"/>
        <c:axId val="91103232"/>
      </c:lineChart>
      <c:catAx>
        <c:axId val="91088768"/>
        <c:scaling>
          <c:orientation val="minMax"/>
        </c:scaling>
        <c:delete val="0"/>
        <c:axPos val="b"/>
        <c:title>
          <c:tx>
            <c:rich>
              <a:bodyPr/>
              <a:lstStyle/>
              <a:p>
                <a:pPr>
                  <a:defRPr sz="1200" b="1" i="0" u="none" strike="noStrike" baseline="0">
                    <a:solidFill>
                      <a:srgbClr val="000000"/>
                    </a:solidFill>
                    <a:latin typeface="Arial"/>
                    <a:ea typeface="Arial"/>
                    <a:cs typeface="Arial"/>
                  </a:defRPr>
                </a:pPr>
                <a:r>
                  <a:rPr lang="en-US"/>
                  <a:t>Phase / Work product</a:t>
                </a:r>
              </a:p>
            </c:rich>
          </c:tx>
          <c:layout>
            <c:manualLayout>
              <c:xMode val="edge"/>
              <c:yMode val="edge"/>
              <c:x val="0.39945280437756497"/>
              <c:y val="0.7461796174560748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5400000" vert="horz"/>
          <a:lstStyle/>
          <a:p>
            <a:pPr>
              <a:defRPr sz="1200" b="0" i="0" u="none" strike="noStrike" baseline="0">
                <a:solidFill>
                  <a:srgbClr val="000000"/>
                </a:solidFill>
                <a:latin typeface="Arial"/>
                <a:ea typeface="Arial"/>
                <a:cs typeface="Arial"/>
              </a:defRPr>
            </a:pPr>
            <a:endParaRPr lang="en-US"/>
          </a:p>
        </c:txPr>
        <c:crossAx val="91103232"/>
        <c:crosses val="autoZero"/>
        <c:auto val="1"/>
        <c:lblAlgn val="ctr"/>
        <c:lblOffset val="100"/>
        <c:tickLblSkip val="2"/>
        <c:tickMarkSkip val="1"/>
        <c:noMultiLvlLbl val="0"/>
      </c:catAx>
      <c:valAx>
        <c:axId val="91103232"/>
        <c:scaling>
          <c:orientation val="minMax"/>
        </c:scaling>
        <c:delete val="0"/>
        <c:axPos val="l"/>
        <c:title>
          <c:tx>
            <c:rich>
              <a:bodyPr/>
              <a:lstStyle/>
              <a:p>
                <a:pPr>
                  <a:defRPr sz="1200" b="1" i="0" u="none" strike="noStrike" baseline="0">
                    <a:solidFill>
                      <a:srgbClr val="000000"/>
                    </a:solidFill>
                    <a:latin typeface="Arial"/>
                    <a:ea typeface="Arial"/>
                    <a:cs typeface="Arial"/>
                  </a:defRPr>
                </a:pPr>
                <a:r>
                  <a:rPr lang="en-US"/>
                  <a:t>% Variance</a:t>
                </a:r>
              </a:p>
            </c:rich>
          </c:tx>
          <c:layout>
            <c:manualLayout>
              <c:xMode val="edge"/>
              <c:yMode val="edge"/>
              <c:x val="1.6415868673050615E-2"/>
              <c:y val="0.18042845561735973"/>
            </c:manualLayout>
          </c:layout>
          <c:overlay val="0"/>
          <c:spPr>
            <a:noFill/>
            <a:ln w="25400">
              <a:noFill/>
            </a:ln>
          </c:spPr>
        </c:title>
        <c:numFmt formatCode="0\ &quot;%&quot;"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91088768"/>
        <c:crosses val="autoZero"/>
        <c:crossBetween val="between"/>
      </c:valAx>
      <c:spPr>
        <a:noFill/>
        <a:ln w="25400">
          <a:noFill/>
        </a:ln>
      </c:spPr>
    </c:plotArea>
    <c:legend>
      <c:legendPos val="r"/>
      <c:legendEntry>
        <c:idx val="1"/>
        <c:delete val="1"/>
      </c:legendEntry>
      <c:legendEntry>
        <c:idx val="2"/>
        <c:delete val="1"/>
      </c:legendEntry>
      <c:legendEntry>
        <c:idx val="3"/>
        <c:delete val="1"/>
      </c:legendEntry>
      <c:layout>
        <c:manualLayout>
          <c:xMode val="edge"/>
          <c:yMode val="edge"/>
          <c:x val="0.21751025991792067"/>
          <c:y val="0.92355029015868428"/>
          <c:w val="0.75376196990424083"/>
          <c:h val="6.7278608522558514E-2"/>
        </c:manualLayout>
      </c:layout>
      <c:overlay val="0"/>
      <c:spPr>
        <a:noFill/>
        <a:ln w="25400">
          <a:noFill/>
        </a:ln>
      </c:spPr>
      <c:txPr>
        <a:bodyPr/>
        <a:lstStyle/>
        <a:p>
          <a:pPr>
            <a:defRPr sz="64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n-US"/>
              <a:t>Phasewise Effort Variance</a:t>
            </a:r>
          </a:p>
        </c:rich>
      </c:tx>
      <c:layout>
        <c:manualLayout>
          <c:xMode val="edge"/>
          <c:yMode val="edge"/>
          <c:x val="0.35251798561151076"/>
          <c:y val="3.4383954154727794E-2"/>
        </c:manualLayout>
      </c:layout>
      <c:overlay val="0"/>
      <c:spPr>
        <a:noFill/>
        <a:ln w="25400">
          <a:noFill/>
        </a:ln>
      </c:spPr>
    </c:title>
    <c:autoTitleDeleted val="0"/>
    <c:plotArea>
      <c:layout>
        <c:manualLayout>
          <c:layoutTarget val="inner"/>
          <c:xMode val="edge"/>
          <c:yMode val="edge"/>
          <c:x val="0.13525179856115108"/>
          <c:y val="0.13467067552196499"/>
          <c:w val="0.84748201438848925"/>
          <c:h val="0.41833869417461467"/>
        </c:manualLayout>
      </c:layout>
      <c:barChart>
        <c:barDir val="col"/>
        <c:grouping val="clustered"/>
        <c:varyColors val="0"/>
        <c:ser>
          <c:idx val="0"/>
          <c:order val="0"/>
          <c:spPr>
            <a:solidFill>
              <a:srgbClr val="99CCFF"/>
            </a:solidFill>
            <a:ln w="12700">
              <a:solidFill>
                <a:srgbClr val="000000"/>
              </a:solidFill>
              <a:prstDash val="solid"/>
            </a:ln>
          </c:spPr>
          <c:invertIfNegative val="0"/>
          <c:val>
            <c:numRef>
              <c:f>Charts!#REF!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Charts!#REF!</c15:sqref>
                        </c15:formulaRef>
                      </c:ext>
                    </c:extLst>
                    <c:strCache>
                      <c:ptCount val="1"/>
                      <c:pt idx="0">
                        <c:v>#REF!</c:v>
                      </c:pt>
                    </c:strCache>
                  </c:strRef>
                </c15:tx>
              </c15:filteredSeriesTitle>
            </c:ext>
            <c:ext xmlns:c15="http://schemas.microsoft.com/office/drawing/2012/chart" uri="{02D57815-91ED-43cb-92C2-25804820EDAC}">
              <c15:filteredCategoryTitle>
                <c15:cat>
                  <c:strRef>
                    <c:extLst>
                      <c:ext uri="{02D57815-91ED-43cb-92C2-25804820EDAC}">
                        <c15:formulaRef>
                          <c15:sqref>Charts!#REF!</c15:sqref>
                        </c15:formulaRef>
                      </c:ext>
                    </c:extLst>
                    <c:strCache>
                      <c:ptCount val="1"/>
                      <c:pt idx="0">
                        <c:v>#REF!</c:v>
                      </c:pt>
                    </c:strCache>
                  </c:strRef>
                </c15:cat>
              </c15:filteredCategoryTitle>
            </c:ext>
            <c:ext xmlns:c16="http://schemas.microsoft.com/office/drawing/2014/chart" uri="{C3380CC4-5D6E-409C-BE32-E72D297353CC}">
              <c16:uniqueId val="{00000000-56B0-42DE-B1A2-13FB7B6017B4}"/>
            </c:ext>
          </c:extLst>
        </c:ser>
        <c:ser>
          <c:idx val="1"/>
          <c:order val="1"/>
          <c:spPr>
            <a:solidFill>
              <a:srgbClr val="FFFFCC"/>
            </a:solidFill>
            <a:ln w="12700">
              <a:solidFill>
                <a:srgbClr val="000000"/>
              </a:solidFill>
              <a:prstDash val="solid"/>
            </a:ln>
          </c:spPr>
          <c:invertIfNegative val="0"/>
          <c:val>
            <c:numRef>
              <c:f>Charts!#REF!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Charts!#REF!</c15:sqref>
                        </c15:formulaRef>
                      </c:ext>
                    </c:extLst>
                    <c:strCache>
                      <c:ptCount val="1"/>
                      <c:pt idx="0">
                        <c:v>#REF!</c:v>
                      </c:pt>
                    </c:strCache>
                  </c:strRef>
                </c15:tx>
              </c15:filteredSeriesTitle>
            </c:ext>
            <c:ext xmlns:c15="http://schemas.microsoft.com/office/drawing/2012/chart" uri="{02D57815-91ED-43cb-92C2-25804820EDAC}">
              <c15:filteredCategoryTitle>
                <c15:cat>
                  <c:strRef>
                    <c:extLst>
                      <c:ext uri="{02D57815-91ED-43cb-92C2-25804820EDAC}">
                        <c15:formulaRef>
                          <c15:sqref>Charts!#REF!</c15:sqref>
                        </c15:formulaRef>
                      </c:ext>
                    </c:extLst>
                    <c:strCache>
                      <c:ptCount val="1"/>
                      <c:pt idx="0">
                        <c:v>#REF!</c:v>
                      </c:pt>
                    </c:strCache>
                  </c:strRef>
                </c15:cat>
              </c15:filteredCategoryTitle>
            </c:ext>
            <c:ext xmlns:c16="http://schemas.microsoft.com/office/drawing/2014/chart" uri="{C3380CC4-5D6E-409C-BE32-E72D297353CC}">
              <c16:uniqueId val="{00000001-56B0-42DE-B1A2-13FB7B6017B4}"/>
            </c:ext>
          </c:extLst>
        </c:ser>
        <c:dLbls>
          <c:showLegendKey val="0"/>
          <c:showVal val="0"/>
          <c:showCatName val="0"/>
          <c:showSerName val="0"/>
          <c:showPercent val="0"/>
          <c:showBubbleSize val="0"/>
        </c:dLbls>
        <c:gapWidth val="150"/>
        <c:axId val="91151360"/>
        <c:axId val="91292416"/>
      </c:barChart>
      <c:catAx>
        <c:axId val="91151360"/>
        <c:scaling>
          <c:orientation val="minMax"/>
        </c:scaling>
        <c:delete val="0"/>
        <c:axPos val="b"/>
        <c:numFmt formatCode="General" sourceLinked="1"/>
        <c:majorTickMark val="out"/>
        <c:minorTickMark val="none"/>
        <c:tickLblPos val="nextTo"/>
        <c:spPr>
          <a:ln w="3175">
            <a:solidFill>
              <a:srgbClr val="000000"/>
            </a:solidFill>
            <a:prstDash val="solid"/>
          </a:ln>
        </c:spPr>
        <c:txPr>
          <a:bodyPr rot="-5400000" vert="horz"/>
          <a:lstStyle/>
          <a:p>
            <a:pPr>
              <a:defRPr sz="1125" b="0" i="0" u="none" strike="noStrike" baseline="0">
                <a:solidFill>
                  <a:srgbClr val="000000"/>
                </a:solidFill>
                <a:latin typeface="Arial"/>
                <a:ea typeface="Arial"/>
                <a:cs typeface="Arial"/>
              </a:defRPr>
            </a:pPr>
            <a:endParaRPr lang="en-US"/>
          </a:p>
        </c:txPr>
        <c:crossAx val="91292416"/>
        <c:crosses val="autoZero"/>
        <c:auto val="1"/>
        <c:lblAlgn val="ctr"/>
        <c:lblOffset val="100"/>
        <c:tickLblSkip val="1"/>
        <c:tickMarkSkip val="1"/>
        <c:noMultiLvlLbl val="0"/>
      </c:catAx>
      <c:valAx>
        <c:axId val="91292416"/>
        <c:scaling>
          <c:orientation val="minMax"/>
        </c:scaling>
        <c:delete val="0"/>
        <c:axPos val="l"/>
        <c:title>
          <c:tx>
            <c:rich>
              <a:bodyPr/>
              <a:lstStyle/>
              <a:p>
                <a:pPr>
                  <a:defRPr sz="1125" b="1" i="0" u="none" strike="noStrike" baseline="0">
                    <a:solidFill>
                      <a:srgbClr val="000000"/>
                    </a:solidFill>
                    <a:latin typeface="Arial"/>
                    <a:ea typeface="Arial"/>
                    <a:cs typeface="Arial"/>
                  </a:defRPr>
                </a:pPr>
                <a:r>
                  <a:rPr lang="en-US"/>
                  <a:t>Variance in %</a:t>
                </a:r>
              </a:p>
            </c:rich>
          </c:tx>
          <c:layout>
            <c:manualLayout>
              <c:xMode val="edge"/>
              <c:yMode val="edge"/>
              <c:x val="8.6330935251798559E-3"/>
              <c:y val="0.20343869623746888"/>
            </c:manualLayout>
          </c:layout>
          <c:overlay val="0"/>
          <c:spPr>
            <a:noFill/>
            <a:ln w="25400">
              <a:noFill/>
            </a:ln>
          </c:spPr>
        </c:title>
        <c:numFmt formatCode="0\ &quot;%&quot;" sourceLinked="0"/>
        <c:majorTickMark val="out"/>
        <c:minorTickMark val="none"/>
        <c:tickLblPos val="nextTo"/>
        <c:spPr>
          <a:ln w="3175">
            <a:solidFill>
              <a:srgbClr val="000000"/>
            </a:solidFill>
            <a:prstDash val="solid"/>
          </a:ln>
        </c:spPr>
        <c:txPr>
          <a:bodyPr rot="0" vert="horz"/>
          <a:lstStyle/>
          <a:p>
            <a:pPr>
              <a:defRPr sz="1125" b="0" i="0" u="none" strike="noStrike" baseline="0">
                <a:solidFill>
                  <a:srgbClr val="000000"/>
                </a:solidFill>
                <a:latin typeface="Arial"/>
                <a:ea typeface="Arial"/>
                <a:cs typeface="Arial"/>
              </a:defRPr>
            </a:pPr>
            <a:endParaRPr lang="en-US"/>
          </a:p>
        </c:txPr>
        <c:crossAx val="91151360"/>
        <c:crosses val="autoZero"/>
        <c:crossBetween val="between"/>
      </c:valAx>
      <c:spPr>
        <a:noFill/>
        <a:ln w="25400">
          <a:noFill/>
        </a:ln>
      </c:spPr>
    </c:plotArea>
    <c:legend>
      <c:legendPos val="r"/>
      <c:layout>
        <c:manualLayout>
          <c:xMode val="edge"/>
          <c:yMode val="edge"/>
          <c:x val="0.30215827338129497"/>
          <c:y val="0.84813873910460325"/>
          <c:w val="0.37841726618705041"/>
          <c:h val="6.8767908309455561E-2"/>
        </c:manualLayout>
      </c:layout>
      <c:overlay val="0"/>
      <c:spPr>
        <a:noFill/>
        <a:ln w="25400">
          <a:noFill/>
        </a:ln>
      </c:spPr>
      <c:txPr>
        <a:bodyPr/>
        <a:lstStyle/>
        <a:p>
          <a:pPr>
            <a:defRPr sz="71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0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n-US"/>
              <a:t>Phasewise Schedule Variance</a:t>
            </a:r>
          </a:p>
        </c:rich>
      </c:tx>
      <c:layout>
        <c:manualLayout>
          <c:xMode val="edge"/>
          <c:yMode val="edge"/>
          <c:x val="0.33835645201884013"/>
          <c:y val="3.4383954154727794E-2"/>
        </c:manualLayout>
      </c:layout>
      <c:overlay val="0"/>
      <c:spPr>
        <a:noFill/>
        <a:ln w="25400">
          <a:noFill/>
        </a:ln>
      </c:spPr>
    </c:title>
    <c:autoTitleDeleted val="0"/>
    <c:plotArea>
      <c:layout>
        <c:manualLayout>
          <c:layoutTarget val="inner"/>
          <c:xMode val="edge"/>
          <c:yMode val="edge"/>
          <c:x val="0.12602748155733731"/>
          <c:y val="0.13753600904370894"/>
          <c:w val="0.85890468409185317"/>
          <c:h val="0.40401202656589497"/>
        </c:manualLayout>
      </c:layout>
      <c:barChart>
        <c:barDir val="col"/>
        <c:grouping val="clustered"/>
        <c:varyColors val="0"/>
        <c:ser>
          <c:idx val="0"/>
          <c:order val="0"/>
          <c:spPr>
            <a:solidFill>
              <a:srgbClr val="FFCC99"/>
            </a:solidFill>
            <a:ln w="12700">
              <a:solidFill>
                <a:srgbClr val="000000"/>
              </a:solidFill>
              <a:prstDash val="solid"/>
            </a:ln>
          </c:spPr>
          <c:invertIfNegative val="0"/>
          <c:val>
            <c:numRef>
              <c:f>Charts!#REF!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Charts!#REF!</c15:sqref>
                        </c15:formulaRef>
                      </c:ext>
                    </c:extLst>
                    <c:strCache>
                      <c:ptCount val="1"/>
                      <c:pt idx="0">
                        <c:v>#REF!</c:v>
                      </c:pt>
                    </c:strCache>
                  </c:strRef>
                </c15:tx>
              </c15:filteredSeriesTitle>
            </c:ext>
            <c:ext xmlns:c15="http://schemas.microsoft.com/office/drawing/2012/chart" uri="{02D57815-91ED-43cb-92C2-25804820EDAC}">
              <c15:filteredCategoryTitle>
                <c15:cat>
                  <c:strRef>
                    <c:extLst>
                      <c:ext uri="{02D57815-91ED-43cb-92C2-25804820EDAC}">
                        <c15:formulaRef>
                          <c15:sqref>Charts!#REF!</c15:sqref>
                        </c15:formulaRef>
                      </c:ext>
                    </c:extLst>
                    <c:strCache>
                      <c:ptCount val="1"/>
                      <c:pt idx="0">
                        <c:v>#REF!</c:v>
                      </c:pt>
                    </c:strCache>
                  </c:strRef>
                </c15:cat>
              </c15:filteredCategoryTitle>
            </c:ext>
            <c:ext xmlns:c16="http://schemas.microsoft.com/office/drawing/2014/chart" uri="{C3380CC4-5D6E-409C-BE32-E72D297353CC}">
              <c16:uniqueId val="{00000000-57B2-4753-BE7D-20FD4540B89A}"/>
            </c:ext>
          </c:extLst>
        </c:ser>
        <c:ser>
          <c:idx val="1"/>
          <c:order val="1"/>
          <c:spPr>
            <a:solidFill>
              <a:srgbClr val="CCFFCC"/>
            </a:solidFill>
            <a:ln w="12700">
              <a:solidFill>
                <a:srgbClr val="000000"/>
              </a:solidFill>
              <a:prstDash val="solid"/>
            </a:ln>
          </c:spPr>
          <c:invertIfNegative val="0"/>
          <c:val>
            <c:numRef>
              <c:f>Charts!#REF!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Charts!#REF!</c15:sqref>
                        </c15:formulaRef>
                      </c:ext>
                    </c:extLst>
                    <c:strCache>
                      <c:ptCount val="1"/>
                      <c:pt idx="0">
                        <c:v>#REF!</c:v>
                      </c:pt>
                    </c:strCache>
                  </c:strRef>
                </c15:tx>
              </c15:filteredSeriesTitle>
            </c:ext>
            <c:ext xmlns:c15="http://schemas.microsoft.com/office/drawing/2012/chart" uri="{02D57815-91ED-43cb-92C2-25804820EDAC}">
              <c15:filteredCategoryTitle>
                <c15:cat>
                  <c:strRef>
                    <c:extLst>
                      <c:ext uri="{02D57815-91ED-43cb-92C2-25804820EDAC}">
                        <c15:formulaRef>
                          <c15:sqref>Charts!#REF!</c15:sqref>
                        </c15:formulaRef>
                      </c:ext>
                    </c:extLst>
                    <c:strCache>
                      <c:ptCount val="1"/>
                      <c:pt idx="0">
                        <c:v>#REF!</c:v>
                      </c:pt>
                    </c:strCache>
                  </c:strRef>
                </c15:cat>
              </c15:filteredCategoryTitle>
            </c:ext>
            <c:ext xmlns:c16="http://schemas.microsoft.com/office/drawing/2014/chart" uri="{C3380CC4-5D6E-409C-BE32-E72D297353CC}">
              <c16:uniqueId val="{00000001-57B2-4753-BE7D-20FD4540B89A}"/>
            </c:ext>
          </c:extLst>
        </c:ser>
        <c:dLbls>
          <c:showLegendKey val="0"/>
          <c:showVal val="0"/>
          <c:showCatName val="0"/>
          <c:showSerName val="0"/>
          <c:showPercent val="0"/>
          <c:showBubbleSize val="0"/>
        </c:dLbls>
        <c:gapWidth val="150"/>
        <c:axId val="91318912"/>
        <c:axId val="91324800"/>
      </c:barChart>
      <c:catAx>
        <c:axId val="91318912"/>
        <c:scaling>
          <c:orientation val="minMax"/>
        </c:scaling>
        <c:delete val="0"/>
        <c:axPos val="b"/>
        <c:numFmt formatCode="General" sourceLinked="1"/>
        <c:majorTickMark val="out"/>
        <c:minorTickMark val="none"/>
        <c:tickLblPos val="nextTo"/>
        <c:spPr>
          <a:ln w="3175">
            <a:solidFill>
              <a:srgbClr val="000000"/>
            </a:solidFill>
            <a:prstDash val="solid"/>
          </a:ln>
        </c:spPr>
        <c:txPr>
          <a:bodyPr rot="-5400000" vert="horz"/>
          <a:lstStyle/>
          <a:p>
            <a:pPr>
              <a:defRPr sz="1125" b="0" i="0" u="none" strike="noStrike" baseline="0">
                <a:solidFill>
                  <a:srgbClr val="000000"/>
                </a:solidFill>
                <a:latin typeface="Arial"/>
                <a:ea typeface="Arial"/>
                <a:cs typeface="Arial"/>
              </a:defRPr>
            </a:pPr>
            <a:endParaRPr lang="en-US"/>
          </a:p>
        </c:txPr>
        <c:crossAx val="91324800"/>
        <c:crosses val="autoZero"/>
        <c:auto val="1"/>
        <c:lblAlgn val="ctr"/>
        <c:lblOffset val="100"/>
        <c:tickLblSkip val="1"/>
        <c:tickMarkSkip val="1"/>
        <c:noMultiLvlLbl val="0"/>
      </c:catAx>
      <c:valAx>
        <c:axId val="91324800"/>
        <c:scaling>
          <c:orientation val="minMax"/>
        </c:scaling>
        <c:delete val="0"/>
        <c:axPos val="l"/>
        <c:title>
          <c:tx>
            <c:rich>
              <a:bodyPr/>
              <a:lstStyle/>
              <a:p>
                <a:pPr>
                  <a:defRPr sz="1125" b="1" i="0" u="none" strike="noStrike" baseline="0">
                    <a:solidFill>
                      <a:srgbClr val="000000"/>
                    </a:solidFill>
                    <a:latin typeface="Arial"/>
                    <a:ea typeface="Arial"/>
                    <a:cs typeface="Arial"/>
                  </a:defRPr>
                </a:pPr>
                <a:r>
                  <a:rPr lang="en-US"/>
                  <a:t>Variance in %</a:t>
                </a:r>
              </a:p>
            </c:rich>
          </c:tx>
          <c:layout>
            <c:manualLayout>
              <c:xMode val="edge"/>
              <c:yMode val="edge"/>
              <c:x val="1.2328767123287671E-2"/>
              <c:y val="0.1977080372116809"/>
            </c:manualLayout>
          </c:layout>
          <c:overlay val="0"/>
          <c:spPr>
            <a:noFill/>
            <a:ln w="25400">
              <a:noFill/>
            </a:ln>
          </c:spPr>
        </c:title>
        <c:numFmt formatCode="0\ &quot;%&quot;" sourceLinked="0"/>
        <c:majorTickMark val="out"/>
        <c:minorTickMark val="none"/>
        <c:tickLblPos val="nextTo"/>
        <c:spPr>
          <a:ln w="3175">
            <a:solidFill>
              <a:srgbClr val="000000"/>
            </a:solidFill>
            <a:prstDash val="solid"/>
          </a:ln>
        </c:spPr>
        <c:txPr>
          <a:bodyPr rot="0" vert="horz"/>
          <a:lstStyle/>
          <a:p>
            <a:pPr>
              <a:defRPr sz="1125" b="0" i="0" u="none" strike="noStrike" baseline="0">
                <a:solidFill>
                  <a:srgbClr val="000000"/>
                </a:solidFill>
                <a:latin typeface="Arial"/>
                <a:ea typeface="Arial"/>
                <a:cs typeface="Arial"/>
              </a:defRPr>
            </a:pPr>
            <a:endParaRPr lang="en-US"/>
          </a:p>
        </c:txPr>
        <c:crossAx val="91318912"/>
        <c:crosses val="autoZero"/>
        <c:crossBetween val="between"/>
      </c:valAx>
      <c:spPr>
        <a:noFill/>
        <a:ln w="25400">
          <a:noFill/>
        </a:ln>
      </c:spPr>
    </c:plotArea>
    <c:legend>
      <c:legendPos val="r"/>
      <c:layout>
        <c:manualLayout>
          <c:xMode val="edge"/>
          <c:yMode val="edge"/>
          <c:x val="0.24794534929709128"/>
          <c:y val="0.85960005715617915"/>
          <c:w val="0.36027426023801817"/>
          <c:h val="6.8767908309455561E-2"/>
        </c:manualLayout>
      </c:layout>
      <c:overlay val="0"/>
      <c:spPr>
        <a:noFill/>
        <a:ln w="25400">
          <a:noFill/>
        </a:ln>
      </c:spPr>
      <c:txPr>
        <a:bodyPr/>
        <a:lstStyle/>
        <a:p>
          <a:pPr>
            <a:defRPr sz="71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0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editAs="oneCell">
    <xdr:from>
      <xdr:col>1</xdr:col>
      <xdr:colOff>57150</xdr:colOff>
      <xdr:row>0</xdr:row>
      <xdr:rowOff>57150</xdr:rowOff>
    </xdr:from>
    <xdr:to>
      <xdr:col>1</xdr:col>
      <xdr:colOff>1304925</xdr:colOff>
      <xdr:row>0</xdr:row>
      <xdr:rowOff>323850</xdr:rowOff>
    </xdr:to>
    <xdr:pic>
      <xdr:nvPicPr>
        <xdr:cNvPr id="2" name="Picture 1">
          <a:extLst>
            <a:ext uri="{FF2B5EF4-FFF2-40B4-BE49-F238E27FC236}">
              <a16:creationId xmlns:a16="http://schemas.microsoft.com/office/drawing/2014/main" id="{EF801DC0-7CE5-4AE5-8C48-B32AC753C0B1}"/>
            </a:ext>
          </a:extLst>
        </xdr:cNvPr>
        <xdr:cNvPicPr>
          <a:picLocks noChangeAspect="1"/>
        </xdr:cNvPicPr>
      </xdr:nvPicPr>
      <xdr:blipFill>
        <a:blip xmlns:r="http://schemas.openxmlformats.org/officeDocument/2006/relationships" r:embed="rId1"/>
        <a:stretch>
          <a:fillRect/>
        </a:stretch>
      </xdr:blipFill>
      <xdr:spPr>
        <a:xfrm>
          <a:off x="409575" y="57150"/>
          <a:ext cx="1247775" cy="2667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276225</xdr:colOff>
      <xdr:row>18</xdr:row>
      <xdr:rowOff>38100</xdr:rowOff>
    </xdr:to>
    <xdr:graphicFrame macro="[0]!Update_Charts">
      <xdr:nvGraphicFramePr>
        <xdr:cNvPr id="6474850" name="Chart 1">
          <a:extLst>
            <a:ext uri="{FF2B5EF4-FFF2-40B4-BE49-F238E27FC236}">
              <a16:creationId xmlns:a16="http://schemas.microsoft.com/office/drawing/2014/main" id="{00000000-0008-0000-0200-000062CC6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257175</xdr:colOff>
      <xdr:row>0</xdr:row>
      <xdr:rowOff>38100</xdr:rowOff>
    </xdr:from>
    <xdr:to>
      <xdr:col>15</xdr:col>
      <xdr:colOff>0</xdr:colOff>
      <xdr:row>18</xdr:row>
      <xdr:rowOff>38100</xdr:rowOff>
    </xdr:to>
    <xdr:graphicFrame macro="[0]!Update_Charts">
      <xdr:nvGraphicFramePr>
        <xdr:cNvPr id="6474851" name="Chart 2">
          <a:extLst>
            <a:ext uri="{FF2B5EF4-FFF2-40B4-BE49-F238E27FC236}">
              <a16:creationId xmlns:a16="http://schemas.microsoft.com/office/drawing/2014/main" id="{00000000-0008-0000-0200-000063CC6200}"/>
            </a:ext>
            <a:ext uri="{147F2762-F138-4A5C-976F-8EAC2B608ADB}">
              <a16:predDERef xmlns:a16="http://schemas.microsoft.com/office/drawing/2014/main" pred="{00000000-0008-0000-0200-000062CC6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18</xdr:row>
      <xdr:rowOff>0</xdr:rowOff>
    </xdr:from>
    <xdr:to>
      <xdr:col>7</xdr:col>
      <xdr:colOff>295275</xdr:colOff>
      <xdr:row>36</xdr:row>
      <xdr:rowOff>28575</xdr:rowOff>
    </xdr:to>
    <xdr:graphicFrame macro="[0]!Update_Charts">
      <xdr:nvGraphicFramePr>
        <xdr:cNvPr id="6474852" name="Chart 4">
          <a:extLst>
            <a:ext uri="{FF2B5EF4-FFF2-40B4-BE49-F238E27FC236}">
              <a16:creationId xmlns:a16="http://schemas.microsoft.com/office/drawing/2014/main" id="{00000000-0008-0000-0200-000064CC6200}"/>
            </a:ext>
            <a:ext uri="{147F2762-F138-4A5C-976F-8EAC2B608ADB}">
              <a16:predDERef xmlns:a16="http://schemas.microsoft.com/office/drawing/2014/main" pred="{00000000-0008-0000-0200-000063CC6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19050</xdr:colOff>
      <xdr:row>36</xdr:row>
      <xdr:rowOff>38100</xdr:rowOff>
    </xdr:from>
    <xdr:to>
      <xdr:col>15</xdr:col>
      <xdr:colOff>38100</xdr:colOff>
      <xdr:row>53</xdr:row>
      <xdr:rowOff>142875</xdr:rowOff>
    </xdr:to>
    <xdr:graphicFrame macro="[0]!Update_Charts">
      <xdr:nvGraphicFramePr>
        <xdr:cNvPr id="6474853" name="Chart 5">
          <a:extLst>
            <a:ext uri="{FF2B5EF4-FFF2-40B4-BE49-F238E27FC236}">
              <a16:creationId xmlns:a16="http://schemas.microsoft.com/office/drawing/2014/main" id="{00000000-0008-0000-0200-000065CC6200}"/>
            </a:ext>
            <a:ext uri="{147F2762-F138-4A5C-976F-8EAC2B608ADB}">
              <a16:predDERef xmlns:a16="http://schemas.microsoft.com/office/drawing/2014/main" pred="{00000000-0008-0000-0200-000064CC6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0</xdr:colOff>
      <xdr:row>0</xdr:row>
      <xdr:rowOff>0</xdr:rowOff>
    </xdr:from>
    <xdr:to>
      <xdr:col>21</xdr:col>
      <xdr:colOff>485775</xdr:colOff>
      <xdr:row>18</xdr:row>
      <xdr:rowOff>19050</xdr:rowOff>
    </xdr:to>
    <xdr:graphicFrame macro="[0]!Update_Charts">
      <xdr:nvGraphicFramePr>
        <xdr:cNvPr id="6474854" name="Chart 6">
          <a:extLst>
            <a:ext uri="{FF2B5EF4-FFF2-40B4-BE49-F238E27FC236}">
              <a16:creationId xmlns:a16="http://schemas.microsoft.com/office/drawing/2014/main" id="{00000000-0008-0000-0200-000066CC6200}"/>
            </a:ext>
            <a:ext uri="{147F2762-F138-4A5C-976F-8EAC2B608ADB}">
              <a16:predDERef xmlns:a16="http://schemas.microsoft.com/office/drawing/2014/main" pred="{00000000-0008-0000-0200-000065CC6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19050</xdr:colOff>
      <xdr:row>18</xdr:row>
      <xdr:rowOff>19050</xdr:rowOff>
    </xdr:from>
    <xdr:to>
      <xdr:col>21</xdr:col>
      <xdr:colOff>485775</xdr:colOff>
      <xdr:row>36</xdr:row>
      <xdr:rowOff>47625</xdr:rowOff>
    </xdr:to>
    <xdr:graphicFrame macro="[0]!Update_Charts">
      <xdr:nvGraphicFramePr>
        <xdr:cNvPr id="6474855" name="Chart 7">
          <a:extLst>
            <a:ext uri="{FF2B5EF4-FFF2-40B4-BE49-F238E27FC236}">
              <a16:creationId xmlns:a16="http://schemas.microsoft.com/office/drawing/2014/main" id="{00000000-0008-0000-0200-000067CC6200}"/>
            </a:ext>
            <a:ext uri="{147F2762-F138-4A5C-976F-8EAC2B608ADB}">
              <a16:predDERef xmlns:a16="http://schemas.microsoft.com/office/drawing/2014/main" pred="{00000000-0008-0000-0200-000066CC6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295275</xdr:colOff>
      <xdr:row>18</xdr:row>
      <xdr:rowOff>19050</xdr:rowOff>
    </xdr:from>
    <xdr:to>
      <xdr:col>15</xdr:col>
      <xdr:colOff>28575</xdr:colOff>
      <xdr:row>36</xdr:row>
      <xdr:rowOff>38100</xdr:rowOff>
    </xdr:to>
    <xdr:graphicFrame macro="[0]!Update_Charts">
      <xdr:nvGraphicFramePr>
        <xdr:cNvPr id="6474856" name="Chart 8">
          <a:extLst>
            <a:ext uri="{FF2B5EF4-FFF2-40B4-BE49-F238E27FC236}">
              <a16:creationId xmlns:a16="http://schemas.microsoft.com/office/drawing/2014/main" id="{00000000-0008-0000-0200-000068CC6200}"/>
            </a:ext>
            <a:ext uri="{147F2762-F138-4A5C-976F-8EAC2B608ADB}">
              <a16:predDERef xmlns:a16="http://schemas.microsoft.com/office/drawing/2014/main" pred="{00000000-0008-0000-0200-000067CC6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47625</xdr:colOff>
      <xdr:row>36</xdr:row>
      <xdr:rowOff>47625</xdr:rowOff>
    </xdr:from>
    <xdr:to>
      <xdr:col>21</xdr:col>
      <xdr:colOff>485775</xdr:colOff>
      <xdr:row>53</xdr:row>
      <xdr:rowOff>104775</xdr:rowOff>
    </xdr:to>
    <xdr:graphicFrame macro="[0]!Update_Charts">
      <xdr:nvGraphicFramePr>
        <xdr:cNvPr id="6474857" name="Chart 9">
          <a:extLst>
            <a:ext uri="{FF2B5EF4-FFF2-40B4-BE49-F238E27FC236}">
              <a16:creationId xmlns:a16="http://schemas.microsoft.com/office/drawing/2014/main" id="{00000000-0008-0000-0200-000069CC6200}"/>
            </a:ext>
            <a:ext uri="{147F2762-F138-4A5C-976F-8EAC2B608ADB}">
              <a16:predDERef xmlns:a16="http://schemas.microsoft.com/office/drawing/2014/main" pred="{00000000-0008-0000-0200-000068CC6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54</xdr:row>
      <xdr:rowOff>142875</xdr:rowOff>
    </xdr:from>
    <xdr:to>
      <xdr:col>10</xdr:col>
      <xdr:colOff>400050</xdr:colOff>
      <xdr:row>77</xdr:row>
      <xdr:rowOff>19050</xdr:rowOff>
    </xdr:to>
    <xdr:graphicFrame macro="[0]!Update_Charts">
      <xdr:nvGraphicFramePr>
        <xdr:cNvPr id="6474858" name="Chart 10">
          <a:extLst>
            <a:ext uri="{FF2B5EF4-FFF2-40B4-BE49-F238E27FC236}">
              <a16:creationId xmlns:a16="http://schemas.microsoft.com/office/drawing/2014/main" id="{00000000-0008-0000-0200-00006ACC6200}"/>
            </a:ext>
            <a:ext uri="{147F2762-F138-4A5C-976F-8EAC2B608ADB}">
              <a16:predDERef xmlns:a16="http://schemas.microsoft.com/office/drawing/2014/main" pred="{00000000-0008-0000-0200-000069CC6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419100</xdr:colOff>
      <xdr:row>54</xdr:row>
      <xdr:rowOff>142875</xdr:rowOff>
    </xdr:from>
    <xdr:to>
      <xdr:col>21</xdr:col>
      <xdr:colOff>504825</xdr:colOff>
      <xdr:row>77</xdr:row>
      <xdr:rowOff>0</xdr:rowOff>
    </xdr:to>
    <xdr:graphicFrame macro="[0]!Update_Charts">
      <xdr:nvGraphicFramePr>
        <xdr:cNvPr id="6474859" name="Chart 11">
          <a:extLst>
            <a:ext uri="{FF2B5EF4-FFF2-40B4-BE49-F238E27FC236}">
              <a16:creationId xmlns:a16="http://schemas.microsoft.com/office/drawing/2014/main" id="{00000000-0008-0000-0200-00006BCC6200}"/>
            </a:ext>
            <a:ext uri="{147F2762-F138-4A5C-976F-8EAC2B608ADB}">
              <a16:predDERef xmlns:a16="http://schemas.microsoft.com/office/drawing/2014/main" pred="{00000000-0008-0000-0200-00006ACC6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0</xdr:colOff>
      <xdr:row>77</xdr:row>
      <xdr:rowOff>0</xdr:rowOff>
    </xdr:from>
    <xdr:to>
      <xdr:col>10</xdr:col>
      <xdr:colOff>400050</xdr:colOff>
      <xdr:row>96</xdr:row>
      <xdr:rowOff>19050</xdr:rowOff>
    </xdr:to>
    <xdr:graphicFrame macro="[0]!Update_Charts">
      <xdr:nvGraphicFramePr>
        <xdr:cNvPr id="6474860" name="Chart 12">
          <a:extLst>
            <a:ext uri="{FF2B5EF4-FFF2-40B4-BE49-F238E27FC236}">
              <a16:creationId xmlns:a16="http://schemas.microsoft.com/office/drawing/2014/main" id="{00000000-0008-0000-0200-00006CCC6200}"/>
            </a:ext>
            <a:ext uri="{147F2762-F138-4A5C-976F-8EAC2B608ADB}">
              <a16:predDERef xmlns:a16="http://schemas.microsoft.com/office/drawing/2014/main" pred="{00000000-0008-0000-0200-00006BCC6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400050</xdr:colOff>
      <xdr:row>77</xdr:row>
      <xdr:rowOff>0</xdr:rowOff>
    </xdr:from>
    <xdr:to>
      <xdr:col>21</xdr:col>
      <xdr:colOff>485775</xdr:colOff>
      <xdr:row>96</xdr:row>
      <xdr:rowOff>38100</xdr:rowOff>
    </xdr:to>
    <xdr:graphicFrame macro="[0]!Update_Charts">
      <xdr:nvGraphicFramePr>
        <xdr:cNvPr id="6474861" name="Chart 13">
          <a:extLst>
            <a:ext uri="{FF2B5EF4-FFF2-40B4-BE49-F238E27FC236}">
              <a16:creationId xmlns:a16="http://schemas.microsoft.com/office/drawing/2014/main" id="{00000000-0008-0000-0200-00006DCC6200}"/>
            </a:ext>
            <a:ext uri="{147F2762-F138-4A5C-976F-8EAC2B608ADB}">
              <a16:predDERef xmlns:a16="http://schemas.microsoft.com/office/drawing/2014/main" pred="{00000000-0008-0000-0200-00006CCC6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0</xdr:colOff>
      <xdr:row>96</xdr:row>
      <xdr:rowOff>38100</xdr:rowOff>
    </xdr:from>
    <xdr:to>
      <xdr:col>10</xdr:col>
      <xdr:colOff>400050</xdr:colOff>
      <xdr:row>116</xdr:row>
      <xdr:rowOff>123825</xdr:rowOff>
    </xdr:to>
    <xdr:graphicFrame macro="[0]!Update_Charts">
      <xdr:nvGraphicFramePr>
        <xdr:cNvPr id="6474862" name="Chart 16">
          <a:extLst>
            <a:ext uri="{FF2B5EF4-FFF2-40B4-BE49-F238E27FC236}">
              <a16:creationId xmlns:a16="http://schemas.microsoft.com/office/drawing/2014/main" id="{00000000-0008-0000-0200-00006ECC6200}"/>
            </a:ext>
            <a:ext uri="{147F2762-F138-4A5C-976F-8EAC2B608ADB}">
              <a16:predDERef xmlns:a16="http://schemas.microsoft.com/office/drawing/2014/main" pred="{00000000-0008-0000-0200-00006DCC6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10</xdr:col>
      <xdr:colOff>400050</xdr:colOff>
      <xdr:row>96</xdr:row>
      <xdr:rowOff>38100</xdr:rowOff>
    </xdr:from>
    <xdr:to>
      <xdr:col>21</xdr:col>
      <xdr:colOff>476250</xdr:colOff>
      <xdr:row>116</xdr:row>
      <xdr:rowOff>123825</xdr:rowOff>
    </xdr:to>
    <xdr:graphicFrame macro="[0]!Update_Charts">
      <xdr:nvGraphicFramePr>
        <xdr:cNvPr id="6474863" name="Chart 17">
          <a:extLst>
            <a:ext uri="{FF2B5EF4-FFF2-40B4-BE49-F238E27FC236}">
              <a16:creationId xmlns:a16="http://schemas.microsoft.com/office/drawing/2014/main" id="{00000000-0008-0000-0200-00006FCC6200}"/>
            </a:ext>
            <a:ext uri="{147F2762-F138-4A5C-976F-8EAC2B608ADB}">
              <a16:predDERef xmlns:a16="http://schemas.microsoft.com/office/drawing/2014/main" pred="{00000000-0008-0000-0200-00006ECC6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19050</xdr:colOff>
      <xdr:row>0</xdr:row>
      <xdr:rowOff>0</xdr:rowOff>
    </xdr:from>
    <xdr:to>
      <xdr:col>13</xdr:col>
      <xdr:colOff>133350</xdr:colOff>
      <xdr:row>3</xdr:row>
      <xdr:rowOff>0</xdr:rowOff>
    </xdr:to>
    <xdr:sp macro="" textlink="">
      <xdr:nvSpPr>
        <xdr:cNvPr id="7178" name="Text Box 10">
          <a:extLst>
            <a:ext uri="{FF2B5EF4-FFF2-40B4-BE49-F238E27FC236}">
              <a16:creationId xmlns:a16="http://schemas.microsoft.com/office/drawing/2014/main" id="{00000000-0008-0000-0900-00000A1C0000}"/>
            </a:ext>
          </a:extLst>
        </xdr:cNvPr>
        <xdr:cNvSpPr txBox="1">
          <a:spLocks noChangeArrowheads="1"/>
        </xdr:cNvSpPr>
      </xdr:nvSpPr>
      <xdr:spPr bwMode="auto">
        <a:xfrm>
          <a:off x="3533775" y="0"/>
          <a:ext cx="3476625" cy="638175"/>
        </a:xfrm>
        <a:prstGeom prst="rect">
          <a:avLst/>
        </a:prstGeom>
        <a:solidFill>
          <a:srgbClr val="FFFFCC"/>
        </a:solidFill>
        <a:ln w="9525">
          <a:solidFill>
            <a:srgbClr val="000000"/>
          </a:solidFill>
          <a:miter lim="800000"/>
          <a:headEnd/>
          <a:tailEnd/>
        </a:ln>
      </xdr:spPr>
      <xdr:txBody>
        <a:bodyPr vertOverflow="clip" wrap="square" lIns="27432" tIns="22860" rIns="0" bIns="0" anchor="t" upright="1"/>
        <a:lstStyle/>
        <a:p>
          <a:pPr algn="l" rtl="0">
            <a:defRPr sz="1000"/>
          </a:pPr>
          <a:r>
            <a:rPr lang="en-US" sz="1000" b="1" i="0" strike="noStrike">
              <a:solidFill>
                <a:srgbClr val="0000FF"/>
              </a:solidFill>
              <a:latin typeface="Arial"/>
              <a:cs typeface="Arial"/>
            </a:rPr>
            <a:t>Use this sheet to customize the applicable project phases, and the size unit(s) for the work product. The phases and size unit(s) indicated in this sheet will be used in other sheets of this workbook.</a:t>
          </a:r>
        </a:p>
      </xdr:txBody>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3</xdr:col>
      <xdr:colOff>9525</xdr:colOff>
      <xdr:row>0</xdr:row>
      <xdr:rowOff>0</xdr:rowOff>
    </xdr:from>
    <xdr:to>
      <xdr:col>8</xdr:col>
      <xdr:colOff>117475</xdr:colOff>
      <xdr:row>16</xdr:row>
      <xdr:rowOff>676275</xdr:rowOff>
    </xdr:to>
    <xdr:sp macro="" textlink="">
      <xdr:nvSpPr>
        <xdr:cNvPr id="13328" name="Text Box 16">
          <a:extLst>
            <a:ext uri="{FF2B5EF4-FFF2-40B4-BE49-F238E27FC236}">
              <a16:creationId xmlns:a16="http://schemas.microsoft.com/office/drawing/2014/main" id="{00000000-0008-0000-0A00-000010340000}"/>
            </a:ext>
          </a:extLst>
        </xdr:cNvPr>
        <xdr:cNvSpPr txBox="1">
          <a:spLocks noChangeArrowheads="1"/>
        </xdr:cNvSpPr>
      </xdr:nvSpPr>
      <xdr:spPr bwMode="auto">
        <a:xfrm>
          <a:off x="2924175" y="0"/>
          <a:ext cx="6524625" cy="676275"/>
        </a:xfrm>
        <a:prstGeom prst="rect">
          <a:avLst/>
        </a:prstGeom>
        <a:solidFill>
          <a:srgbClr val="FFFFCC"/>
        </a:solidFill>
        <a:ln w="9525">
          <a:solidFill>
            <a:srgbClr val="000000"/>
          </a:solidFill>
          <a:miter lim="800000"/>
          <a:headEnd/>
          <a:tailEnd/>
        </a:ln>
      </xdr:spPr>
      <xdr:txBody>
        <a:bodyPr vertOverflow="clip" wrap="square" lIns="36576" tIns="27432" rIns="0" bIns="0" anchor="t" upright="1"/>
        <a:lstStyle/>
        <a:p>
          <a:pPr algn="l" rtl="0">
            <a:defRPr sz="1000"/>
          </a:pPr>
          <a:r>
            <a:rPr lang="en-US" sz="1400" b="1" i="0" strike="noStrike">
              <a:solidFill>
                <a:srgbClr val="0000FF"/>
              </a:solidFill>
              <a:latin typeface="Arial"/>
              <a:cs typeface="Arial"/>
            </a:rPr>
            <a:t>The deliverables identified in the "Size, Schedule and Effort" sheet will be picked up automatically. The users will have to identify "Feedback from customer" to get the Quality of work index".</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9525</xdr:colOff>
      <xdr:row>4</xdr:row>
      <xdr:rowOff>0</xdr:rowOff>
    </xdr:from>
    <xdr:to>
      <xdr:col>10</xdr:col>
      <xdr:colOff>581025</xdr:colOff>
      <xdr:row>5</xdr:row>
      <xdr:rowOff>152400</xdr:rowOff>
    </xdr:to>
    <xdr:sp macro="" textlink="">
      <xdr:nvSpPr>
        <xdr:cNvPr id="20481" name="Text Box 1">
          <a:extLst>
            <a:ext uri="{FF2B5EF4-FFF2-40B4-BE49-F238E27FC236}">
              <a16:creationId xmlns:a16="http://schemas.microsoft.com/office/drawing/2014/main" id="{00000000-0008-0000-0F00-000001500000}"/>
            </a:ext>
          </a:extLst>
        </xdr:cNvPr>
        <xdr:cNvSpPr txBox="1">
          <a:spLocks noChangeArrowheads="1"/>
        </xdr:cNvSpPr>
      </xdr:nvSpPr>
      <xdr:spPr bwMode="auto">
        <a:xfrm>
          <a:off x="9525" y="819150"/>
          <a:ext cx="9048750" cy="314325"/>
        </a:xfrm>
        <a:prstGeom prst="rect">
          <a:avLst/>
        </a:prstGeom>
        <a:solidFill>
          <a:srgbClr val="FFFFCC"/>
        </a:solidFill>
        <a:ln w="9525">
          <a:solidFill>
            <a:srgbClr val="000000"/>
          </a:solidFill>
          <a:miter lim="800000"/>
          <a:headEnd/>
          <a:tailEnd/>
        </a:ln>
      </xdr:spPr>
      <xdr:txBody>
        <a:bodyPr vertOverflow="clip" wrap="square" lIns="36576" tIns="27432" rIns="36576" bIns="27432" anchor="ctr" upright="1"/>
        <a:lstStyle/>
        <a:p>
          <a:pPr algn="ctr" rtl="0">
            <a:defRPr sz="1000"/>
          </a:pPr>
          <a:r>
            <a:rPr lang="en-US" sz="1200" b="1" i="0" strike="noStrike">
              <a:solidFill>
                <a:srgbClr val="0000FF"/>
              </a:solidFill>
              <a:latin typeface="Arial"/>
              <a:cs typeface="Arial"/>
            </a:rPr>
            <a:t>The data in this sheet is protected, and will be computed from the data entered in other sheets of this workbook.</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Data\Working\Mazda\Project\Warranty%20Claim%20and%20AWA%20Pre-Approval\Management_Delivery\PIN-PA_Warranty_Claim_and_AWA_Pre-Authorization-V3.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rajkumarg\AppData\Local\Microsoft\Windows\Temporary%20Internet%20Files\Content.Outlook\EYFT8RVU\PIN-PA_MCVP_Enhancements_%202018-V1%20(4).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Disclaimer-Smartsheet-Templates_Solution1-Tab5"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N History"/>
      <sheetName val="MainPage"/>
      <sheetName val="Project Change History"/>
      <sheetName val="Project Info"/>
      <sheetName val="Resource Allocation"/>
      <sheetName val="Res. Alloc.  (RMG View)"/>
      <sheetName val="H.w S.w Allocation"/>
      <sheetName val="Travel &amp; Other Cost"/>
      <sheetName val="Team Pyramid"/>
      <sheetName val="PIN Verification &amp; Approval"/>
      <sheetName val="Control Reference"/>
      <sheetName val="Holiday List"/>
      <sheetName val="PIN-PA_Warranty_Claim_and_AWA_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N History"/>
      <sheetName val="MainPage"/>
      <sheetName val="Project Change History"/>
      <sheetName val="Project Info"/>
      <sheetName val="Resource Allocation"/>
      <sheetName val="Res. Alloc.  (RMG View)"/>
      <sheetName val="H.w S.w Allocation"/>
      <sheetName val="Travel &amp; Other Cost"/>
      <sheetName val="Team Pyramid"/>
      <sheetName val="PIN Verification &amp; Approval"/>
      <sheetName val="Control Reference"/>
      <sheetName val="Holiday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tenance Work Order"/>
      <sheetName val="BLANK - Maintenance Work Order "/>
      <sheetName val="- Disclaimer -"/>
    </sheetNames>
    <sheetDataSet>
      <sheetData sheetId="0"/>
      <sheetData sheetId="1" refreshError="1"/>
      <sheetData sheetId="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4.xml"/><Relationship Id="rId1" Type="http://schemas.openxmlformats.org/officeDocument/2006/relationships/printerSettings" Target="../printerSettings/printerSettings13.bin"/><Relationship Id="rId4" Type="http://schemas.openxmlformats.org/officeDocument/2006/relationships/comments" Target="../comments6.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7"/>
  <sheetViews>
    <sheetView workbookViewId="0">
      <selection activeCell="H12" sqref="H12"/>
    </sheetView>
  </sheetViews>
  <sheetFormatPr defaultRowHeight="12.75" x14ac:dyDescent="0.2"/>
  <cols>
    <col min="1" max="1" width="5.28515625" customWidth="1"/>
    <col min="2" max="2" width="50.140625" customWidth="1"/>
    <col min="3" max="3" width="70.140625" bestFit="1" customWidth="1"/>
  </cols>
  <sheetData>
    <row r="1" spans="1:5" ht="31.5" x14ac:dyDescent="0.2">
      <c r="A1" s="360"/>
      <c r="B1" s="434" t="s">
        <v>0</v>
      </c>
      <c r="C1" s="434"/>
      <c r="D1" s="435"/>
    </row>
    <row r="2" spans="1:5" ht="31.5" x14ac:dyDescent="0.25">
      <c r="A2" s="436"/>
      <c r="B2" s="436"/>
      <c r="C2" s="421"/>
      <c r="D2" s="421"/>
      <c r="E2" s="361"/>
    </row>
    <row r="3" spans="1:5" ht="15" x14ac:dyDescent="0.25">
      <c r="A3" s="429"/>
      <c r="B3" s="429"/>
      <c r="C3" s="422"/>
      <c r="D3" s="422"/>
    </row>
    <row r="4" spans="1:5" ht="15" x14ac:dyDescent="0.25">
      <c r="A4" s="361"/>
      <c r="B4" s="437" t="s">
        <v>1</v>
      </c>
      <c r="C4" s="437" t="s">
        <v>2</v>
      </c>
      <c r="D4" s="423"/>
    </row>
    <row r="5" spans="1:5" ht="15" x14ac:dyDescent="0.25">
      <c r="A5" s="361"/>
      <c r="B5" s="430"/>
      <c r="C5" s="430"/>
      <c r="D5" s="423"/>
    </row>
    <row r="6" spans="1:5" ht="15" x14ac:dyDescent="0.25">
      <c r="A6" s="361"/>
      <c r="B6" s="433" t="s">
        <v>3</v>
      </c>
      <c r="C6" s="433" t="s">
        <v>0</v>
      </c>
      <c r="D6" s="423"/>
    </row>
    <row r="7" spans="1:5" ht="15" x14ac:dyDescent="0.25">
      <c r="A7" s="361"/>
      <c r="B7" s="433"/>
      <c r="C7" s="433"/>
      <c r="D7" s="423"/>
    </row>
    <row r="8" spans="1:5" ht="15" x14ac:dyDescent="0.25">
      <c r="A8" s="361"/>
      <c r="B8" s="430" t="s">
        <v>4</v>
      </c>
      <c r="C8" s="431">
        <v>1.3</v>
      </c>
      <c r="D8" s="423"/>
    </row>
    <row r="9" spans="1:5" ht="15" x14ac:dyDescent="0.25">
      <c r="A9" s="361"/>
      <c r="B9" s="430"/>
      <c r="C9" s="431"/>
      <c r="D9" s="423"/>
    </row>
    <row r="10" spans="1:5" ht="15" x14ac:dyDescent="0.25">
      <c r="A10" s="361"/>
      <c r="B10" s="430" t="s">
        <v>5</v>
      </c>
      <c r="C10" s="362" t="s">
        <v>6</v>
      </c>
      <c r="D10" s="423"/>
    </row>
    <row r="11" spans="1:5" ht="15" x14ac:dyDescent="0.25">
      <c r="A11" s="361"/>
      <c r="B11" s="430"/>
      <c r="C11" s="363" t="s">
        <v>7</v>
      </c>
      <c r="D11" s="423"/>
    </row>
    <row r="12" spans="1:5" ht="45" x14ac:dyDescent="0.25">
      <c r="A12" s="361"/>
      <c r="B12" s="424"/>
      <c r="C12" s="364" t="s">
        <v>8</v>
      </c>
      <c r="D12" s="423"/>
    </row>
    <row r="13" spans="1:5" ht="15" x14ac:dyDescent="0.25">
      <c r="A13" s="361"/>
      <c r="B13" s="430" t="s">
        <v>9</v>
      </c>
      <c r="C13" s="432">
        <v>45890</v>
      </c>
      <c r="D13" s="423"/>
    </row>
    <row r="14" spans="1:5" ht="15" x14ac:dyDescent="0.25">
      <c r="A14" s="361"/>
      <c r="B14" s="430"/>
      <c r="C14" s="432"/>
      <c r="D14" s="423"/>
    </row>
    <row r="15" spans="1:5" ht="15" x14ac:dyDescent="0.25">
      <c r="A15" s="361"/>
      <c r="B15" s="430"/>
      <c r="C15" s="430"/>
      <c r="D15" s="423"/>
    </row>
    <row r="16" spans="1:5" ht="15" x14ac:dyDescent="0.25">
      <c r="A16" s="361"/>
      <c r="B16" s="430"/>
      <c r="C16" s="430"/>
      <c r="D16" s="423"/>
    </row>
    <row r="17" spans="1:4" ht="15" x14ac:dyDescent="0.25">
      <c r="A17" s="429"/>
      <c r="B17" s="429"/>
      <c r="C17" s="361"/>
      <c r="D17" s="361"/>
    </row>
  </sheetData>
  <mergeCells count="15">
    <mergeCell ref="B6:B7"/>
    <mergeCell ref="C6:C7"/>
    <mergeCell ref="B1:D1"/>
    <mergeCell ref="A2:B2"/>
    <mergeCell ref="A3:B3"/>
    <mergeCell ref="B4:B5"/>
    <mergeCell ref="C4:C5"/>
    <mergeCell ref="A17:B17"/>
    <mergeCell ref="B8:B9"/>
    <mergeCell ref="C8:C9"/>
    <mergeCell ref="B10:B11"/>
    <mergeCell ref="B13:B14"/>
    <mergeCell ref="C13:C14"/>
    <mergeCell ref="B15:B16"/>
    <mergeCell ref="C15:C16"/>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D36"/>
  <sheetViews>
    <sheetView topLeftCell="A13" zoomScaleNormal="100" workbookViewId="0">
      <selection activeCell="D19" sqref="D19"/>
    </sheetView>
  </sheetViews>
  <sheetFormatPr defaultRowHeight="12.75" x14ac:dyDescent="0.2"/>
  <cols>
    <col min="1" max="1" width="36.7109375" bestFit="1" customWidth="1"/>
    <col min="2" max="2" width="27.28515625" customWidth="1"/>
    <col min="3" max="3" width="41" customWidth="1"/>
    <col min="4" max="4" width="27.28515625" customWidth="1"/>
  </cols>
  <sheetData>
    <row r="1" spans="1:4" ht="18.75" thickBot="1" x14ac:dyDescent="0.3">
      <c r="A1" s="438" t="s">
        <v>10</v>
      </c>
      <c r="B1" s="439"/>
      <c r="C1" s="439"/>
      <c r="D1" s="440"/>
    </row>
    <row r="2" spans="1:4" ht="21.75" customHeight="1" x14ac:dyDescent="0.2">
      <c r="A2" s="187" t="s">
        <v>11</v>
      </c>
      <c r="B2" s="447"/>
      <c r="C2" s="447"/>
      <c r="D2" s="448"/>
    </row>
    <row r="3" spans="1:4" ht="18" x14ac:dyDescent="0.2">
      <c r="A3" s="190" t="s">
        <v>12</v>
      </c>
      <c r="B3" s="265"/>
      <c r="C3" s="191" t="s">
        <v>13</v>
      </c>
      <c r="D3" s="192"/>
    </row>
    <row r="4" spans="1:4" ht="18.75" thickBot="1" x14ac:dyDescent="0.25">
      <c r="A4" s="193" t="s">
        <v>14</v>
      </c>
      <c r="B4" s="266"/>
      <c r="C4" s="194" t="s">
        <v>15</v>
      </c>
      <c r="D4" s="195"/>
    </row>
    <row r="5" spans="1:4" ht="11.25" customHeight="1" thickBot="1" x14ac:dyDescent="0.25">
      <c r="A5" s="441"/>
      <c r="B5" s="442"/>
      <c r="C5" s="442"/>
      <c r="D5" s="443"/>
    </row>
    <row r="6" spans="1:4" ht="68.25" customHeight="1" x14ac:dyDescent="0.2">
      <c r="A6" s="188" t="s">
        <v>16</v>
      </c>
      <c r="B6" s="449" t="s">
        <v>17</v>
      </c>
      <c r="C6" s="450"/>
      <c r="D6" s="451"/>
    </row>
    <row r="7" spans="1:4" ht="28.5" customHeight="1" x14ac:dyDescent="0.2">
      <c r="A7" s="196" t="s">
        <v>18</v>
      </c>
      <c r="B7" s="444" t="s">
        <v>19</v>
      </c>
      <c r="C7" s="445"/>
      <c r="D7" s="446"/>
    </row>
    <row r="8" spans="1:4" ht="25.5" customHeight="1" thickBot="1" x14ac:dyDescent="0.25">
      <c r="A8" s="197" t="s">
        <v>20</v>
      </c>
      <c r="B8" s="452" t="s">
        <v>21</v>
      </c>
      <c r="C8" s="452"/>
      <c r="D8" s="453"/>
    </row>
    <row r="9" spans="1:4" ht="9.75" customHeight="1" thickBot="1" x14ac:dyDescent="0.25">
      <c r="A9" s="441"/>
      <c r="B9" s="442"/>
      <c r="C9" s="442"/>
      <c r="D9" s="443"/>
    </row>
    <row r="10" spans="1:4" ht="22.5" customHeight="1" x14ac:dyDescent="0.2">
      <c r="A10" s="189" t="s">
        <v>22</v>
      </c>
      <c r="B10" s="91"/>
      <c r="C10" s="198" t="s">
        <v>23</v>
      </c>
      <c r="D10" s="91"/>
    </row>
    <row r="11" spans="1:4" ht="18" x14ac:dyDescent="0.2">
      <c r="A11" s="199" t="s">
        <v>24</v>
      </c>
      <c r="B11" s="267"/>
      <c r="C11" s="200" t="s">
        <v>25</v>
      </c>
      <c r="D11" s="267"/>
    </row>
    <row r="12" spans="1:4" ht="18" x14ac:dyDescent="0.2">
      <c r="A12" s="199" t="s">
        <v>26</v>
      </c>
      <c r="B12" s="91"/>
      <c r="C12" s="199" t="s">
        <v>27</v>
      </c>
      <c r="D12" s="91"/>
    </row>
    <row r="13" spans="1:4" ht="18.75" thickBot="1" x14ac:dyDescent="0.25">
      <c r="A13" s="201" t="s">
        <v>28</v>
      </c>
      <c r="B13" s="91"/>
      <c r="C13" s="202" t="s">
        <v>29</v>
      </c>
      <c r="D13" s="91"/>
    </row>
    <row r="14" spans="1:4" ht="10.5" customHeight="1" thickBot="1" x14ac:dyDescent="0.25">
      <c r="A14" s="203"/>
      <c r="B14" s="204"/>
      <c r="C14" s="205"/>
      <c r="D14" s="206"/>
    </row>
    <row r="15" spans="1:4" ht="18.75" thickBot="1" x14ac:dyDescent="0.25">
      <c r="A15" s="187" t="s">
        <v>30</v>
      </c>
      <c r="B15" s="207"/>
      <c r="C15" s="208" t="s">
        <v>31</v>
      </c>
      <c r="D15" s="209">
        <f>B15*90%</f>
        <v>0</v>
      </c>
    </row>
    <row r="16" spans="1:4" ht="18.75" thickBot="1" x14ac:dyDescent="0.25">
      <c r="A16" s="210" t="s">
        <v>32</v>
      </c>
      <c r="B16" s="211">
        <f>PSR!R28+PSR!I28</f>
        <v>0</v>
      </c>
      <c r="C16" s="212" t="s">
        <v>33</v>
      </c>
      <c r="D16" s="209">
        <f>D15-B16</f>
        <v>0</v>
      </c>
    </row>
    <row r="17" spans="1:4" ht="13.5" thickBot="1" x14ac:dyDescent="0.25">
      <c r="A17" s="213"/>
      <c r="B17" s="214"/>
      <c r="C17" s="214"/>
      <c r="D17" s="215"/>
    </row>
    <row r="18" spans="1:4" ht="18" x14ac:dyDescent="0.2">
      <c r="A18" s="188" t="s">
        <v>34</v>
      </c>
      <c r="B18" s="216"/>
      <c r="C18" s="217" t="s">
        <v>35</v>
      </c>
      <c r="D18" s="218"/>
    </row>
    <row r="19" spans="1:4" ht="18.75" thickBot="1" x14ac:dyDescent="0.25">
      <c r="A19" s="197" t="s">
        <v>36</v>
      </c>
      <c r="B19" s="211">
        <f>PSR!R28/8</f>
        <v>0</v>
      </c>
      <c r="C19" s="219" t="s">
        <v>37</v>
      </c>
      <c r="D19" s="209">
        <f>PSR!I28/8</f>
        <v>0</v>
      </c>
    </row>
    <row r="23" spans="1:4" ht="18" x14ac:dyDescent="0.2">
      <c r="A23" s="186" t="s">
        <v>38</v>
      </c>
      <c r="B23" s="186" t="s">
        <v>39</v>
      </c>
      <c r="C23" s="186" t="s">
        <v>40</v>
      </c>
      <c r="D23" s="186" t="s">
        <v>41</v>
      </c>
    </row>
    <row r="24" spans="1:4" x14ac:dyDescent="0.2">
      <c r="A24" s="257"/>
      <c r="B24" s="103"/>
      <c r="C24" s="258"/>
      <c r="D24" s="258"/>
    </row>
    <row r="25" spans="1:4" x14ac:dyDescent="0.2">
      <c r="A25" s="259"/>
      <c r="B25" s="103"/>
      <c r="C25" s="258"/>
      <c r="D25" s="258"/>
    </row>
    <row r="26" spans="1:4" x14ac:dyDescent="0.2">
      <c r="A26" s="259"/>
      <c r="B26" s="103"/>
      <c r="C26" s="258"/>
      <c r="D26" s="258"/>
    </row>
    <row r="27" spans="1:4" x14ac:dyDescent="0.2">
      <c r="A27" s="263"/>
      <c r="B27" s="103"/>
      <c r="C27" s="258"/>
      <c r="D27" s="258"/>
    </row>
    <row r="28" spans="1:4" x14ac:dyDescent="0.2">
      <c r="A28" s="263"/>
      <c r="B28" s="103"/>
      <c r="C28" s="258"/>
      <c r="D28" s="258"/>
    </row>
    <row r="29" spans="1:4" x14ac:dyDescent="0.2">
      <c r="A29" s="263"/>
      <c r="B29" s="103"/>
      <c r="C29" s="258"/>
      <c r="D29" s="258"/>
    </row>
    <row r="30" spans="1:4" x14ac:dyDescent="0.2">
      <c r="A30" s="263"/>
      <c r="B30" s="103"/>
      <c r="C30" s="258"/>
      <c r="D30" s="258"/>
    </row>
    <row r="31" spans="1:4" x14ac:dyDescent="0.2">
      <c r="A31" s="263"/>
      <c r="B31" s="103"/>
      <c r="C31" s="258"/>
      <c r="D31" s="258"/>
    </row>
    <row r="32" spans="1:4" x14ac:dyDescent="0.2">
      <c r="A32" s="263"/>
      <c r="B32" s="103"/>
      <c r="C32" s="258"/>
      <c r="D32" s="258"/>
    </row>
    <row r="33" spans="1:4" x14ac:dyDescent="0.2">
      <c r="A33" s="263"/>
      <c r="B33" s="103"/>
      <c r="C33" s="258"/>
      <c r="D33" s="258"/>
    </row>
    <row r="34" spans="1:4" x14ac:dyDescent="0.2">
      <c r="A34" s="263"/>
      <c r="B34" s="103"/>
      <c r="C34" s="258"/>
      <c r="D34" s="258"/>
    </row>
    <row r="35" spans="1:4" x14ac:dyDescent="0.2">
      <c r="A35" s="263"/>
      <c r="B35" s="103"/>
      <c r="C35" s="258"/>
      <c r="D35" s="258"/>
    </row>
    <row r="36" spans="1:4" x14ac:dyDescent="0.2">
      <c r="A36" s="263"/>
      <c r="B36" s="103"/>
      <c r="C36" s="258"/>
      <c r="D36" s="258"/>
    </row>
  </sheetData>
  <mergeCells count="7">
    <mergeCell ref="A1:D1"/>
    <mergeCell ref="A5:D5"/>
    <mergeCell ref="A9:D9"/>
    <mergeCell ref="B7:D7"/>
    <mergeCell ref="B2:D2"/>
    <mergeCell ref="B6:D6"/>
    <mergeCell ref="B8:D8"/>
  </mergeCells>
  <conditionalFormatting sqref="D11">
    <cfRule type="cellIs" dxfId="215" priority="1" stopIfTrue="1" operator="greaterThan">
      <formula>$B$11</formula>
    </cfRule>
  </conditionalFormatting>
  <dataValidations count="7">
    <dataValidation type="list" allowBlank="1" showInputMessage="1" showErrorMessage="1" sqref="D3" xr:uid="{00000000-0002-0000-0100-000000000000}">
      <formula1>"In-Progress,Close,Hold"</formula1>
    </dataValidation>
    <dataValidation type="list" allowBlank="1" showInputMessage="1" showErrorMessage="1" sqref="D4" xr:uid="{00000000-0002-0000-0100-000001000000}">
      <formula1>"Development,Maintenance &amp; Support,Testing, Documentation"</formula1>
    </dataValidation>
    <dataValidation type="list" allowBlank="1" showInputMessage="1" showErrorMessage="1" sqref="B4" xr:uid="{00000000-0002-0000-0100-000002000000}">
      <formula1>"A,B,C,D"</formula1>
    </dataValidation>
    <dataValidation type="date" operator="greaterThanOrEqual" allowBlank="1" showInputMessage="1" showErrorMessage="1" errorTitle="Data validation error" error="This cell can take only date values." promptTitle="Guidance" prompt="This date is used for the computation of schedule variance data." sqref="B10:B13" xr:uid="{00000000-0002-0000-0100-000003000000}">
      <formula1>32874</formula1>
    </dataValidation>
    <dataValidation type="date" operator="greaterThan" allowBlank="1" showInputMessage="1" showErrorMessage="1" errorTitle="Completion date" error="The Initial completion date must be later than the start date" promptTitle="Guidance" prompt="This date is used for the computation of schedule variance data." sqref="D12:D13" xr:uid="{00000000-0002-0000-0100-000004000000}">
      <formula1>$D11</formula1>
    </dataValidation>
    <dataValidation type="date" operator="greaterThan" allowBlank="1" showInputMessage="1" showErrorMessage="1" errorTitle="Completion date" error="The Initial completion date must be later than the start date" promptTitle="Guidance" prompt="This date is used for the computation of schedule variance data." sqref="D10" xr:uid="{00000000-0002-0000-0100-000005000000}">
      <formula1>$D10</formula1>
    </dataValidation>
    <dataValidation type="date" operator="greaterThan" allowBlank="1" showInputMessage="1" showErrorMessage="1" errorTitle="Completion date" error="The Initial completion date must be later than the start date" promptTitle="Guidance" prompt="This date is used for the computation of schedule variance data." sqref="D11" xr:uid="{00000000-0002-0000-0100-000006000000}">
      <formula1>B11</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O503"/>
  <sheetViews>
    <sheetView zoomScale="80" zoomScaleNormal="80" workbookViewId="0">
      <selection activeCell="D2" sqref="D2"/>
    </sheetView>
  </sheetViews>
  <sheetFormatPr defaultRowHeight="12.75" x14ac:dyDescent="0.2"/>
  <cols>
    <col min="1" max="1" width="21.5703125" style="5" customWidth="1"/>
    <col min="2" max="2" width="29.7109375" style="4" customWidth="1"/>
    <col min="3" max="3" width="26.28515625" style="4" customWidth="1"/>
    <col min="4" max="4" width="27.85546875" style="4" customWidth="1"/>
    <col min="5" max="5" width="17" style="66" customWidth="1"/>
    <col min="6" max="6" width="14.7109375" style="36" customWidth="1"/>
    <col min="7" max="7" width="9.140625" style="59"/>
    <col min="8" max="9" width="9.140625" style="59" hidden="1" customWidth="1"/>
    <col min="10" max="11" width="9.140625" hidden="1" customWidth="1"/>
    <col min="12" max="12" width="27" hidden="1" customWidth="1"/>
    <col min="13" max="15" width="9.140625" hidden="1" customWidth="1"/>
    <col min="16" max="16" width="0" hidden="1" customWidth="1"/>
  </cols>
  <sheetData>
    <row r="1" spans="1:14" ht="14.25" x14ac:dyDescent="0.3">
      <c r="A1" s="39" t="s">
        <v>11</v>
      </c>
      <c r="B1" s="37"/>
      <c r="C1" s="60" t="s">
        <v>42</v>
      </c>
      <c r="D1" s="332"/>
      <c r="E1" s="462" t="s">
        <v>43</v>
      </c>
      <c r="F1" s="463"/>
      <c r="H1" s="59" t="str">
        <f ca="1">IF(ISERROR(SMALL('Control panel'!D$3:D$23,ROW())),"",INDIRECT("'Control panel'!B" &amp; SMALL('Control panel'!D$3:D$23,ROW()),2))</f>
        <v>Hours</v>
      </c>
      <c r="I1" s="59" t="s">
        <v>44</v>
      </c>
      <c r="J1" t="s">
        <v>45</v>
      </c>
      <c r="K1" t="s">
        <v>46</v>
      </c>
      <c r="L1" s="79" t="s">
        <v>47</v>
      </c>
      <c r="M1" t="s">
        <v>48</v>
      </c>
      <c r="N1" t="s">
        <v>49</v>
      </c>
    </row>
    <row r="2" spans="1:14" ht="14.25" x14ac:dyDescent="0.3">
      <c r="A2" s="40" t="s">
        <v>50</v>
      </c>
      <c r="B2" s="38"/>
      <c r="C2" s="61" t="s">
        <v>51</v>
      </c>
      <c r="D2" s="75" t="e">
        <f>#REF!</f>
        <v>#REF!</v>
      </c>
      <c r="E2" s="456" t="s">
        <v>52</v>
      </c>
      <c r="F2" s="457"/>
      <c r="H2" s="59" t="str">
        <f ca="1">IF(ISERROR(SMALL('Control panel'!D$3:D$23,ROW())),"",INDIRECT("'Control panel'!B" &amp; SMALL('Control panel'!D$3:D$23,ROW()),2))</f>
        <v/>
      </c>
      <c r="I2" s="59" t="s">
        <v>53</v>
      </c>
      <c r="J2" t="s">
        <v>54</v>
      </c>
      <c r="K2" t="s">
        <v>55</v>
      </c>
      <c r="L2" s="79" t="s">
        <v>56</v>
      </c>
      <c r="M2" t="s">
        <v>57</v>
      </c>
      <c r="N2" t="s">
        <v>58</v>
      </c>
    </row>
    <row r="3" spans="1:14" ht="14.25" x14ac:dyDescent="0.3">
      <c r="A3" s="40" t="s">
        <v>59</v>
      </c>
      <c r="B3" s="38"/>
      <c r="C3" s="61" t="s">
        <v>60</v>
      </c>
      <c r="D3" s="75" t="e">
        <f>#REF!</f>
        <v>#REF!</v>
      </c>
      <c r="E3" s="464" t="s">
        <v>61</v>
      </c>
      <c r="F3" s="465"/>
      <c r="H3" s="59" t="str">
        <f ca="1">IF(ISERROR(SMALL('Control panel'!D$3:D$23,ROW())),"",INDIRECT("'Control panel'!B" &amp; SMALL('Control panel'!D$3:D$23,ROW()),2))</f>
        <v/>
      </c>
      <c r="I3" s="59" t="s">
        <v>62</v>
      </c>
      <c r="J3" t="s">
        <v>63</v>
      </c>
      <c r="K3" t="s">
        <v>62</v>
      </c>
      <c r="L3" s="79" t="s">
        <v>64</v>
      </c>
      <c r="M3" t="s">
        <v>65</v>
      </c>
      <c r="N3" t="s">
        <v>66</v>
      </c>
    </row>
    <row r="4" spans="1:14" ht="14.25" x14ac:dyDescent="0.3">
      <c r="A4" s="40" t="s">
        <v>67</v>
      </c>
      <c r="B4" s="38"/>
      <c r="C4" s="61" t="s">
        <v>68</v>
      </c>
      <c r="D4" s="75" t="e">
        <f>#REF!</f>
        <v>#REF!</v>
      </c>
      <c r="E4" s="464" t="s">
        <v>69</v>
      </c>
      <c r="F4" s="465"/>
      <c r="H4" s="59" t="str">
        <f ca="1">IF(ISERROR(SMALL('Control panel'!D$3:D$23,ROW())),"",INDIRECT("'Control panel'!B" &amp; SMALL('Control panel'!D$3:D$23,ROW()),2))</f>
        <v/>
      </c>
      <c r="I4" s="59" t="s">
        <v>70</v>
      </c>
      <c r="J4" t="s">
        <v>71</v>
      </c>
      <c r="K4" t="s">
        <v>72</v>
      </c>
      <c r="L4" s="79" t="s">
        <v>73</v>
      </c>
      <c r="M4" t="s">
        <v>74</v>
      </c>
      <c r="N4" t="s">
        <v>75</v>
      </c>
    </row>
    <row r="5" spans="1:14" ht="14.25" x14ac:dyDescent="0.3">
      <c r="A5" s="40" t="s">
        <v>15</v>
      </c>
      <c r="B5" s="38"/>
      <c r="C5" s="61" t="s">
        <v>76</v>
      </c>
      <c r="D5" s="75" t="e">
        <f>#REF!</f>
        <v>#REF!</v>
      </c>
      <c r="E5" s="466" t="s">
        <v>77</v>
      </c>
      <c r="F5" s="467"/>
      <c r="H5" s="59" t="str">
        <f ca="1">IF(ISERROR(SMALL('Control panel'!D$3:D$23,ROW())),"",INDIRECT("'Control panel'!B" &amp; SMALL('Control panel'!D$3:D$23,ROW()),2))</f>
        <v/>
      </c>
      <c r="I5" s="59" t="s">
        <v>72</v>
      </c>
      <c r="J5" t="s">
        <v>78</v>
      </c>
      <c r="K5" t="s">
        <v>79</v>
      </c>
      <c r="L5" s="79" t="s">
        <v>80</v>
      </c>
      <c r="M5" t="s">
        <v>81</v>
      </c>
      <c r="N5" t="s">
        <v>82</v>
      </c>
    </row>
    <row r="6" spans="1:14" ht="14.25" x14ac:dyDescent="0.3">
      <c r="A6" s="40" t="s">
        <v>83</v>
      </c>
      <c r="B6" s="38"/>
      <c r="C6" s="61" t="s">
        <v>84</v>
      </c>
      <c r="D6" s="75" t="e">
        <f>#REF!</f>
        <v>#REF!</v>
      </c>
      <c r="E6" s="456" t="s">
        <v>85</v>
      </c>
      <c r="F6" s="457"/>
      <c r="H6" s="59" t="str">
        <f ca="1">IF(ISERROR(SMALL('Control panel'!D$3:D$23,ROW())),"",INDIRECT("'Control panel'!B" &amp; SMALL('Control panel'!D$3:D$23,ROW()),2))</f>
        <v/>
      </c>
      <c r="I6" s="59" t="s">
        <v>86</v>
      </c>
      <c r="J6" t="s">
        <v>87</v>
      </c>
      <c r="K6" t="s">
        <v>88</v>
      </c>
      <c r="L6" s="79" t="s">
        <v>89</v>
      </c>
      <c r="M6" t="s">
        <v>90</v>
      </c>
      <c r="N6" t="s">
        <v>91</v>
      </c>
    </row>
    <row r="7" spans="1:14" ht="14.25" x14ac:dyDescent="0.3">
      <c r="A7" s="40" t="s">
        <v>92</v>
      </c>
      <c r="B7" s="38"/>
      <c r="C7" s="61" t="s">
        <v>93</v>
      </c>
      <c r="D7" s="75"/>
      <c r="E7" s="456" t="s">
        <v>94</v>
      </c>
      <c r="F7" s="457"/>
      <c r="H7" s="59" t="str">
        <f ca="1">IF(ISERROR(SMALL('Control panel'!D$3:D$23,ROW())),"",INDIRECT("'Control panel'!B" &amp; SMALL('Control panel'!D$3:D$23,ROW()),2))</f>
        <v/>
      </c>
      <c r="I7" s="59" t="s">
        <v>95</v>
      </c>
      <c r="J7" s="31" t="s">
        <v>96</v>
      </c>
      <c r="K7" t="s">
        <v>97</v>
      </c>
      <c r="L7" s="79" t="s">
        <v>98</v>
      </c>
      <c r="M7" t="s">
        <v>99</v>
      </c>
      <c r="N7" t="s">
        <v>100</v>
      </c>
    </row>
    <row r="8" spans="1:14" ht="14.25" x14ac:dyDescent="0.3">
      <c r="A8" s="40" t="s">
        <v>101</v>
      </c>
      <c r="B8" s="38"/>
      <c r="C8" s="61" t="s">
        <v>102</v>
      </c>
      <c r="D8" s="76" t="e">
        <f>#REF!</f>
        <v>#REF!</v>
      </c>
      <c r="E8" s="456" t="s">
        <v>103</v>
      </c>
      <c r="F8" s="457"/>
      <c r="H8" s="59" t="str">
        <f ca="1">IF(ISERROR(SMALL('Control panel'!D$3:D$23,ROW())),"",INDIRECT("'Control panel'!B" &amp; SMALL('Control panel'!D$3:D$23,ROW()),2))</f>
        <v/>
      </c>
      <c r="I8" s="59" t="s">
        <v>104</v>
      </c>
      <c r="J8" t="s">
        <v>105</v>
      </c>
      <c r="K8" t="s">
        <v>106</v>
      </c>
      <c r="L8" s="79" t="s">
        <v>107</v>
      </c>
      <c r="M8" t="s">
        <v>108</v>
      </c>
      <c r="N8" t="s">
        <v>109</v>
      </c>
    </row>
    <row r="9" spans="1:14" ht="14.25" x14ac:dyDescent="0.3">
      <c r="A9" s="40" t="s">
        <v>110</v>
      </c>
      <c r="B9" s="38"/>
      <c r="C9" s="61" t="s">
        <v>111</v>
      </c>
      <c r="D9" s="76" t="e">
        <f>#REF!</f>
        <v>#REF!</v>
      </c>
      <c r="E9" s="468" t="s">
        <v>112</v>
      </c>
      <c r="F9" s="469"/>
      <c r="H9" s="59" t="str">
        <f ca="1">IF(ISERROR(SMALL('Control panel'!D$3:D$23,ROW())),"",INDIRECT("'Control panel'!B" &amp; SMALL('Control panel'!D$3:D$23,ROW()),2))</f>
        <v/>
      </c>
      <c r="I9" s="59" t="s">
        <v>113</v>
      </c>
      <c r="J9" t="s">
        <v>114</v>
      </c>
      <c r="K9" t="s">
        <v>115</v>
      </c>
      <c r="L9" s="79" t="s">
        <v>116</v>
      </c>
      <c r="M9" t="s">
        <v>117</v>
      </c>
      <c r="N9" t="s">
        <v>118</v>
      </c>
    </row>
    <row r="10" spans="1:14" ht="14.25" x14ac:dyDescent="0.3">
      <c r="A10" s="40" t="s">
        <v>119</v>
      </c>
      <c r="B10" s="38" t="e">
        <f>#REF!</f>
        <v>#REF!</v>
      </c>
      <c r="C10" s="61" t="s">
        <v>120</v>
      </c>
      <c r="D10" s="76" t="e">
        <f>#REF!</f>
        <v>#REF!</v>
      </c>
      <c r="E10" s="468" t="s">
        <v>121</v>
      </c>
      <c r="F10" s="469"/>
      <c r="H10" s="59" t="str">
        <f ca="1">IF(ISERROR(SMALL('Control panel'!D$3:D$23,ROW())),"",INDIRECT("'Control panel'!B" &amp; SMALL('Control panel'!D$3:D$23,ROW()),2))</f>
        <v/>
      </c>
      <c r="I10" s="59" t="s">
        <v>122</v>
      </c>
      <c r="J10" t="s">
        <v>123</v>
      </c>
      <c r="K10" t="s">
        <v>122</v>
      </c>
      <c r="L10" s="79" t="s">
        <v>124</v>
      </c>
      <c r="N10" t="s">
        <v>125</v>
      </c>
    </row>
    <row r="11" spans="1:14" ht="14.25" x14ac:dyDescent="0.3">
      <c r="A11" s="40" t="s">
        <v>126</v>
      </c>
      <c r="B11" s="38" t="e">
        <f>#REF!</f>
        <v>#REF!</v>
      </c>
      <c r="C11" s="61" t="s">
        <v>127</v>
      </c>
      <c r="D11" s="76"/>
      <c r="E11" s="456" t="s">
        <v>128</v>
      </c>
      <c r="F11" s="457"/>
      <c r="H11" s="59" t="str">
        <f ca="1">IF(ISERROR(SMALL('Control panel'!D$3:D$23,ROW())),"",INDIRECT("'Control panel'!B" &amp; SMALL('Control panel'!D$3:D$23,ROW()),2))</f>
        <v/>
      </c>
      <c r="J11" t="s">
        <v>129</v>
      </c>
      <c r="K11" t="s">
        <v>130</v>
      </c>
      <c r="L11" s="79" t="s">
        <v>131</v>
      </c>
      <c r="N11" t="s">
        <v>132</v>
      </c>
    </row>
    <row r="12" spans="1:14" ht="14.25" x14ac:dyDescent="0.3">
      <c r="A12" s="40" t="s">
        <v>133</v>
      </c>
      <c r="B12" s="38" t="e">
        <f>#REF!</f>
        <v>#REF!</v>
      </c>
      <c r="C12" s="61" t="s">
        <v>134</v>
      </c>
      <c r="D12" s="75"/>
      <c r="E12" s="456" t="s">
        <v>135</v>
      </c>
      <c r="F12" s="457"/>
      <c r="H12" s="59" t="str">
        <f ca="1">IF(ISERROR(SMALL('Control panel'!D$3:D$23,ROW())),"",INDIRECT("'Control panel'!B" &amp; SMALL('Control panel'!D$3:D$23,ROW()),2))</f>
        <v/>
      </c>
      <c r="J12" t="s">
        <v>136</v>
      </c>
      <c r="K12" t="s">
        <v>137</v>
      </c>
      <c r="L12" s="79" t="s">
        <v>138</v>
      </c>
      <c r="N12" t="s">
        <v>139</v>
      </c>
    </row>
    <row r="13" spans="1:14" ht="14.25" x14ac:dyDescent="0.3">
      <c r="A13" s="40" t="s">
        <v>140</v>
      </c>
      <c r="B13" s="38"/>
      <c r="C13" s="62" t="s">
        <v>141</v>
      </c>
      <c r="D13" s="74"/>
      <c r="E13" s="456" t="s">
        <v>142</v>
      </c>
      <c r="F13" s="457"/>
      <c r="H13" s="59" t="str">
        <f ca="1">IF(ISERROR(SMALL('Control panel'!D$3:D$23,ROW())),"",INDIRECT("'Control panel'!B" &amp; SMALL('Control panel'!D$3:D$23,ROW()),2))</f>
        <v/>
      </c>
      <c r="J13" t="s">
        <v>143</v>
      </c>
      <c r="L13" s="79" t="s">
        <v>144</v>
      </c>
      <c r="N13" t="s">
        <v>145</v>
      </c>
    </row>
    <row r="14" spans="1:14" ht="15" thickBot="1" x14ac:dyDescent="0.35">
      <c r="A14" s="40" t="s">
        <v>46</v>
      </c>
      <c r="B14" s="38"/>
      <c r="C14" s="63" t="s">
        <v>146</v>
      </c>
      <c r="D14" s="52"/>
      <c r="E14" s="456" t="s">
        <v>147</v>
      </c>
      <c r="F14" s="457"/>
      <c r="H14" s="59" t="str">
        <f ca="1">IF(ISERROR(SMALL('Control panel'!D$3:D$23,ROW())),"",INDIRECT("'Control panel'!B" &amp; SMALL('Control panel'!D$3:D$23,ROW()),2))</f>
        <v/>
      </c>
      <c r="J14" t="s">
        <v>148</v>
      </c>
      <c r="L14" s="79" t="s">
        <v>149</v>
      </c>
      <c r="N14" t="s">
        <v>150</v>
      </c>
    </row>
    <row r="15" spans="1:14" ht="15" thickBot="1" x14ac:dyDescent="0.35">
      <c r="A15" s="41" t="s">
        <v>151</v>
      </c>
      <c r="B15" s="64"/>
      <c r="C15" s="53"/>
      <c r="D15" s="171" t="s">
        <v>152</v>
      </c>
      <c r="E15" s="458" t="s">
        <v>153</v>
      </c>
      <c r="F15" s="459"/>
      <c r="H15" s="59" t="str">
        <f ca="1">IF(ISERROR(SMALL('Control panel'!D$3:D$23,ROW())),"",INDIRECT("'Control panel'!B" &amp; SMALL('Control panel'!D$3:D$23,ROW()),2))</f>
        <v/>
      </c>
      <c r="J15" t="s">
        <v>154</v>
      </c>
      <c r="L15" s="79" t="s">
        <v>155</v>
      </c>
      <c r="N15" t="s">
        <v>156</v>
      </c>
    </row>
    <row r="16" spans="1:14" ht="14.25" x14ac:dyDescent="0.3">
      <c r="A16"/>
      <c r="B16"/>
      <c r="C16" s="1"/>
      <c r="D16" s="77" t="s">
        <v>157</v>
      </c>
      <c r="E16" s="460" t="s">
        <v>158</v>
      </c>
      <c r="F16" s="461"/>
      <c r="H16" s="59" t="str">
        <f ca="1">IF(ISERROR(SMALL('Control panel'!D$3:D$23,ROW())),"",INDIRECT("'Control panel'!B" &amp; SMALL('Control panel'!D$3:D$23,ROW()),2))</f>
        <v/>
      </c>
      <c r="J16" t="s">
        <v>159</v>
      </c>
      <c r="L16" s="79" t="s">
        <v>160</v>
      </c>
      <c r="N16" t="s">
        <v>161</v>
      </c>
    </row>
    <row r="17" spans="1:14" ht="15" thickBot="1" x14ac:dyDescent="0.35">
      <c r="A17" s="7"/>
      <c r="B17" s="1"/>
      <c r="C17" s="1"/>
      <c r="D17" s="78" t="s">
        <v>162</v>
      </c>
      <c r="E17" s="454" t="s">
        <v>163</v>
      </c>
      <c r="F17" s="455"/>
      <c r="H17" s="59" t="str">
        <f ca="1">IF(ISERROR(SMALL('Control panel'!D$3:D$23,ROW())),"",INDIRECT("'Control panel'!B" &amp; SMALL('Control panel'!D$3:D$23,ROW()),2))</f>
        <v/>
      </c>
      <c r="J17" t="s">
        <v>164</v>
      </c>
      <c r="L17" s="79" t="s">
        <v>165</v>
      </c>
      <c r="N17" t="s">
        <v>166</v>
      </c>
    </row>
    <row r="18" spans="1:14" ht="26.25" thickBot="1" x14ac:dyDescent="0.35">
      <c r="A18" s="42" t="s">
        <v>38</v>
      </c>
      <c r="B18" s="2" t="s">
        <v>167</v>
      </c>
      <c r="C18" s="2" t="s">
        <v>40</v>
      </c>
      <c r="D18" s="43" t="s">
        <v>41</v>
      </c>
      <c r="E18" s="65" t="s">
        <v>168</v>
      </c>
      <c r="F18" s="8"/>
      <c r="J18" t="s">
        <v>169</v>
      </c>
      <c r="L18" s="79" t="s">
        <v>170</v>
      </c>
      <c r="N18" t="s">
        <v>171</v>
      </c>
    </row>
    <row r="19" spans="1:14" ht="14.25" x14ac:dyDescent="0.3">
      <c r="J19" t="s">
        <v>172</v>
      </c>
      <c r="L19" s="79" t="s">
        <v>173</v>
      </c>
      <c r="N19" t="s">
        <v>174</v>
      </c>
    </row>
    <row r="20" spans="1:14" ht="14.25" x14ac:dyDescent="0.3">
      <c r="C20" s="333"/>
      <c r="J20" t="s">
        <v>175</v>
      </c>
      <c r="L20" s="79" t="s">
        <v>176</v>
      </c>
      <c r="N20" t="s">
        <v>177</v>
      </c>
    </row>
    <row r="21" spans="1:14" ht="14.25" x14ac:dyDescent="0.3">
      <c r="C21" s="333"/>
      <c r="J21" t="s">
        <v>178</v>
      </c>
      <c r="L21" s="79" t="s">
        <v>179</v>
      </c>
      <c r="N21" t="s">
        <v>180</v>
      </c>
    </row>
    <row r="22" spans="1:14" ht="14.25" x14ac:dyDescent="0.3">
      <c r="J22" t="s">
        <v>181</v>
      </c>
      <c r="L22" s="79" t="s">
        <v>182</v>
      </c>
      <c r="N22" t="s">
        <v>183</v>
      </c>
    </row>
    <row r="23" spans="1:14" ht="14.25" x14ac:dyDescent="0.3">
      <c r="D23" s="333"/>
      <c r="J23" t="s">
        <v>184</v>
      </c>
      <c r="L23" s="79" t="s">
        <v>185</v>
      </c>
      <c r="N23" t="s">
        <v>186</v>
      </c>
    </row>
    <row r="24" spans="1:14" ht="14.25" x14ac:dyDescent="0.3">
      <c r="J24" t="s">
        <v>187</v>
      </c>
      <c r="L24" s="79" t="s">
        <v>188</v>
      </c>
      <c r="N24" t="s">
        <v>189</v>
      </c>
    </row>
    <row r="25" spans="1:14" ht="14.25" x14ac:dyDescent="0.3">
      <c r="J25" t="s">
        <v>190</v>
      </c>
      <c r="L25" s="79" t="s">
        <v>191</v>
      </c>
      <c r="N25" t="s">
        <v>192</v>
      </c>
    </row>
    <row r="26" spans="1:14" ht="14.25" x14ac:dyDescent="0.3">
      <c r="J26" t="s">
        <v>193</v>
      </c>
      <c r="L26" s="79" t="s">
        <v>194</v>
      </c>
      <c r="N26" t="s">
        <v>195</v>
      </c>
    </row>
    <row r="27" spans="1:14" ht="14.25" x14ac:dyDescent="0.3">
      <c r="D27" s="333" t="s">
        <v>196</v>
      </c>
      <c r="J27" t="s">
        <v>197</v>
      </c>
      <c r="L27" s="79" t="s">
        <v>198</v>
      </c>
      <c r="N27" t="s">
        <v>199</v>
      </c>
    </row>
    <row r="28" spans="1:14" ht="14.25" x14ac:dyDescent="0.3">
      <c r="J28" t="s">
        <v>200</v>
      </c>
      <c r="L28" s="79" t="s">
        <v>201</v>
      </c>
      <c r="N28" t="s">
        <v>202</v>
      </c>
    </row>
    <row r="29" spans="1:14" ht="14.25" x14ac:dyDescent="0.3">
      <c r="J29" t="s">
        <v>203</v>
      </c>
      <c r="L29" s="79" t="s">
        <v>204</v>
      </c>
      <c r="N29" t="s">
        <v>205</v>
      </c>
    </row>
    <row r="30" spans="1:14" ht="14.25" x14ac:dyDescent="0.3">
      <c r="J30" t="s">
        <v>206</v>
      </c>
      <c r="L30" s="79" t="s">
        <v>207</v>
      </c>
      <c r="N30" t="s">
        <v>208</v>
      </c>
    </row>
    <row r="31" spans="1:14" ht="14.25" x14ac:dyDescent="0.3">
      <c r="J31" t="s">
        <v>209</v>
      </c>
      <c r="L31" s="79" t="s">
        <v>210</v>
      </c>
      <c r="N31" t="s">
        <v>211</v>
      </c>
    </row>
    <row r="32" spans="1:14" ht="14.25" x14ac:dyDescent="0.3">
      <c r="J32" t="s">
        <v>212</v>
      </c>
      <c r="L32" s="79" t="s">
        <v>213</v>
      </c>
      <c r="N32" t="s">
        <v>214</v>
      </c>
    </row>
    <row r="33" spans="10:14" ht="14.25" x14ac:dyDescent="0.3">
      <c r="J33" t="s">
        <v>215</v>
      </c>
      <c r="L33" s="79" t="s">
        <v>216</v>
      </c>
      <c r="N33" t="s">
        <v>217</v>
      </c>
    </row>
    <row r="34" spans="10:14" ht="14.25" x14ac:dyDescent="0.3">
      <c r="J34" t="s">
        <v>218</v>
      </c>
      <c r="L34" s="79" t="s">
        <v>219</v>
      </c>
      <c r="N34" t="s">
        <v>220</v>
      </c>
    </row>
    <row r="35" spans="10:14" ht="14.25" x14ac:dyDescent="0.3">
      <c r="J35" t="s">
        <v>221</v>
      </c>
      <c r="L35" s="79" t="s">
        <v>222</v>
      </c>
      <c r="N35" t="s">
        <v>223</v>
      </c>
    </row>
    <row r="36" spans="10:14" ht="14.25" x14ac:dyDescent="0.3">
      <c r="J36" t="s">
        <v>224</v>
      </c>
      <c r="L36" s="79" t="s">
        <v>225</v>
      </c>
    </row>
    <row r="37" spans="10:14" ht="14.25" x14ac:dyDescent="0.3">
      <c r="J37" t="s">
        <v>226</v>
      </c>
      <c r="L37" s="79" t="s">
        <v>227</v>
      </c>
    </row>
    <row r="38" spans="10:14" ht="14.25" x14ac:dyDescent="0.3">
      <c r="J38" t="s">
        <v>228</v>
      </c>
      <c r="L38" s="79" t="s">
        <v>229</v>
      </c>
    </row>
    <row r="39" spans="10:14" ht="14.25" x14ac:dyDescent="0.3">
      <c r="J39" t="s">
        <v>230</v>
      </c>
      <c r="L39" s="79" t="s">
        <v>231</v>
      </c>
    </row>
    <row r="40" spans="10:14" ht="14.25" x14ac:dyDescent="0.3">
      <c r="J40" t="s">
        <v>232</v>
      </c>
      <c r="L40" s="79" t="s">
        <v>233</v>
      </c>
    </row>
    <row r="41" spans="10:14" ht="14.25" x14ac:dyDescent="0.3">
      <c r="J41" t="s">
        <v>234</v>
      </c>
      <c r="L41" s="79" t="s">
        <v>235</v>
      </c>
    </row>
    <row r="42" spans="10:14" ht="14.25" x14ac:dyDescent="0.3">
      <c r="J42" t="s">
        <v>236</v>
      </c>
      <c r="L42" s="79" t="s">
        <v>237</v>
      </c>
    </row>
    <row r="43" spans="10:14" ht="14.25" x14ac:dyDescent="0.3">
      <c r="J43" t="s">
        <v>238</v>
      </c>
      <c r="L43" s="79" t="s">
        <v>239</v>
      </c>
    </row>
    <row r="44" spans="10:14" ht="14.25" x14ac:dyDescent="0.3">
      <c r="J44" t="s">
        <v>240</v>
      </c>
      <c r="L44" s="79" t="s">
        <v>241</v>
      </c>
    </row>
    <row r="45" spans="10:14" ht="14.25" x14ac:dyDescent="0.3">
      <c r="J45" t="s">
        <v>242</v>
      </c>
      <c r="L45" s="79" t="s">
        <v>243</v>
      </c>
    </row>
    <row r="46" spans="10:14" ht="14.25" x14ac:dyDescent="0.3">
      <c r="J46" t="s">
        <v>244</v>
      </c>
      <c r="L46" s="79" t="s">
        <v>245</v>
      </c>
    </row>
    <row r="47" spans="10:14" ht="14.25" x14ac:dyDescent="0.3">
      <c r="J47" t="s">
        <v>246</v>
      </c>
      <c r="L47" s="79" t="s">
        <v>247</v>
      </c>
    </row>
    <row r="48" spans="10:14" ht="14.25" x14ac:dyDescent="0.3">
      <c r="J48" t="s">
        <v>248</v>
      </c>
      <c r="L48" s="79" t="s">
        <v>249</v>
      </c>
    </row>
    <row r="49" spans="10:12" ht="14.25" x14ac:dyDescent="0.3">
      <c r="J49" t="s">
        <v>250</v>
      </c>
      <c r="L49" s="79" t="s">
        <v>251</v>
      </c>
    </row>
    <row r="50" spans="10:12" ht="14.25" x14ac:dyDescent="0.3">
      <c r="J50" t="s">
        <v>252</v>
      </c>
      <c r="L50" s="79" t="s">
        <v>253</v>
      </c>
    </row>
    <row r="51" spans="10:12" ht="14.25" x14ac:dyDescent="0.3">
      <c r="J51" t="s">
        <v>254</v>
      </c>
      <c r="L51" s="79" t="s">
        <v>255</v>
      </c>
    </row>
    <row r="52" spans="10:12" ht="14.25" x14ac:dyDescent="0.3">
      <c r="J52" t="s">
        <v>256</v>
      </c>
      <c r="L52" s="79" t="s">
        <v>257</v>
      </c>
    </row>
    <row r="53" spans="10:12" ht="14.25" x14ac:dyDescent="0.3">
      <c r="J53" t="s">
        <v>258</v>
      </c>
      <c r="L53" s="79" t="s">
        <v>259</v>
      </c>
    </row>
    <row r="54" spans="10:12" ht="14.25" x14ac:dyDescent="0.3">
      <c r="J54" t="s">
        <v>260</v>
      </c>
      <c r="L54" s="79" t="s">
        <v>261</v>
      </c>
    </row>
    <row r="55" spans="10:12" ht="14.25" x14ac:dyDescent="0.3">
      <c r="J55" t="s">
        <v>262</v>
      </c>
      <c r="L55" s="79" t="s">
        <v>263</v>
      </c>
    </row>
    <row r="56" spans="10:12" ht="14.25" x14ac:dyDescent="0.3">
      <c r="J56" t="s">
        <v>264</v>
      </c>
      <c r="L56" s="79" t="s">
        <v>265</v>
      </c>
    </row>
    <row r="57" spans="10:12" ht="14.25" x14ac:dyDescent="0.3">
      <c r="J57" t="s">
        <v>266</v>
      </c>
      <c r="L57" s="79" t="s">
        <v>267</v>
      </c>
    </row>
    <row r="58" spans="10:12" ht="14.25" x14ac:dyDescent="0.3">
      <c r="J58" t="s">
        <v>268</v>
      </c>
      <c r="L58" s="79" t="s">
        <v>269</v>
      </c>
    </row>
    <row r="59" spans="10:12" ht="14.25" x14ac:dyDescent="0.3">
      <c r="J59" t="s">
        <v>270</v>
      </c>
      <c r="L59" s="79" t="s">
        <v>271</v>
      </c>
    </row>
    <row r="60" spans="10:12" ht="14.25" x14ac:dyDescent="0.3">
      <c r="J60" t="s">
        <v>272</v>
      </c>
      <c r="L60" s="79" t="s">
        <v>273</v>
      </c>
    </row>
    <row r="61" spans="10:12" ht="14.25" x14ac:dyDescent="0.3">
      <c r="J61" t="s">
        <v>274</v>
      </c>
      <c r="L61" s="79" t="s">
        <v>275</v>
      </c>
    </row>
    <row r="62" spans="10:12" ht="14.25" x14ac:dyDescent="0.3">
      <c r="J62" t="s">
        <v>276</v>
      </c>
      <c r="L62" s="79" t="s">
        <v>277</v>
      </c>
    </row>
    <row r="63" spans="10:12" ht="14.25" x14ac:dyDescent="0.3">
      <c r="J63" t="s">
        <v>278</v>
      </c>
      <c r="L63" s="79" t="s">
        <v>279</v>
      </c>
    </row>
    <row r="64" spans="10:12" ht="14.25" x14ac:dyDescent="0.3">
      <c r="J64" t="s">
        <v>280</v>
      </c>
      <c r="L64" s="79" t="s">
        <v>281</v>
      </c>
    </row>
    <row r="65" spans="10:12" ht="14.25" x14ac:dyDescent="0.3">
      <c r="J65" t="s">
        <v>282</v>
      </c>
      <c r="L65" s="79" t="s">
        <v>283</v>
      </c>
    </row>
    <row r="66" spans="10:12" ht="14.25" x14ac:dyDescent="0.3">
      <c r="J66" t="s">
        <v>284</v>
      </c>
      <c r="L66" s="79" t="s">
        <v>285</v>
      </c>
    </row>
    <row r="67" spans="10:12" ht="14.25" x14ac:dyDescent="0.3">
      <c r="J67" t="s">
        <v>286</v>
      </c>
      <c r="L67" s="79" t="s">
        <v>287</v>
      </c>
    </row>
    <row r="68" spans="10:12" ht="14.25" x14ac:dyDescent="0.3">
      <c r="J68" t="s">
        <v>288</v>
      </c>
      <c r="L68" s="79" t="s">
        <v>289</v>
      </c>
    </row>
    <row r="69" spans="10:12" ht="14.25" x14ac:dyDescent="0.3">
      <c r="J69" t="s">
        <v>290</v>
      </c>
      <c r="L69" s="79" t="s">
        <v>291</v>
      </c>
    </row>
    <row r="70" spans="10:12" ht="14.25" x14ac:dyDescent="0.3">
      <c r="J70" t="s">
        <v>292</v>
      </c>
      <c r="L70" s="79" t="s">
        <v>293</v>
      </c>
    </row>
    <row r="71" spans="10:12" ht="14.25" x14ac:dyDescent="0.3">
      <c r="J71" t="s">
        <v>294</v>
      </c>
      <c r="L71" s="79" t="s">
        <v>295</v>
      </c>
    </row>
    <row r="72" spans="10:12" ht="14.25" x14ac:dyDescent="0.3">
      <c r="J72" t="s">
        <v>296</v>
      </c>
      <c r="L72" s="79" t="s">
        <v>297</v>
      </c>
    </row>
    <row r="73" spans="10:12" ht="14.25" x14ac:dyDescent="0.3">
      <c r="J73" t="s">
        <v>298</v>
      </c>
      <c r="L73" s="79" t="s">
        <v>299</v>
      </c>
    </row>
    <row r="74" spans="10:12" ht="14.25" x14ac:dyDescent="0.3">
      <c r="J74" t="s">
        <v>300</v>
      </c>
      <c r="L74" s="79" t="s">
        <v>301</v>
      </c>
    </row>
    <row r="75" spans="10:12" ht="14.25" x14ac:dyDescent="0.3">
      <c r="J75" t="s">
        <v>302</v>
      </c>
      <c r="L75" s="79" t="s">
        <v>303</v>
      </c>
    </row>
    <row r="76" spans="10:12" ht="14.25" x14ac:dyDescent="0.3">
      <c r="J76" t="s">
        <v>304</v>
      </c>
      <c r="L76" s="79" t="s">
        <v>305</v>
      </c>
    </row>
    <row r="77" spans="10:12" ht="14.25" x14ac:dyDescent="0.3">
      <c r="J77" t="s">
        <v>306</v>
      </c>
      <c r="L77" s="79" t="s">
        <v>307</v>
      </c>
    </row>
    <row r="78" spans="10:12" ht="14.25" x14ac:dyDescent="0.3">
      <c r="J78" t="s">
        <v>308</v>
      </c>
      <c r="L78" s="79" t="s">
        <v>309</v>
      </c>
    </row>
    <row r="79" spans="10:12" ht="14.25" x14ac:dyDescent="0.3">
      <c r="J79" t="s">
        <v>310</v>
      </c>
      <c r="L79" s="79" t="s">
        <v>311</v>
      </c>
    </row>
    <row r="80" spans="10:12" ht="14.25" x14ac:dyDescent="0.3">
      <c r="J80" t="s">
        <v>312</v>
      </c>
      <c r="L80" s="79" t="s">
        <v>313</v>
      </c>
    </row>
    <row r="81" spans="10:12" ht="14.25" x14ac:dyDescent="0.3">
      <c r="J81" t="s">
        <v>314</v>
      </c>
      <c r="L81" s="79" t="s">
        <v>315</v>
      </c>
    </row>
    <row r="82" spans="10:12" ht="14.25" x14ac:dyDescent="0.3">
      <c r="J82" t="s">
        <v>316</v>
      </c>
      <c r="L82" s="79" t="s">
        <v>317</v>
      </c>
    </row>
    <row r="83" spans="10:12" ht="14.25" x14ac:dyDescent="0.3">
      <c r="J83" t="s">
        <v>318</v>
      </c>
      <c r="L83" s="79" t="s">
        <v>319</v>
      </c>
    </row>
    <row r="84" spans="10:12" ht="14.25" x14ac:dyDescent="0.3">
      <c r="J84" t="s">
        <v>320</v>
      </c>
      <c r="L84" s="79" t="s">
        <v>321</v>
      </c>
    </row>
    <row r="85" spans="10:12" ht="14.25" x14ac:dyDescent="0.3">
      <c r="J85" t="s">
        <v>322</v>
      </c>
      <c r="L85" s="79" t="s">
        <v>323</v>
      </c>
    </row>
    <row r="86" spans="10:12" ht="14.25" x14ac:dyDescent="0.3">
      <c r="J86" t="s">
        <v>324</v>
      </c>
      <c r="L86" s="79" t="s">
        <v>325</v>
      </c>
    </row>
    <row r="87" spans="10:12" ht="14.25" x14ac:dyDescent="0.3">
      <c r="J87" t="s">
        <v>326</v>
      </c>
      <c r="L87" s="79" t="s">
        <v>327</v>
      </c>
    </row>
    <row r="88" spans="10:12" ht="14.25" x14ac:dyDescent="0.3">
      <c r="J88" t="s">
        <v>328</v>
      </c>
      <c r="L88" s="79" t="s">
        <v>329</v>
      </c>
    </row>
    <row r="89" spans="10:12" ht="14.25" x14ac:dyDescent="0.3">
      <c r="J89" t="s">
        <v>330</v>
      </c>
      <c r="L89" s="79" t="s">
        <v>331</v>
      </c>
    </row>
    <row r="90" spans="10:12" ht="14.25" x14ac:dyDescent="0.3">
      <c r="J90" t="s">
        <v>332</v>
      </c>
      <c r="L90" s="79" t="s">
        <v>333</v>
      </c>
    </row>
    <row r="91" spans="10:12" ht="14.25" x14ac:dyDescent="0.3">
      <c r="J91" t="s">
        <v>334</v>
      </c>
      <c r="L91" s="79" t="s">
        <v>335</v>
      </c>
    </row>
    <row r="92" spans="10:12" ht="14.25" x14ac:dyDescent="0.3">
      <c r="J92" t="s">
        <v>336</v>
      </c>
      <c r="L92" s="79" t="s">
        <v>337</v>
      </c>
    </row>
    <row r="93" spans="10:12" ht="14.25" x14ac:dyDescent="0.3">
      <c r="J93" t="s">
        <v>338</v>
      </c>
      <c r="L93" s="79" t="s">
        <v>339</v>
      </c>
    </row>
    <row r="94" spans="10:12" ht="14.25" x14ac:dyDescent="0.3">
      <c r="J94" t="s">
        <v>340</v>
      </c>
      <c r="L94" s="79" t="s">
        <v>341</v>
      </c>
    </row>
    <row r="95" spans="10:12" ht="14.25" x14ac:dyDescent="0.3">
      <c r="J95" t="s">
        <v>342</v>
      </c>
      <c r="L95" s="79" t="s">
        <v>343</v>
      </c>
    </row>
    <row r="96" spans="10:12" ht="14.25" x14ac:dyDescent="0.3">
      <c r="J96" t="s">
        <v>344</v>
      </c>
      <c r="L96" s="79" t="s">
        <v>345</v>
      </c>
    </row>
    <row r="97" spans="10:12" ht="14.25" x14ac:dyDescent="0.3">
      <c r="J97" t="s">
        <v>346</v>
      </c>
      <c r="L97" s="79" t="s">
        <v>347</v>
      </c>
    </row>
    <row r="98" spans="10:12" ht="14.25" x14ac:dyDescent="0.3">
      <c r="J98" t="s">
        <v>348</v>
      </c>
      <c r="L98" s="79" t="s">
        <v>349</v>
      </c>
    </row>
    <row r="99" spans="10:12" ht="14.25" x14ac:dyDescent="0.3">
      <c r="J99" t="s">
        <v>350</v>
      </c>
      <c r="L99" s="79" t="s">
        <v>351</v>
      </c>
    </row>
    <row r="100" spans="10:12" ht="14.25" x14ac:dyDescent="0.3">
      <c r="J100" t="s">
        <v>352</v>
      </c>
      <c r="L100" s="79" t="s">
        <v>353</v>
      </c>
    </row>
    <row r="101" spans="10:12" ht="14.25" x14ac:dyDescent="0.3">
      <c r="J101" t="s">
        <v>354</v>
      </c>
      <c r="L101" s="79" t="s">
        <v>355</v>
      </c>
    </row>
    <row r="102" spans="10:12" ht="14.25" x14ac:dyDescent="0.3">
      <c r="J102" t="s">
        <v>356</v>
      </c>
      <c r="L102" s="79" t="s">
        <v>357</v>
      </c>
    </row>
    <row r="103" spans="10:12" ht="14.25" x14ac:dyDescent="0.3">
      <c r="J103" t="s">
        <v>358</v>
      </c>
      <c r="L103" s="79" t="s">
        <v>359</v>
      </c>
    </row>
    <row r="104" spans="10:12" ht="14.25" x14ac:dyDescent="0.3">
      <c r="J104" t="s">
        <v>360</v>
      </c>
      <c r="L104" s="79" t="s">
        <v>361</v>
      </c>
    </row>
    <row r="105" spans="10:12" ht="14.25" x14ac:dyDescent="0.3">
      <c r="J105" t="s">
        <v>362</v>
      </c>
      <c r="L105" s="79" t="s">
        <v>363</v>
      </c>
    </row>
    <row r="106" spans="10:12" ht="14.25" x14ac:dyDescent="0.3">
      <c r="J106" t="s">
        <v>364</v>
      </c>
      <c r="L106" s="79" t="s">
        <v>365</v>
      </c>
    </row>
    <row r="107" spans="10:12" ht="14.25" x14ac:dyDescent="0.3">
      <c r="J107" t="s">
        <v>366</v>
      </c>
      <c r="L107" s="79" t="s">
        <v>367</v>
      </c>
    </row>
    <row r="108" spans="10:12" ht="14.25" x14ac:dyDescent="0.3">
      <c r="J108" t="s">
        <v>368</v>
      </c>
      <c r="L108" s="79" t="s">
        <v>369</v>
      </c>
    </row>
    <row r="109" spans="10:12" ht="14.25" x14ac:dyDescent="0.3">
      <c r="J109" t="s">
        <v>370</v>
      </c>
      <c r="L109" s="79" t="s">
        <v>371</v>
      </c>
    </row>
    <row r="110" spans="10:12" ht="14.25" x14ac:dyDescent="0.3">
      <c r="J110" t="s">
        <v>372</v>
      </c>
      <c r="L110" s="79" t="s">
        <v>373</v>
      </c>
    </row>
    <row r="111" spans="10:12" ht="14.25" x14ac:dyDescent="0.3">
      <c r="J111" t="s">
        <v>374</v>
      </c>
      <c r="L111" s="79" t="s">
        <v>375</v>
      </c>
    </row>
    <row r="112" spans="10:12" ht="14.25" x14ac:dyDescent="0.3">
      <c r="J112" t="s">
        <v>376</v>
      </c>
      <c r="L112" s="79" t="s">
        <v>361</v>
      </c>
    </row>
    <row r="113" spans="10:12" ht="14.25" x14ac:dyDescent="0.3">
      <c r="J113" t="s">
        <v>377</v>
      </c>
      <c r="L113" s="79" t="s">
        <v>363</v>
      </c>
    </row>
    <row r="114" spans="10:12" ht="14.25" x14ac:dyDescent="0.3">
      <c r="J114" t="s">
        <v>378</v>
      </c>
      <c r="L114" s="79" t="s">
        <v>365</v>
      </c>
    </row>
    <row r="115" spans="10:12" ht="14.25" x14ac:dyDescent="0.3">
      <c r="J115" t="s">
        <v>379</v>
      </c>
      <c r="L115" s="79" t="s">
        <v>380</v>
      </c>
    </row>
    <row r="116" spans="10:12" ht="14.25" x14ac:dyDescent="0.3">
      <c r="J116" t="s">
        <v>381</v>
      </c>
      <c r="L116" s="79" t="s">
        <v>357</v>
      </c>
    </row>
    <row r="117" spans="10:12" ht="14.25" x14ac:dyDescent="0.3">
      <c r="J117" t="s">
        <v>382</v>
      </c>
      <c r="L117" s="79" t="s">
        <v>375</v>
      </c>
    </row>
    <row r="118" spans="10:12" ht="14.25" x14ac:dyDescent="0.3">
      <c r="J118" t="s">
        <v>383</v>
      </c>
      <c r="L118" s="79" t="s">
        <v>361</v>
      </c>
    </row>
    <row r="119" spans="10:12" ht="14.25" x14ac:dyDescent="0.3">
      <c r="J119" t="s">
        <v>384</v>
      </c>
      <c r="L119" s="79" t="s">
        <v>363</v>
      </c>
    </row>
    <row r="120" spans="10:12" ht="14.25" x14ac:dyDescent="0.3">
      <c r="J120" t="s">
        <v>385</v>
      </c>
      <c r="L120" s="79" t="s">
        <v>365</v>
      </c>
    </row>
    <row r="121" spans="10:12" ht="14.25" x14ac:dyDescent="0.3">
      <c r="J121" t="s">
        <v>386</v>
      </c>
      <c r="L121" s="79" t="s">
        <v>387</v>
      </c>
    </row>
    <row r="122" spans="10:12" ht="14.25" x14ac:dyDescent="0.3">
      <c r="J122" t="s">
        <v>388</v>
      </c>
      <c r="L122" s="79" t="s">
        <v>389</v>
      </c>
    </row>
    <row r="123" spans="10:12" ht="14.25" x14ac:dyDescent="0.3">
      <c r="J123" t="s">
        <v>390</v>
      </c>
      <c r="L123" s="79" t="s">
        <v>391</v>
      </c>
    </row>
    <row r="124" spans="10:12" ht="14.25" x14ac:dyDescent="0.3">
      <c r="J124" t="s">
        <v>392</v>
      </c>
      <c r="L124" s="79" t="s">
        <v>393</v>
      </c>
    </row>
    <row r="125" spans="10:12" ht="14.25" x14ac:dyDescent="0.3">
      <c r="J125" t="s">
        <v>394</v>
      </c>
      <c r="L125" s="79" t="s">
        <v>395</v>
      </c>
    </row>
    <row r="126" spans="10:12" ht="14.25" x14ac:dyDescent="0.3">
      <c r="J126" t="s">
        <v>396</v>
      </c>
      <c r="L126" s="79" t="s">
        <v>397</v>
      </c>
    </row>
    <row r="127" spans="10:12" ht="14.25" x14ac:dyDescent="0.3">
      <c r="J127" t="s">
        <v>398</v>
      </c>
      <c r="L127" s="79" t="s">
        <v>399</v>
      </c>
    </row>
    <row r="128" spans="10:12" ht="14.25" x14ac:dyDescent="0.3">
      <c r="J128" t="s">
        <v>400</v>
      </c>
      <c r="L128" s="79" t="s">
        <v>401</v>
      </c>
    </row>
    <row r="129" spans="10:12" ht="14.25" x14ac:dyDescent="0.3">
      <c r="J129" t="s">
        <v>402</v>
      </c>
      <c r="L129" s="79" t="s">
        <v>403</v>
      </c>
    </row>
    <row r="130" spans="10:12" ht="14.25" x14ac:dyDescent="0.3">
      <c r="J130" t="s">
        <v>404</v>
      </c>
      <c r="L130" s="79" t="s">
        <v>405</v>
      </c>
    </row>
    <row r="131" spans="10:12" ht="14.25" x14ac:dyDescent="0.3">
      <c r="J131" t="s">
        <v>406</v>
      </c>
      <c r="L131" s="79" t="s">
        <v>407</v>
      </c>
    </row>
    <row r="132" spans="10:12" ht="14.25" x14ac:dyDescent="0.3">
      <c r="J132" t="s">
        <v>408</v>
      </c>
      <c r="L132" s="79" t="s">
        <v>409</v>
      </c>
    </row>
    <row r="133" spans="10:12" ht="14.25" x14ac:dyDescent="0.3">
      <c r="J133" t="s">
        <v>410</v>
      </c>
      <c r="L133" s="79" t="s">
        <v>411</v>
      </c>
    </row>
    <row r="134" spans="10:12" ht="14.25" x14ac:dyDescent="0.3">
      <c r="J134" t="s">
        <v>412</v>
      </c>
      <c r="L134" s="79" t="s">
        <v>413</v>
      </c>
    </row>
    <row r="135" spans="10:12" ht="14.25" x14ac:dyDescent="0.3">
      <c r="J135" t="s">
        <v>414</v>
      </c>
      <c r="L135" s="79" t="s">
        <v>415</v>
      </c>
    </row>
    <row r="136" spans="10:12" ht="14.25" x14ac:dyDescent="0.3">
      <c r="J136" t="s">
        <v>416</v>
      </c>
      <c r="L136" s="79" t="s">
        <v>417</v>
      </c>
    </row>
    <row r="137" spans="10:12" ht="14.25" x14ac:dyDescent="0.3">
      <c r="J137" t="s">
        <v>418</v>
      </c>
      <c r="L137" s="79" t="s">
        <v>419</v>
      </c>
    </row>
    <row r="138" spans="10:12" ht="14.25" x14ac:dyDescent="0.3">
      <c r="J138" t="s">
        <v>420</v>
      </c>
      <c r="L138" s="79" t="s">
        <v>421</v>
      </c>
    </row>
    <row r="139" spans="10:12" ht="14.25" x14ac:dyDescent="0.3">
      <c r="J139" t="s">
        <v>422</v>
      </c>
      <c r="L139" s="79" t="s">
        <v>423</v>
      </c>
    </row>
    <row r="140" spans="10:12" ht="14.25" x14ac:dyDescent="0.3">
      <c r="J140" t="s">
        <v>424</v>
      </c>
      <c r="L140" s="79" t="s">
        <v>425</v>
      </c>
    </row>
    <row r="141" spans="10:12" ht="14.25" x14ac:dyDescent="0.3">
      <c r="J141" t="s">
        <v>426</v>
      </c>
      <c r="L141" s="79" t="s">
        <v>427</v>
      </c>
    </row>
    <row r="142" spans="10:12" ht="14.25" x14ac:dyDescent="0.3">
      <c r="J142" t="s">
        <v>428</v>
      </c>
      <c r="L142" s="79" t="s">
        <v>429</v>
      </c>
    </row>
    <row r="143" spans="10:12" ht="14.25" x14ac:dyDescent="0.3">
      <c r="J143" t="s">
        <v>430</v>
      </c>
      <c r="L143" s="79" t="s">
        <v>431</v>
      </c>
    </row>
    <row r="144" spans="10:12" ht="14.25" x14ac:dyDescent="0.3">
      <c r="J144" t="s">
        <v>432</v>
      </c>
      <c r="L144" s="79" t="s">
        <v>433</v>
      </c>
    </row>
    <row r="145" spans="10:12" ht="14.25" x14ac:dyDescent="0.3">
      <c r="J145" t="s">
        <v>434</v>
      </c>
      <c r="L145" s="79" t="s">
        <v>435</v>
      </c>
    </row>
    <row r="146" spans="10:12" ht="14.25" x14ac:dyDescent="0.3">
      <c r="J146" t="s">
        <v>436</v>
      </c>
      <c r="L146" s="79" t="s">
        <v>437</v>
      </c>
    </row>
    <row r="147" spans="10:12" ht="14.25" x14ac:dyDescent="0.3">
      <c r="J147" t="s">
        <v>438</v>
      </c>
      <c r="L147" s="79" t="s">
        <v>439</v>
      </c>
    </row>
    <row r="148" spans="10:12" ht="14.25" x14ac:dyDescent="0.3">
      <c r="J148" t="s">
        <v>440</v>
      </c>
      <c r="L148" s="79" t="s">
        <v>441</v>
      </c>
    </row>
    <row r="149" spans="10:12" ht="14.25" x14ac:dyDescent="0.3">
      <c r="J149" t="s">
        <v>442</v>
      </c>
      <c r="L149" s="79" t="s">
        <v>443</v>
      </c>
    </row>
    <row r="150" spans="10:12" ht="14.25" x14ac:dyDescent="0.3">
      <c r="J150" t="s">
        <v>444</v>
      </c>
      <c r="L150" s="79" t="s">
        <v>445</v>
      </c>
    </row>
    <row r="151" spans="10:12" ht="14.25" x14ac:dyDescent="0.3">
      <c r="J151" t="s">
        <v>446</v>
      </c>
      <c r="L151" s="79" t="s">
        <v>447</v>
      </c>
    </row>
    <row r="152" spans="10:12" ht="14.25" x14ac:dyDescent="0.3">
      <c r="J152" t="s">
        <v>448</v>
      </c>
      <c r="L152" s="79" t="s">
        <v>449</v>
      </c>
    </row>
    <row r="153" spans="10:12" ht="14.25" x14ac:dyDescent="0.3">
      <c r="J153" t="s">
        <v>450</v>
      </c>
      <c r="L153" s="79" t="s">
        <v>451</v>
      </c>
    </row>
    <row r="154" spans="10:12" ht="14.25" x14ac:dyDescent="0.3">
      <c r="J154" t="s">
        <v>452</v>
      </c>
      <c r="L154" s="79" t="s">
        <v>453</v>
      </c>
    </row>
    <row r="155" spans="10:12" ht="14.25" x14ac:dyDescent="0.3">
      <c r="J155" t="s">
        <v>454</v>
      </c>
      <c r="L155" s="79" t="s">
        <v>455</v>
      </c>
    </row>
    <row r="156" spans="10:12" ht="14.25" x14ac:dyDescent="0.3">
      <c r="J156" t="s">
        <v>456</v>
      </c>
      <c r="L156" s="79" t="s">
        <v>457</v>
      </c>
    </row>
    <row r="157" spans="10:12" ht="14.25" x14ac:dyDescent="0.3">
      <c r="J157" t="s">
        <v>458</v>
      </c>
      <c r="L157" s="79" t="s">
        <v>459</v>
      </c>
    </row>
    <row r="158" spans="10:12" ht="14.25" x14ac:dyDescent="0.3">
      <c r="J158" t="s">
        <v>460</v>
      </c>
      <c r="L158" s="79" t="s">
        <v>461</v>
      </c>
    </row>
    <row r="159" spans="10:12" ht="14.25" x14ac:dyDescent="0.3">
      <c r="J159" t="s">
        <v>462</v>
      </c>
      <c r="L159" s="79" t="s">
        <v>463</v>
      </c>
    </row>
    <row r="160" spans="10:12" ht="14.25" x14ac:dyDescent="0.3">
      <c r="J160" t="s">
        <v>464</v>
      </c>
      <c r="L160" s="79" t="s">
        <v>465</v>
      </c>
    </row>
    <row r="161" spans="10:12" ht="14.25" x14ac:dyDescent="0.3">
      <c r="J161" t="s">
        <v>466</v>
      </c>
      <c r="L161" s="79" t="s">
        <v>467</v>
      </c>
    </row>
    <row r="162" spans="10:12" ht="14.25" x14ac:dyDescent="0.3">
      <c r="J162" t="s">
        <v>468</v>
      </c>
      <c r="L162" s="79" t="s">
        <v>469</v>
      </c>
    </row>
    <row r="163" spans="10:12" ht="14.25" x14ac:dyDescent="0.3">
      <c r="J163" t="s">
        <v>470</v>
      </c>
      <c r="L163" s="79" t="s">
        <v>471</v>
      </c>
    </row>
    <row r="164" spans="10:12" ht="14.25" x14ac:dyDescent="0.3">
      <c r="J164" t="s">
        <v>472</v>
      </c>
      <c r="L164" s="79" t="s">
        <v>473</v>
      </c>
    </row>
    <row r="165" spans="10:12" ht="14.25" x14ac:dyDescent="0.3">
      <c r="J165" t="s">
        <v>474</v>
      </c>
      <c r="L165" s="79" t="s">
        <v>475</v>
      </c>
    </row>
    <row r="166" spans="10:12" ht="14.25" x14ac:dyDescent="0.3">
      <c r="J166" t="s">
        <v>476</v>
      </c>
      <c r="L166" s="79" t="s">
        <v>477</v>
      </c>
    </row>
    <row r="167" spans="10:12" ht="14.25" x14ac:dyDescent="0.3">
      <c r="J167" t="s">
        <v>478</v>
      </c>
      <c r="L167" s="79" t="s">
        <v>479</v>
      </c>
    </row>
    <row r="168" spans="10:12" ht="14.25" x14ac:dyDescent="0.3">
      <c r="J168" t="s">
        <v>480</v>
      </c>
      <c r="L168" s="79" t="s">
        <v>481</v>
      </c>
    </row>
    <row r="169" spans="10:12" ht="14.25" x14ac:dyDescent="0.3">
      <c r="J169" t="s">
        <v>482</v>
      </c>
      <c r="L169" s="79" t="s">
        <v>483</v>
      </c>
    </row>
    <row r="170" spans="10:12" ht="14.25" x14ac:dyDescent="0.3">
      <c r="J170" t="s">
        <v>484</v>
      </c>
      <c r="L170" s="79" t="s">
        <v>485</v>
      </c>
    </row>
    <row r="171" spans="10:12" ht="14.25" x14ac:dyDescent="0.3">
      <c r="J171" t="s">
        <v>486</v>
      </c>
      <c r="L171" s="79" t="s">
        <v>487</v>
      </c>
    </row>
    <row r="172" spans="10:12" ht="14.25" x14ac:dyDescent="0.3">
      <c r="J172" t="s">
        <v>488</v>
      </c>
      <c r="L172" s="79" t="s">
        <v>489</v>
      </c>
    </row>
    <row r="173" spans="10:12" ht="14.25" x14ac:dyDescent="0.3">
      <c r="J173" t="s">
        <v>490</v>
      </c>
      <c r="L173" s="79" t="s">
        <v>491</v>
      </c>
    </row>
    <row r="174" spans="10:12" ht="14.25" x14ac:dyDescent="0.3">
      <c r="J174" t="s">
        <v>492</v>
      </c>
      <c r="L174" s="79" t="s">
        <v>493</v>
      </c>
    </row>
    <row r="175" spans="10:12" ht="14.25" x14ac:dyDescent="0.3">
      <c r="J175" t="s">
        <v>494</v>
      </c>
      <c r="L175" s="80" t="s">
        <v>495</v>
      </c>
    </row>
    <row r="176" spans="10:12" ht="14.25" x14ac:dyDescent="0.3">
      <c r="J176" t="s">
        <v>496</v>
      </c>
      <c r="L176" s="79" t="s">
        <v>497</v>
      </c>
    </row>
    <row r="177" spans="10:12" ht="14.25" x14ac:dyDescent="0.3">
      <c r="J177" t="s">
        <v>498</v>
      </c>
      <c r="L177" s="79" t="s">
        <v>499</v>
      </c>
    </row>
    <row r="178" spans="10:12" ht="14.25" x14ac:dyDescent="0.3">
      <c r="J178" t="s">
        <v>500</v>
      </c>
      <c r="L178" s="79" t="s">
        <v>501</v>
      </c>
    </row>
    <row r="179" spans="10:12" ht="14.25" x14ac:dyDescent="0.3">
      <c r="J179" t="s">
        <v>502</v>
      </c>
      <c r="L179" s="79" t="s">
        <v>503</v>
      </c>
    </row>
    <row r="180" spans="10:12" ht="14.25" x14ac:dyDescent="0.3">
      <c r="J180" t="s">
        <v>504</v>
      </c>
      <c r="L180" s="79" t="s">
        <v>505</v>
      </c>
    </row>
    <row r="181" spans="10:12" x14ac:dyDescent="0.2">
      <c r="J181" t="s">
        <v>506</v>
      </c>
    </row>
    <row r="182" spans="10:12" x14ac:dyDescent="0.2">
      <c r="J182" t="s">
        <v>507</v>
      </c>
    </row>
    <row r="183" spans="10:12" x14ac:dyDescent="0.2">
      <c r="J183" t="s">
        <v>508</v>
      </c>
    </row>
    <row r="184" spans="10:12" x14ac:dyDescent="0.2">
      <c r="J184" t="s">
        <v>509</v>
      </c>
    </row>
    <row r="185" spans="10:12" x14ac:dyDescent="0.2">
      <c r="J185" t="s">
        <v>510</v>
      </c>
    </row>
    <row r="186" spans="10:12" x14ac:dyDescent="0.2">
      <c r="J186" t="s">
        <v>511</v>
      </c>
    </row>
    <row r="187" spans="10:12" x14ac:dyDescent="0.2">
      <c r="J187" t="s">
        <v>512</v>
      </c>
    </row>
    <row r="188" spans="10:12" x14ac:dyDescent="0.2">
      <c r="J188" t="s">
        <v>513</v>
      </c>
    </row>
    <row r="189" spans="10:12" x14ac:dyDescent="0.2">
      <c r="J189" t="s">
        <v>514</v>
      </c>
    </row>
    <row r="190" spans="10:12" x14ac:dyDescent="0.2">
      <c r="J190" t="s">
        <v>515</v>
      </c>
    </row>
    <row r="191" spans="10:12" x14ac:dyDescent="0.2">
      <c r="J191" t="s">
        <v>516</v>
      </c>
    </row>
    <row r="192" spans="10:12" x14ac:dyDescent="0.2">
      <c r="J192" t="s">
        <v>517</v>
      </c>
    </row>
    <row r="193" spans="10:10" x14ac:dyDescent="0.2">
      <c r="J193" t="s">
        <v>518</v>
      </c>
    </row>
    <row r="194" spans="10:10" x14ac:dyDescent="0.2">
      <c r="J194" t="s">
        <v>519</v>
      </c>
    </row>
    <row r="195" spans="10:10" x14ac:dyDescent="0.2">
      <c r="J195" t="s">
        <v>520</v>
      </c>
    </row>
    <row r="196" spans="10:10" x14ac:dyDescent="0.2">
      <c r="J196" t="s">
        <v>521</v>
      </c>
    </row>
    <row r="197" spans="10:10" x14ac:dyDescent="0.2">
      <c r="J197" t="s">
        <v>522</v>
      </c>
    </row>
    <row r="198" spans="10:10" x14ac:dyDescent="0.2">
      <c r="J198" t="s">
        <v>523</v>
      </c>
    </row>
    <row r="199" spans="10:10" x14ac:dyDescent="0.2">
      <c r="J199" t="s">
        <v>524</v>
      </c>
    </row>
    <row r="200" spans="10:10" x14ac:dyDescent="0.2">
      <c r="J200" t="s">
        <v>525</v>
      </c>
    </row>
    <row r="201" spans="10:10" x14ac:dyDescent="0.2">
      <c r="J201" t="s">
        <v>526</v>
      </c>
    </row>
    <row r="202" spans="10:10" x14ac:dyDescent="0.2">
      <c r="J202" t="s">
        <v>527</v>
      </c>
    </row>
    <row r="203" spans="10:10" x14ac:dyDescent="0.2">
      <c r="J203" t="s">
        <v>528</v>
      </c>
    </row>
    <row r="204" spans="10:10" x14ac:dyDescent="0.2">
      <c r="J204" t="s">
        <v>529</v>
      </c>
    </row>
    <row r="205" spans="10:10" x14ac:dyDescent="0.2">
      <c r="J205" t="s">
        <v>530</v>
      </c>
    </row>
    <row r="206" spans="10:10" x14ac:dyDescent="0.2">
      <c r="J206" t="s">
        <v>531</v>
      </c>
    </row>
    <row r="207" spans="10:10" x14ac:dyDescent="0.2">
      <c r="J207" t="s">
        <v>532</v>
      </c>
    </row>
    <row r="208" spans="10:10" x14ac:dyDescent="0.2">
      <c r="J208" t="s">
        <v>533</v>
      </c>
    </row>
    <row r="209" spans="10:10" x14ac:dyDescent="0.2">
      <c r="J209" t="s">
        <v>534</v>
      </c>
    </row>
    <row r="210" spans="10:10" x14ac:dyDescent="0.2">
      <c r="J210" t="s">
        <v>535</v>
      </c>
    </row>
    <row r="211" spans="10:10" x14ac:dyDescent="0.2">
      <c r="J211" t="s">
        <v>536</v>
      </c>
    </row>
    <row r="212" spans="10:10" x14ac:dyDescent="0.2">
      <c r="J212" t="s">
        <v>537</v>
      </c>
    </row>
    <row r="213" spans="10:10" x14ac:dyDescent="0.2">
      <c r="J213" t="s">
        <v>538</v>
      </c>
    </row>
    <row r="214" spans="10:10" x14ac:dyDescent="0.2">
      <c r="J214" t="s">
        <v>539</v>
      </c>
    </row>
    <row r="215" spans="10:10" x14ac:dyDescent="0.2">
      <c r="J215" t="s">
        <v>540</v>
      </c>
    </row>
    <row r="216" spans="10:10" x14ac:dyDescent="0.2">
      <c r="J216" t="s">
        <v>541</v>
      </c>
    </row>
    <row r="217" spans="10:10" x14ac:dyDescent="0.2">
      <c r="J217" t="s">
        <v>542</v>
      </c>
    </row>
    <row r="218" spans="10:10" x14ac:dyDescent="0.2">
      <c r="J218" t="s">
        <v>543</v>
      </c>
    </row>
    <row r="219" spans="10:10" x14ac:dyDescent="0.2">
      <c r="J219" t="s">
        <v>544</v>
      </c>
    </row>
    <row r="220" spans="10:10" x14ac:dyDescent="0.2">
      <c r="J220" t="s">
        <v>545</v>
      </c>
    </row>
    <row r="221" spans="10:10" x14ac:dyDescent="0.2">
      <c r="J221" t="s">
        <v>546</v>
      </c>
    </row>
    <row r="222" spans="10:10" x14ac:dyDescent="0.2">
      <c r="J222" t="s">
        <v>547</v>
      </c>
    </row>
    <row r="223" spans="10:10" x14ac:dyDescent="0.2">
      <c r="J223" t="s">
        <v>548</v>
      </c>
    </row>
    <row r="224" spans="10:10" x14ac:dyDescent="0.2">
      <c r="J224" t="s">
        <v>549</v>
      </c>
    </row>
    <row r="225" spans="10:10" x14ac:dyDescent="0.2">
      <c r="J225" t="s">
        <v>550</v>
      </c>
    </row>
    <row r="226" spans="10:10" x14ac:dyDescent="0.2">
      <c r="J226" t="s">
        <v>551</v>
      </c>
    </row>
    <row r="227" spans="10:10" x14ac:dyDescent="0.2">
      <c r="J227" t="s">
        <v>552</v>
      </c>
    </row>
    <row r="228" spans="10:10" x14ac:dyDescent="0.2">
      <c r="J228" t="s">
        <v>553</v>
      </c>
    </row>
    <row r="229" spans="10:10" x14ac:dyDescent="0.2">
      <c r="J229" t="s">
        <v>554</v>
      </c>
    </row>
    <row r="230" spans="10:10" x14ac:dyDescent="0.2">
      <c r="J230" t="s">
        <v>555</v>
      </c>
    </row>
    <row r="231" spans="10:10" x14ac:dyDescent="0.2">
      <c r="J231" t="s">
        <v>556</v>
      </c>
    </row>
    <row r="232" spans="10:10" x14ac:dyDescent="0.2">
      <c r="J232" t="s">
        <v>557</v>
      </c>
    </row>
    <row r="233" spans="10:10" x14ac:dyDescent="0.2">
      <c r="J233" t="s">
        <v>558</v>
      </c>
    </row>
    <row r="234" spans="10:10" x14ac:dyDescent="0.2">
      <c r="J234" t="s">
        <v>559</v>
      </c>
    </row>
    <row r="235" spans="10:10" x14ac:dyDescent="0.2">
      <c r="J235" t="s">
        <v>560</v>
      </c>
    </row>
    <row r="236" spans="10:10" x14ac:dyDescent="0.2">
      <c r="J236" t="s">
        <v>561</v>
      </c>
    </row>
    <row r="237" spans="10:10" x14ac:dyDescent="0.2">
      <c r="J237" t="s">
        <v>562</v>
      </c>
    </row>
    <row r="238" spans="10:10" x14ac:dyDescent="0.2">
      <c r="J238" t="s">
        <v>563</v>
      </c>
    </row>
    <row r="239" spans="10:10" x14ac:dyDescent="0.2">
      <c r="J239" t="s">
        <v>564</v>
      </c>
    </row>
    <row r="240" spans="10:10" x14ac:dyDescent="0.2">
      <c r="J240" t="s">
        <v>565</v>
      </c>
    </row>
    <row r="241" spans="10:10" x14ac:dyDescent="0.2">
      <c r="J241" t="s">
        <v>566</v>
      </c>
    </row>
    <row r="242" spans="10:10" x14ac:dyDescent="0.2">
      <c r="J242" t="s">
        <v>567</v>
      </c>
    </row>
    <row r="243" spans="10:10" x14ac:dyDescent="0.2">
      <c r="J243" t="s">
        <v>568</v>
      </c>
    </row>
    <row r="244" spans="10:10" x14ac:dyDescent="0.2">
      <c r="J244" t="s">
        <v>569</v>
      </c>
    </row>
    <row r="245" spans="10:10" x14ac:dyDescent="0.2">
      <c r="J245" t="s">
        <v>570</v>
      </c>
    </row>
    <row r="246" spans="10:10" x14ac:dyDescent="0.2">
      <c r="J246" t="s">
        <v>571</v>
      </c>
    </row>
    <row r="247" spans="10:10" x14ac:dyDescent="0.2">
      <c r="J247" t="s">
        <v>572</v>
      </c>
    </row>
    <row r="248" spans="10:10" x14ac:dyDescent="0.2">
      <c r="J248" t="s">
        <v>573</v>
      </c>
    </row>
    <row r="249" spans="10:10" x14ac:dyDescent="0.2">
      <c r="J249" t="s">
        <v>574</v>
      </c>
    </row>
    <row r="250" spans="10:10" x14ac:dyDescent="0.2">
      <c r="J250" t="s">
        <v>575</v>
      </c>
    </row>
    <row r="251" spans="10:10" x14ac:dyDescent="0.2">
      <c r="J251" t="s">
        <v>576</v>
      </c>
    </row>
    <row r="252" spans="10:10" x14ac:dyDescent="0.2">
      <c r="J252" t="s">
        <v>577</v>
      </c>
    </row>
    <row r="253" spans="10:10" x14ac:dyDescent="0.2">
      <c r="J253" t="s">
        <v>578</v>
      </c>
    </row>
    <row r="254" spans="10:10" x14ac:dyDescent="0.2">
      <c r="J254" t="s">
        <v>579</v>
      </c>
    </row>
    <row r="255" spans="10:10" x14ac:dyDescent="0.2">
      <c r="J255" t="s">
        <v>580</v>
      </c>
    </row>
    <row r="256" spans="10:10" x14ac:dyDescent="0.2">
      <c r="J256" t="s">
        <v>581</v>
      </c>
    </row>
    <row r="257" spans="10:10" x14ac:dyDescent="0.2">
      <c r="J257" t="s">
        <v>582</v>
      </c>
    </row>
    <row r="258" spans="10:10" x14ac:dyDescent="0.2">
      <c r="J258" t="s">
        <v>583</v>
      </c>
    </row>
    <row r="259" spans="10:10" x14ac:dyDescent="0.2">
      <c r="J259" t="s">
        <v>584</v>
      </c>
    </row>
    <row r="260" spans="10:10" x14ac:dyDescent="0.2">
      <c r="J260" t="s">
        <v>585</v>
      </c>
    </row>
    <row r="261" spans="10:10" x14ac:dyDescent="0.2">
      <c r="J261" t="s">
        <v>586</v>
      </c>
    </row>
    <row r="262" spans="10:10" x14ac:dyDescent="0.2">
      <c r="J262" t="s">
        <v>587</v>
      </c>
    </row>
    <row r="263" spans="10:10" x14ac:dyDescent="0.2">
      <c r="J263" t="s">
        <v>588</v>
      </c>
    </row>
    <row r="264" spans="10:10" x14ac:dyDescent="0.2">
      <c r="J264" t="s">
        <v>589</v>
      </c>
    </row>
    <row r="265" spans="10:10" x14ac:dyDescent="0.2">
      <c r="J265" t="s">
        <v>590</v>
      </c>
    </row>
    <row r="266" spans="10:10" x14ac:dyDescent="0.2">
      <c r="J266" t="s">
        <v>591</v>
      </c>
    </row>
    <row r="267" spans="10:10" x14ac:dyDescent="0.2">
      <c r="J267" t="s">
        <v>592</v>
      </c>
    </row>
    <row r="268" spans="10:10" x14ac:dyDescent="0.2">
      <c r="J268" t="s">
        <v>593</v>
      </c>
    </row>
    <row r="269" spans="10:10" x14ac:dyDescent="0.2">
      <c r="J269" t="s">
        <v>594</v>
      </c>
    </row>
    <row r="270" spans="10:10" x14ac:dyDescent="0.2">
      <c r="J270" t="s">
        <v>595</v>
      </c>
    </row>
    <row r="271" spans="10:10" x14ac:dyDescent="0.2">
      <c r="J271" t="s">
        <v>596</v>
      </c>
    </row>
    <row r="272" spans="10:10" x14ac:dyDescent="0.2">
      <c r="J272" t="s">
        <v>597</v>
      </c>
    </row>
    <row r="273" spans="10:10" x14ac:dyDescent="0.2">
      <c r="J273" t="s">
        <v>598</v>
      </c>
    </row>
    <row r="274" spans="10:10" x14ac:dyDescent="0.2">
      <c r="J274" t="s">
        <v>599</v>
      </c>
    </row>
    <row r="275" spans="10:10" x14ac:dyDescent="0.2">
      <c r="J275" t="s">
        <v>600</v>
      </c>
    </row>
    <row r="276" spans="10:10" x14ac:dyDescent="0.2">
      <c r="J276" t="s">
        <v>601</v>
      </c>
    </row>
    <row r="277" spans="10:10" x14ac:dyDescent="0.2">
      <c r="J277" t="s">
        <v>602</v>
      </c>
    </row>
    <row r="278" spans="10:10" x14ac:dyDescent="0.2">
      <c r="J278" t="s">
        <v>603</v>
      </c>
    </row>
    <row r="279" spans="10:10" x14ac:dyDescent="0.2">
      <c r="J279" t="s">
        <v>604</v>
      </c>
    </row>
    <row r="280" spans="10:10" x14ac:dyDescent="0.2">
      <c r="J280" t="s">
        <v>605</v>
      </c>
    </row>
    <row r="281" spans="10:10" x14ac:dyDescent="0.2">
      <c r="J281" t="s">
        <v>606</v>
      </c>
    </row>
    <row r="282" spans="10:10" x14ac:dyDescent="0.2">
      <c r="J282" t="s">
        <v>607</v>
      </c>
    </row>
    <row r="283" spans="10:10" x14ac:dyDescent="0.2">
      <c r="J283" t="s">
        <v>608</v>
      </c>
    </row>
    <row r="284" spans="10:10" x14ac:dyDescent="0.2">
      <c r="J284" t="s">
        <v>609</v>
      </c>
    </row>
    <row r="285" spans="10:10" x14ac:dyDescent="0.2">
      <c r="J285" t="s">
        <v>610</v>
      </c>
    </row>
    <row r="286" spans="10:10" x14ac:dyDescent="0.2">
      <c r="J286" t="s">
        <v>611</v>
      </c>
    </row>
    <row r="287" spans="10:10" x14ac:dyDescent="0.2">
      <c r="J287" t="s">
        <v>612</v>
      </c>
    </row>
    <row r="288" spans="10:10" x14ac:dyDescent="0.2">
      <c r="J288" t="s">
        <v>613</v>
      </c>
    </row>
    <row r="289" spans="10:10" x14ac:dyDescent="0.2">
      <c r="J289" t="s">
        <v>614</v>
      </c>
    </row>
    <row r="290" spans="10:10" x14ac:dyDescent="0.2">
      <c r="J290" t="s">
        <v>615</v>
      </c>
    </row>
    <row r="291" spans="10:10" x14ac:dyDescent="0.2">
      <c r="J291" t="s">
        <v>616</v>
      </c>
    </row>
    <row r="292" spans="10:10" x14ac:dyDescent="0.2">
      <c r="J292" t="s">
        <v>617</v>
      </c>
    </row>
    <row r="293" spans="10:10" x14ac:dyDescent="0.2">
      <c r="J293" t="s">
        <v>618</v>
      </c>
    </row>
    <row r="294" spans="10:10" x14ac:dyDescent="0.2">
      <c r="J294" t="s">
        <v>619</v>
      </c>
    </row>
    <row r="295" spans="10:10" x14ac:dyDescent="0.2">
      <c r="J295" t="s">
        <v>620</v>
      </c>
    </row>
    <row r="296" spans="10:10" x14ac:dyDescent="0.2">
      <c r="J296" t="s">
        <v>621</v>
      </c>
    </row>
    <row r="297" spans="10:10" x14ac:dyDescent="0.2">
      <c r="J297" t="s">
        <v>622</v>
      </c>
    </row>
    <row r="298" spans="10:10" x14ac:dyDescent="0.2">
      <c r="J298" t="s">
        <v>623</v>
      </c>
    </row>
    <row r="299" spans="10:10" x14ac:dyDescent="0.2">
      <c r="J299" t="s">
        <v>624</v>
      </c>
    </row>
    <row r="300" spans="10:10" x14ac:dyDescent="0.2">
      <c r="J300" t="s">
        <v>625</v>
      </c>
    </row>
    <row r="301" spans="10:10" x14ac:dyDescent="0.2">
      <c r="J301" t="s">
        <v>626</v>
      </c>
    </row>
    <row r="302" spans="10:10" x14ac:dyDescent="0.2">
      <c r="J302" t="s">
        <v>627</v>
      </c>
    </row>
    <row r="303" spans="10:10" x14ac:dyDescent="0.2">
      <c r="J303" t="s">
        <v>628</v>
      </c>
    </row>
    <row r="304" spans="10:10" x14ac:dyDescent="0.2">
      <c r="J304" t="s">
        <v>629</v>
      </c>
    </row>
    <row r="305" spans="10:10" x14ac:dyDescent="0.2">
      <c r="J305" t="s">
        <v>630</v>
      </c>
    </row>
    <row r="306" spans="10:10" x14ac:dyDescent="0.2">
      <c r="J306" t="s">
        <v>631</v>
      </c>
    </row>
    <row r="307" spans="10:10" x14ac:dyDescent="0.2">
      <c r="J307" t="s">
        <v>632</v>
      </c>
    </row>
    <row r="308" spans="10:10" x14ac:dyDescent="0.2">
      <c r="J308" t="s">
        <v>633</v>
      </c>
    </row>
    <row r="309" spans="10:10" x14ac:dyDescent="0.2">
      <c r="J309" t="s">
        <v>634</v>
      </c>
    </row>
    <row r="310" spans="10:10" x14ac:dyDescent="0.2">
      <c r="J310" t="s">
        <v>635</v>
      </c>
    </row>
    <row r="311" spans="10:10" x14ac:dyDescent="0.2">
      <c r="J311" t="s">
        <v>636</v>
      </c>
    </row>
    <row r="312" spans="10:10" x14ac:dyDescent="0.2">
      <c r="J312" t="s">
        <v>637</v>
      </c>
    </row>
    <row r="313" spans="10:10" x14ac:dyDescent="0.2">
      <c r="J313" t="s">
        <v>638</v>
      </c>
    </row>
    <row r="314" spans="10:10" x14ac:dyDescent="0.2">
      <c r="J314" t="s">
        <v>639</v>
      </c>
    </row>
    <row r="315" spans="10:10" x14ac:dyDescent="0.2">
      <c r="J315" t="s">
        <v>640</v>
      </c>
    </row>
    <row r="316" spans="10:10" x14ac:dyDescent="0.2">
      <c r="J316" t="s">
        <v>641</v>
      </c>
    </row>
    <row r="317" spans="10:10" x14ac:dyDescent="0.2">
      <c r="J317" t="s">
        <v>642</v>
      </c>
    </row>
    <row r="318" spans="10:10" x14ac:dyDescent="0.2">
      <c r="J318" t="s">
        <v>643</v>
      </c>
    </row>
    <row r="319" spans="10:10" x14ac:dyDescent="0.2">
      <c r="J319" t="s">
        <v>644</v>
      </c>
    </row>
    <row r="320" spans="10:10" x14ac:dyDescent="0.2">
      <c r="J320" t="s">
        <v>645</v>
      </c>
    </row>
    <row r="321" spans="10:10" x14ac:dyDescent="0.2">
      <c r="J321" t="s">
        <v>646</v>
      </c>
    </row>
    <row r="322" spans="10:10" x14ac:dyDescent="0.2">
      <c r="J322" t="s">
        <v>647</v>
      </c>
    </row>
    <row r="323" spans="10:10" x14ac:dyDescent="0.2">
      <c r="J323" t="s">
        <v>648</v>
      </c>
    </row>
    <row r="324" spans="10:10" x14ac:dyDescent="0.2">
      <c r="J324" t="s">
        <v>649</v>
      </c>
    </row>
    <row r="325" spans="10:10" x14ac:dyDescent="0.2">
      <c r="J325" t="s">
        <v>650</v>
      </c>
    </row>
    <row r="326" spans="10:10" x14ac:dyDescent="0.2">
      <c r="J326" t="s">
        <v>651</v>
      </c>
    </row>
    <row r="327" spans="10:10" x14ac:dyDescent="0.2">
      <c r="J327" t="s">
        <v>652</v>
      </c>
    </row>
    <row r="328" spans="10:10" x14ac:dyDescent="0.2">
      <c r="J328" t="s">
        <v>653</v>
      </c>
    </row>
    <row r="329" spans="10:10" x14ac:dyDescent="0.2">
      <c r="J329" t="s">
        <v>654</v>
      </c>
    </row>
    <row r="330" spans="10:10" x14ac:dyDescent="0.2">
      <c r="J330" t="s">
        <v>655</v>
      </c>
    </row>
    <row r="331" spans="10:10" x14ac:dyDescent="0.2">
      <c r="J331" t="s">
        <v>656</v>
      </c>
    </row>
    <row r="332" spans="10:10" x14ac:dyDescent="0.2">
      <c r="J332" t="s">
        <v>657</v>
      </c>
    </row>
    <row r="333" spans="10:10" x14ac:dyDescent="0.2">
      <c r="J333" t="s">
        <v>658</v>
      </c>
    </row>
    <row r="334" spans="10:10" x14ac:dyDescent="0.2">
      <c r="J334" t="s">
        <v>659</v>
      </c>
    </row>
    <row r="335" spans="10:10" x14ac:dyDescent="0.2">
      <c r="J335" t="s">
        <v>660</v>
      </c>
    </row>
    <row r="336" spans="10:10" x14ac:dyDescent="0.2">
      <c r="J336" t="s">
        <v>661</v>
      </c>
    </row>
    <row r="337" spans="10:10" x14ac:dyDescent="0.2">
      <c r="J337" t="s">
        <v>662</v>
      </c>
    </row>
    <row r="338" spans="10:10" x14ac:dyDescent="0.2">
      <c r="J338" t="s">
        <v>663</v>
      </c>
    </row>
    <row r="339" spans="10:10" x14ac:dyDescent="0.2">
      <c r="J339" t="s">
        <v>664</v>
      </c>
    </row>
    <row r="340" spans="10:10" x14ac:dyDescent="0.2">
      <c r="J340" t="s">
        <v>665</v>
      </c>
    </row>
    <row r="341" spans="10:10" x14ac:dyDescent="0.2">
      <c r="J341" t="s">
        <v>666</v>
      </c>
    </row>
    <row r="342" spans="10:10" x14ac:dyDescent="0.2">
      <c r="J342" t="s">
        <v>667</v>
      </c>
    </row>
    <row r="343" spans="10:10" x14ac:dyDescent="0.2">
      <c r="J343" t="s">
        <v>668</v>
      </c>
    </row>
    <row r="344" spans="10:10" x14ac:dyDescent="0.2">
      <c r="J344" t="s">
        <v>669</v>
      </c>
    </row>
    <row r="345" spans="10:10" x14ac:dyDescent="0.2">
      <c r="J345" t="s">
        <v>670</v>
      </c>
    </row>
    <row r="346" spans="10:10" x14ac:dyDescent="0.2">
      <c r="J346" t="s">
        <v>671</v>
      </c>
    </row>
    <row r="347" spans="10:10" x14ac:dyDescent="0.2">
      <c r="J347" t="s">
        <v>672</v>
      </c>
    </row>
    <row r="348" spans="10:10" x14ac:dyDescent="0.2">
      <c r="J348" t="s">
        <v>673</v>
      </c>
    </row>
    <row r="349" spans="10:10" x14ac:dyDescent="0.2">
      <c r="J349" t="s">
        <v>674</v>
      </c>
    </row>
    <row r="350" spans="10:10" x14ac:dyDescent="0.2">
      <c r="J350" t="s">
        <v>675</v>
      </c>
    </row>
    <row r="351" spans="10:10" x14ac:dyDescent="0.2">
      <c r="J351" t="s">
        <v>676</v>
      </c>
    </row>
    <row r="352" spans="10:10" x14ac:dyDescent="0.2">
      <c r="J352" t="s">
        <v>677</v>
      </c>
    </row>
    <row r="353" spans="10:10" x14ac:dyDescent="0.2">
      <c r="J353" t="s">
        <v>678</v>
      </c>
    </row>
    <row r="354" spans="10:10" x14ac:dyDescent="0.2">
      <c r="J354" t="s">
        <v>679</v>
      </c>
    </row>
    <row r="355" spans="10:10" x14ac:dyDescent="0.2">
      <c r="J355" t="s">
        <v>680</v>
      </c>
    </row>
    <row r="356" spans="10:10" x14ac:dyDescent="0.2">
      <c r="J356" t="s">
        <v>681</v>
      </c>
    </row>
    <row r="357" spans="10:10" x14ac:dyDescent="0.2">
      <c r="J357" t="s">
        <v>682</v>
      </c>
    </row>
    <row r="358" spans="10:10" x14ac:dyDescent="0.2">
      <c r="J358" t="s">
        <v>683</v>
      </c>
    </row>
    <row r="359" spans="10:10" x14ac:dyDescent="0.2">
      <c r="J359" t="s">
        <v>684</v>
      </c>
    </row>
    <row r="360" spans="10:10" x14ac:dyDescent="0.2">
      <c r="J360" t="s">
        <v>685</v>
      </c>
    </row>
    <row r="361" spans="10:10" x14ac:dyDescent="0.2">
      <c r="J361" t="s">
        <v>686</v>
      </c>
    </row>
    <row r="362" spans="10:10" x14ac:dyDescent="0.2">
      <c r="J362" t="s">
        <v>687</v>
      </c>
    </row>
    <row r="363" spans="10:10" x14ac:dyDescent="0.2">
      <c r="J363" t="s">
        <v>688</v>
      </c>
    </row>
    <row r="364" spans="10:10" x14ac:dyDescent="0.2">
      <c r="J364" t="s">
        <v>689</v>
      </c>
    </row>
    <row r="365" spans="10:10" x14ac:dyDescent="0.2">
      <c r="J365" t="s">
        <v>690</v>
      </c>
    </row>
    <row r="366" spans="10:10" x14ac:dyDescent="0.2">
      <c r="J366" t="s">
        <v>691</v>
      </c>
    </row>
    <row r="367" spans="10:10" x14ac:dyDescent="0.2">
      <c r="J367" t="s">
        <v>692</v>
      </c>
    </row>
    <row r="368" spans="10:10" x14ac:dyDescent="0.2">
      <c r="J368" t="s">
        <v>693</v>
      </c>
    </row>
    <row r="369" spans="10:10" x14ac:dyDescent="0.2">
      <c r="J369" t="s">
        <v>694</v>
      </c>
    </row>
    <row r="370" spans="10:10" x14ac:dyDescent="0.2">
      <c r="J370" t="s">
        <v>695</v>
      </c>
    </row>
    <row r="371" spans="10:10" x14ac:dyDescent="0.2">
      <c r="J371" t="s">
        <v>696</v>
      </c>
    </row>
    <row r="372" spans="10:10" x14ac:dyDescent="0.2">
      <c r="J372" t="s">
        <v>697</v>
      </c>
    </row>
    <row r="373" spans="10:10" x14ac:dyDescent="0.2">
      <c r="J373" t="s">
        <v>698</v>
      </c>
    </row>
    <row r="374" spans="10:10" x14ac:dyDescent="0.2">
      <c r="J374" t="s">
        <v>699</v>
      </c>
    </row>
    <row r="375" spans="10:10" x14ac:dyDescent="0.2">
      <c r="J375" t="s">
        <v>700</v>
      </c>
    </row>
    <row r="376" spans="10:10" x14ac:dyDescent="0.2">
      <c r="J376" t="s">
        <v>701</v>
      </c>
    </row>
    <row r="377" spans="10:10" x14ac:dyDescent="0.2">
      <c r="J377" t="s">
        <v>702</v>
      </c>
    </row>
    <row r="378" spans="10:10" x14ac:dyDescent="0.2">
      <c r="J378" t="s">
        <v>703</v>
      </c>
    </row>
    <row r="379" spans="10:10" x14ac:dyDescent="0.2">
      <c r="J379" t="s">
        <v>704</v>
      </c>
    </row>
    <row r="380" spans="10:10" x14ac:dyDescent="0.2">
      <c r="J380" t="s">
        <v>705</v>
      </c>
    </row>
    <row r="381" spans="10:10" x14ac:dyDescent="0.2">
      <c r="J381" t="s">
        <v>706</v>
      </c>
    </row>
    <row r="382" spans="10:10" x14ac:dyDescent="0.2">
      <c r="J382" t="s">
        <v>707</v>
      </c>
    </row>
    <row r="383" spans="10:10" x14ac:dyDescent="0.2">
      <c r="J383" t="s">
        <v>708</v>
      </c>
    </row>
    <row r="384" spans="10:10" x14ac:dyDescent="0.2">
      <c r="J384" t="s">
        <v>709</v>
      </c>
    </row>
    <row r="385" spans="10:10" x14ac:dyDescent="0.2">
      <c r="J385" t="s">
        <v>710</v>
      </c>
    </row>
    <row r="386" spans="10:10" x14ac:dyDescent="0.2">
      <c r="J386" t="s">
        <v>711</v>
      </c>
    </row>
    <row r="387" spans="10:10" x14ac:dyDescent="0.2">
      <c r="J387" t="s">
        <v>712</v>
      </c>
    </row>
    <row r="388" spans="10:10" x14ac:dyDescent="0.2">
      <c r="J388" t="s">
        <v>713</v>
      </c>
    </row>
    <row r="389" spans="10:10" x14ac:dyDescent="0.2">
      <c r="J389" t="s">
        <v>714</v>
      </c>
    </row>
    <row r="390" spans="10:10" x14ac:dyDescent="0.2">
      <c r="J390" t="s">
        <v>715</v>
      </c>
    </row>
    <row r="391" spans="10:10" x14ac:dyDescent="0.2">
      <c r="J391" t="s">
        <v>716</v>
      </c>
    </row>
    <row r="392" spans="10:10" x14ac:dyDescent="0.2">
      <c r="J392" t="s">
        <v>717</v>
      </c>
    </row>
    <row r="393" spans="10:10" x14ac:dyDescent="0.2">
      <c r="J393" t="s">
        <v>718</v>
      </c>
    </row>
    <row r="394" spans="10:10" x14ac:dyDescent="0.2">
      <c r="J394" t="s">
        <v>719</v>
      </c>
    </row>
    <row r="395" spans="10:10" x14ac:dyDescent="0.2">
      <c r="J395" t="s">
        <v>720</v>
      </c>
    </row>
    <row r="396" spans="10:10" x14ac:dyDescent="0.2">
      <c r="J396" t="s">
        <v>721</v>
      </c>
    </row>
    <row r="397" spans="10:10" x14ac:dyDescent="0.2">
      <c r="J397" t="s">
        <v>722</v>
      </c>
    </row>
    <row r="398" spans="10:10" x14ac:dyDescent="0.2">
      <c r="J398" t="s">
        <v>723</v>
      </c>
    </row>
    <row r="399" spans="10:10" x14ac:dyDescent="0.2">
      <c r="J399" t="s">
        <v>724</v>
      </c>
    </row>
    <row r="400" spans="10:10" x14ac:dyDescent="0.2">
      <c r="J400" t="s">
        <v>725</v>
      </c>
    </row>
    <row r="401" spans="10:10" x14ac:dyDescent="0.2">
      <c r="J401" t="s">
        <v>726</v>
      </c>
    </row>
    <row r="402" spans="10:10" x14ac:dyDescent="0.2">
      <c r="J402" t="s">
        <v>727</v>
      </c>
    </row>
    <row r="403" spans="10:10" x14ac:dyDescent="0.2">
      <c r="J403" t="s">
        <v>728</v>
      </c>
    </row>
    <row r="404" spans="10:10" x14ac:dyDescent="0.2">
      <c r="J404" t="s">
        <v>729</v>
      </c>
    </row>
    <row r="405" spans="10:10" x14ac:dyDescent="0.2">
      <c r="J405" t="s">
        <v>730</v>
      </c>
    </row>
    <row r="406" spans="10:10" x14ac:dyDescent="0.2">
      <c r="J406" t="s">
        <v>731</v>
      </c>
    </row>
    <row r="407" spans="10:10" x14ac:dyDescent="0.2">
      <c r="J407" t="s">
        <v>732</v>
      </c>
    </row>
    <row r="408" spans="10:10" x14ac:dyDescent="0.2">
      <c r="J408" t="s">
        <v>733</v>
      </c>
    </row>
    <row r="409" spans="10:10" x14ac:dyDescent="0.2">
      <c r="J409" t="s">
        <v>734</v>
      </c>
    </row>
    <row r="410" spans="10:10" x14ac:dyDescent="0.2">
      <c r="J410" t="s">
        <v>735</v>
      </c>
    </row>
    <row r="411" spans="10:10" x14ac:dyDescent="0.2">
      <c r="J411" t="s">
        <v>736</v>
      </c>
    </row>
    <row r="412" spans="10:10" x14ac:dyDescent="0.2">
      <c r="J412" t="s">
        <v>737</v>
      </c>
    </row>
    <row r="413" spans="10:10" x14ac:dyDescent="0.2">
      <c r="J413" t="s">
        <v>738</v>
      </c>
    </row>
    <row r="414" spans="10:10" x14ac:dyDescent="0.2">
      <c r="J414" t="s">
        <v>739</v>
      </c>
    </row>
    <row r="415" spans="10:10" x14ac:dyDescent="0.2">
      <c r="J415" t="s">
        <v>740</v>
      </c>
    </row>
    <row r="416" spans="10:10" x14ac:dyDescent="0.2">
      <c r="J416" t="s">
        <v>741</v>
      </c>
    </row>
    <row r="417" spans="10:10" x14ac:dyDescent="0.2">
      <c r="J417" t="s">
        <v>742</v>
      </c>
    </row>
    <row r="418" spans="10:10" x14ac:dyDescent="0.2">
      <c r="J418" t="s">
        <v>743</v>
      </c>
    </row>
    <row r="419" spans="10:10" x14ac:dyDescent="0.2">
      <c r="J419" t="s">
        <v>744</v>
      </c>
    </row>
    <row r="420" spans="10:10" x14ac:dyDescent="0.2">
      <c r="J420" t="s">
        <v>745</v>
      </c>
    </row>
    <row r="421" spans="10:10" x14ac:dyDescent="0.2">
      <c r="J421" t="s">
        <v>746</v>
      </c>
    </row>
    <row r="422" spans="10:10" x14ac:dyDescent="0.2">
      <c r="J422" t="s">
        <v>747</v>
      </c>
    </row>
    <row r="423" spans="10:10" x14ac:dyDescent="0.2">
      <c r="J423" t="s">
        <v>748</v>
      </c>
    </row>
    <row r="424" spans="10:10" x14ac:dyDescent="0.2">
      <c r="J424" t="s">
        <v>749</v>
      </c>
    </row>
    <row r="425" spans="10:10" x14ac:dyDescent="0.2">
      <c r="J425" t="s">
        <v>750</v>
      </c>
    </row>
    <row r="426" spans="10:10" x14ac:dyDescent="0.2">
      <c r="J426" t="s">
        <v>751</v>
      </c>
    </row>
    <row r="427" spans="10:10" x14ac:dyDescent="0.2">
      <c r="J427" t="s">
        <v>752</v>
      </c>
    </row>
    <row r="428" spans="10:10" x14ac:dyDescent="0.2">
      <c r="J428" t="s">
        <v>753</v>
      </c>
    </row>
    <row r="429" spans="10:10" x14ac:dyDescent="0.2">
      <c r="J429" t="s">
        <v>754</v>
      </c>
    </row>
    <row r="430" spans="10:10" x14ac:dyDescent="0.2">
      <c r="J430" t="s">
        <v>755</v>
      </c>
    </row>
    <row r="431" spans="10:10" x14ac:dyDescent="0.2">
      <c r="J431" t="s">
        <v>756</v>
      </c>
    </row>
    <row r="432" spans="10:10" x14ac:dyDescent="0.2">
      <c r="J432" t="s">
        <v>757</v>
      </c>
    </row>
    <row r="433" spans="10:10" x14ac:dyDescent="0.2">
      <c r="J433" t="s">
        <v>758</v>
      </c>
    </row>
    <row r="434" spans="10:10" x14ac:dyDescent="0.2">
      <c r="J434" t="s">
        <v>759</v>
      </c>
    </row>
    <row r="435" spans="10:10" x14ac:dyDescent="0.2">
      <c r="J435" t="s">
        <v>760</v>
      </c>
    </row>
    <row r="436" spans="10:10" x14ac:dyDescent="0.2">
      <c r="J436" t="s">
        <v>761</v>
      </c>
    </row>
    <row r="437" spans="10:10" x14ac:dyDescent="0.2">
      <c r="J437" t="s">
        <v>762</v>
      </c>
    </row>
    <row r="438" spans="10:10" x14ac:dyDescent="0.2">
      <c r="J438" t="s">
        <v>763</v>
      </c>
    </row>
    <row r="439" spans="10:10" x14ac:dyDescent="0.2">
      <c r="J439" t="s">
        <v>764</v>
      </c>
    </row>
    <row r="440" spans="10:10" x14ac:dyDescent="0.2">
      <c r="J440" t="s">
        <v>765</v>
      </c>
    </row>
    <row r="441" spans="10:10" x14ac:dyDescent="0.2">
      <c r="J441" t="s">
        <v>766</v>
      </c>
    </row>
    <row r="442" spans="10:10" x14ac:dyDescent="0.2">
      <c r="J442" t="s">
        <v>767</v>
      </c>
    </row>
    <row r="443" spans="10:10" x14ac:dyDescent="0.2">
      <c r="J443" t="s">
        <v>768</v>
      </c>
    </row>
    <row r="444" spans="10:10" x14ac:dyDescent="0.2">
      <c r="J444" t="s">
        <v>769</v>
      </c>
    </row>
    <row r="445" spans="10:10" x14ac:dyDescent="0.2">
      <c r="J445" t="s">
        <v>770</v>
      </c>
    </row>
    <row r="446" spans="10:10" x14ac:dyDescent="0.2">
      <c r="J446" t="s">
        <v>771</v>
      </c>
    </row>
    <row r="447" spans="10:10" x14ac:dyDescent="0.2">
      <c r="J447" t="s">
        <v>772</v>
      </c>
    </row>
    <row r="448" spans="10:10" x14ac:dyDescent="0.2">
      <c r="J448" t="s">
        <v>773</v>
      </c>
    </row>
    <row r="449" spans="10:10" x14ac:dyDescent="0.2">
      <c r="J449" t="s">
        <v>774</v>
      </c>
    </row>
    <row r="450" spans="10:10" x14ac:dyDescent="0.2">
      <c r="J450" t="s">
        <v>775</v>
      </c>
    </row>
    <row r="451" spans="10:10" x14ac:dyDescent="0.2">
      <c r="J451" t="s">
        <v>776</v>
      </c>
    </row>
    <row r="452" spans="10:10" x14ac:dyDescent="0.2">
      <c r="J452" t="s">
        <v>777</v>
      </c>
    </row>
    <row r="453" spans="10:10" x14ac:dyDescent="0.2">
      <c r="J453" t="s">
        <v>778</v>
      </c>
    </row>
    <row r="454" spans="10:10" x14ac:dyDescent="0.2">
      <c r="J454" t="s">
        <v>779</v>
      </c>
    </row>
    <row r="455" spans="10:10" x14ac:dyDescent="0.2">
      <c r="J455" t="s">
        <v>780</v>
      </c>
    </row>
    <row r="456" spans="10:10" x14ac:dyDescent="0.2">
      <c r="J456" t="s">
        <v>781</v>
      </c>
    </row>
    <row r="457" spans="10:10" x14ac:dyDescent="0.2">
      <c r="J457" t="s">
        <v>782</v>
      </c>
    </row>
    <row r="458" spans="10:10" x14ac:dyDescent="0.2">
      <c r="J458" t="s">
        <v>783</v>
      </c>
    </row>
    <row r="459" spans="10:10" x14ac:dyDescent="0.2">
      <c r="J459" t="s">
        <v>784</v>
      </c>
    </row>
    <row r="460" spans="10:10" x14ac:dyDescent="0.2">
      <c r="J460" t="s">
        <v>785</v>
      </c>
    </row>
    <row r="461" spans="10:10" x14ac:dyDescent="0.2">
      <c r="J461" t="s">
        <v>786</v>
      </c>
    </row>
    <row r="462" spans="10:10" x14ac:dyDescent="0.2">
      <c r="J462" t="s">
        <v>787</v>
      </c>
    </row>
    <row r="463" spans="10:10" x14ac:dyDescent="0.2">
      <c r="J463" t="s">
        <v>788</v>
      </c>
    </row>
    <row r="464" spans="10:10" x14ac:dyDescent="0.2">
      <c r="J464" t="s">
        <v>789</v>
      </c>
    </row>
    <row r="465" spans="10:10" x14ac:dyDescent="0.2">
      <c r="J465" t="s">
        <v>790</v>
      </c>
    </row>
    <row r="466" spans="10:10" x14ac:dyDescent="0.2">
      <c r="J466" t="s">
        <v>791</v>
      </c>
    </row>
    <row r="467" spans="10:10" x14ac:dyDescent="0.2">
      <c r="J467" t="s">
        <v>792</v>
      </c>
    </row>
    <row r="468" spans="10:10" x14ac:dyDescent="0.2">
      <c r="J468" t="s">
        <v>793</v>
      </c>
    </row>
    <row r="469" spans="10:10" x14ac:dyDescent="0.2">
      <c r="J469" t="s">
        <v>794</v>
      </c>
    </row>
    <row r="470" spans="10:10" x14ac:dyDescent="0.2">
      <c r="J470" t="s">
        <v>795</v>
      </c>
    </row>
    <row r="471" spans="10:10" x14ac:dyDescent="0.2">
      <c r="J471" t="s">
        <v>796</v>
      </c>
    </row>
    <row r="472" spans="10:10" x14ac:dyDescent="0.2">
      <c r="J472" t="s">
        <v>797</v>
      </c>
    </row>
    <row r="473" spans="10:10" x14ac:dyDescent="0.2">
      <c r="J473" t="s">
        <v>798</v>
      </c>
    </row>
    <row r="474" spans="10:10" x14ac:dyDescent="0.2">
      <c r="J474" t="s">
        <v>799</v>
      </c>
    </row>
    <row r="475" spans="10:10" x14ac:dyDescent="0.2">
      <c r="J475" t="s">
        <v>800</v>
      </c>
    </row>
    <row r="476" spans="10:10" x14ac:dyDescent="0.2">
      <c r="J476" t="s">
        <v>801</v>
      </c>
    </row>
    <row r="477" spans="10:10" x14ac:dyDescent="0.2">
      <c r="J477" t="s">
        <v>802</v>
      </c>
    </row>
    <row r="478" spans="10:10" x14ac:dyDescent="0.2">
      <c r="J478" t="s">
        <v>803</v>
      </c>
    </row>
    <row r="479" spans="10:10" x14ac:dyDescent="0.2">
      <c r="J479" t="s">
        <v>804</v>
      </c>
    </row>
    <row r="480" spans="10:10" x14ac:dyDescent="0.2">
      <c r="J480" t="s">
        <v>805</v>
      </c>
    </row>
    <row r="481" spans="10:10" x14ac:dyDescent="0.2">
      <c r="J481" t="s">
        <v>806</v>
      </c>
    </row>
    <row r="482" spans="10:10" x14ac:dyDescent="0.2">
      <c r="J482" t="s">
        <v>807</v>
      </c>
    </row>
    <row r="483" spans="10:10" x14ac:dyDescent="0.2">
      <c r="J483" t="s">
        <v>808</v>
      </c>
    </row>
    <row r="484" spans="10:10" x14ac:dyDescent="0.2">
      <c r="J484" t="s">
        <v>809</v>
      </c>
    </row>
    <row r="485" spans="10:10" x14ac:dyDescent="0.2">
      <c r="J485" t="s">
        <v>810</v>
      </c>
    </row>
    <row r="486" spans="10:10" x14ac:dyDescent="0.2">
      <c r="J486" t="s">
        <v>811</v>
      </c>
    </row>
    <row r="487" spans="10:10" x14ac:dyDescent="0.2">
      <c r="J487" t="s">
        <v>812</v>
      </c>
    </row>
    <row r="488" spans="10:10" x14ac:dyDescent="0.2">
      <c r="J488" t="s">
        <v>813</v>
      </c>
    </row>
    <row r="489" spans="10:10" x14ac:dyDescent="0.2">
      <c r="J489" t="s">
        <v>814</v>
      </c>
    </row>
    <row r="490" spans="10:10" x14ac:dyDescent="0.2">
      <c r="J490" t="s">
        <v>815</v>
      </c>
    </row>
    <row r="491" spans="10:10" x14ac:dyDescent="0.2">
      <c r="J491" t="s">
        <v>816</v>
      </c>
    </row>
    <row r="492" spans="10:10" x14ac:dyDescent="0.2">
      <c r="J492" t="s">
        <v>817</v>
      </c>
    </row>
    <row r="493" spans="10:10" x14ac:dyDescent="0.2">
      <c r="J493" t="s">
        <v>818</v>
      </c>
    </row>
    <row r="494" spans="10:10" x14ac:dyDescent="0.2">
      <c r="J494" t="s">
        <v>819</v>
      </c>
    </row>
    <row r="495" spans="10:10" x14ac:dyDescent="0.2">
      <c r="J495" t="s">
        <v>820</v>
      </c>
    </row>
    <row r="496" spans="10:10" x14ac:dyDescent="0.2">
      <c r="J496" t="s">
        <v>821</v>
      </c>
    </row>
    <row r="497" spans="10:10" x14ac:dyDescent="0.2">
      <c r="J497" t="s">
        <v>822</v>
      </c>
    </row>
    <row r="498" spans="10:10" x14ac:dyDescent="0.2">
      <c r="J498" t="s">
        <v>823</v>
      </c>
    </row>
    <row r="499" spans="10:10" x14ac:dyDescent="0.2">
      <c r="J499" t="s">
        <v>824</v>
      </c>
    </row>
    <row r="500" spans="10:10" x14ac:dyDescent="0.2">
      <c r="J500" t="s">
        <v>825</v>
      </c>
    </row>
    <row r="501" spans="10:10" x14ac:dyDescent="0.2">
      <c r="J501" t="s">
        <v>826</v>
      </c>
    </row>
    <row r="502" spans="10:10" x14ac:dyDescent="0.2">
      <c r="J502" t="s">
        <v>827</v>
      </c>
    </row>
    <row r="503" spans="10:10" x14ac:dyDescent="0.2">
      <c r="J503" t="s">
        <v>828</v>
      </c>
    </row>
  </sheetData>
  <mergeCells count="17">
    <mergeCell ref="E6:F6"/>
    <mergeCell ref="E12:F12"/>
    <mergeCell ref="E1:F1"/>
    <mergeCell ref="E7:F7"/>
    <mergeCell ref="E2:F2"/>
    <mergeCell ref="E8:F8"/>
    <mergeCell ref="E3:F3"/>
    <mergeCell ref="E4:F4"/>
    <mergeCell ref="E5:F5"/>
    <mergeCell ref="E9:F9"/>
    <mergeCell ref="E10:F10"/>
    <mergeCell ref="E17:F17"/>
    <mergeCell ref="E11:F11"/>
    <mergeCell ref="E14:F14"/>
    <mergeCell ref="E15:F15"/>
    <mergeCell ref="E13:F13"/>
    <mergeCell ref="E16:F16"/>
  </mergeCells>
  <phoneticPr fontId="0" type="noConversion"/>
  <dataValidations count="20">
    <dataValidation type="date" operator="greaterThan" allowBlank="1" showInputMessage="1" showErrorMessage="1" errorTitle="Completion date" error="The Initial completion date must be later than the start date" promptTitle="Guidance" prompt="This date is used for the computation of schedule variance data." sqref="D3" xr:uid="{00000000-0002-0000-0200-000000000000}">
      <formula1>$D2</formula1>
    </dataValidation>
    <dataValidation type="date" operator="greaterThan" allowBlank="1" showInputMessage="1" showErrorMessage="1" errorTitle="Completion date" error="The revised completion date must be later than the start date" promptTitle="Guideline" prompt="This date needs to be updated if the initial schedule was revised. This date will be used for the computation of schedule variance data." sqref="D5" xr:uid="{00000000-0002-0000-0200-000001000000}">
      <formula1>$D4</formula1>
    </dataValidation>
    <dataValidation type="date" operator="greaterThan" allowBlank="1" showInputMessage="1" showErrorMessage="1" errorTitle="Completion date" error="The actual completion date must be later than the start date" promptTitle="Guideline" prompt="This date will be used for the computation of schedule variance data." sqref="D7" xr:uid="{00000000-0002-0000-0200-000002000000}">
      <formula1>$D6</formula1>
    </dataValidation>
    <dataValidation type="date" operator="greaterThanOrEqual" allowBlank="1" showInputMessage="1" showErrorMessage="1" errorTitle="Data error" error="This field takes only date values." sqref="A504:A65536 A16:A17" xr:uid="{00000000-0002-0000-0200-000003000000}">
      <formula1>MIN(D1,D3,D65535)</formula1>
    </dataValidation>
    <dataValidation type="list" allowBlank="1" showInputMessage="1" showErrorMessage="1" sqref="D11" xr:uid="{00000000-0002-0000-0200-000004000000}">
      <formula1>"Person hour,Person day,Person week,Person month"</formula1>
    </dataValidation>
    <dataValidation type="list" allowBlank="1" showInputMessage="1" showErrorMessage="1" promptTitle="Business unit" prompt="Mention the business unit as identified in SAP." sqref="B3" xr:uid="{00000000-0002-0000-0200-000005000000}">
      <formula1>$L$1:$L$180</formula1>
    </dataValidation>
    <dataValidation type="list" allowBlank="1" showInputMessage="1" showErrorMessage="1" promptTitle="Business Model" prompt="Mention the business model as identified in SAP." sqref="B4" xr:uid="{00000000-0002-0000-0200-000006000000}">
      <formula1>"Offshore,Off-On,Onsite"</formula1>
    </dataValidation>
    <dataValidation type="list" allowBlank="1" showInputMessage="1" showErrorMessage="1" promptTitle="Project type" prompt="Mention the project type for e.g. Full development, Porting, migration et cetera as identified in SAP." sqref="B5" xr:uid="{00000000-0002-0000-0200-000007000000}">
      <formula1>$M$1:$M$9</formula1>
    </dataValidation>
    <dataValidation allowBlank="1" showInputMessage="1" showErrorMessage="1" promptTitle="Engineering staff (Peak)" prompt="Mention the project peak engineering staff, _x000a_for example _x000a_xPM + yPL + zPE." sqref="B9" xr:uid="{00000000-0002-0000-0200-000008000000}"/>
    <dataValidation type="date" operator="greaterThanOrEqual" allowBlank="1" showInputMessage="1" showErrorMessage="1" errorTitle="Data validation error" error="This cell can take only date values." promptTitle="Guideline" prompt="This date will be used for the computation of schedule variance data." sqref="D6" xr:uid="{00000000-0002-0000-0200-000009000000}">
      <formula1>32874</formula1>
    </dataValidation>
    <dataValidation type="date" operator="greaterThanOrEqual" allowBlank="1" showInputMessage="1" showErrorMessage="1" errorTitle="Data validation error" error="This cell can take only date values." promptTitle="Guidance" prompt="This date is used for the computation of schedule variance data." sqref="D2" xr:uid="{00000000-0002-0000-0200-00000A000000}">
      <formula1>32874</formula1>
    </dataValidation>
    <dataValidation type="date" operator="greaterThanOrEqual" allowBlank="1" showInputMessage="1" showErrorMessage="1" errorTitle="Data validation error" error="This cell can take only date values." promptTitle="Guidance" prompt="This date needs to be updated if the initial schedule was revised. This date will be used for the computation of schedule variance data." sqref="D4" xr:uid="{00000000-0002-0000-0200-00000B000000}">
      <formula1>32874</formula1>
    </dataValidation>
    <dataValidation type="list" allowBlank="1" showInputMessage="1" showErrorMessage="1" promptTitle="Note" prompt="Size unit options are taken from &quot;Control panel&quot; sheet." sqref="B13" xr:uid="{00000000-0002-0000-0200-00000C000000}">
      <formula1>$H$1:$H$10</formula1>
    </dataValidation>
    <dataValidation type="list" allowBlank="1" showInputMessage="1" showErrorMessage="1" sqref="B15" xr:uid="{00000000-0002-0000-0200-00000D000000}">
      <formula1>"Ongoing,Closed"</formula1>
    </dataValidation>
    <dataValidation type="list" allowBlank="1" showInputMessage="1" showErrorMessage="1" sqref="D13" xr:uid="{00000000-0002-0000-0200-00000E000000}">
      <formula1>$J$2:$J$503</formula1>
    </dataValidation>
    <dataValidation type="list" allowBlank="1" showInputMessage="1" showErrorMessage="1" sqref="B14" xr:uid="{00000000-0002-0000-0200-00000F000000}">
      <formula1>$K$2:$K$12</formula1>
    </dataValidation>
    <dataValidation type="list" allowBlank="1" showInputMessage="1" showErrorMessage="1" sqref="D14" xr:uid="{00000000-0002-0000-0200-000010000000}">
      <formula1>$I$2:$I$10</formula1>
    </dataValidation>
    <dataValidation type="decimal" operator="greaterThanOrEqual" allowBlank="1" showInputMessage="1" showErrorMessage="1" errorTitle="Data error" error="This field takes only numeric values." sqref="E19:E65536" xr:uid="{00000000-0002-0000-0200-000011000000}">
      <formula1>0</formula1>
    </dataValidation>
    <dataValidation type="list" allowBlank="1" showInputMessage="1" showErrorMessage="1" sqref="B6" xr:uid="{00000000-0002-0000-0200-000012000000}">
      <formula1>$N$1:$N$36</formula1>
    </dataValidation>
    <dataValidation type="date" operator="greaterThanOrEqual" allowBlank="1" showInputMessage="1" showErrorMessage="1" errorTitle="Data error" error="This field takes only date values." sqref="A19:A503" xr:uid="{00000000-0002-0000-0200-000013000000}">
      <formula1>MIN($D$4,$D$6,$D$2)</formula1>
    </dataValidation>
  </dataValidations>
  <hyperlinks>
    <hyperlink ref="E4" location="'Metrics planning and tracking'!A1" tooltip="Metrics planning and tracking sheet" display="Metrics plan" xr:uid="{00000000-0004-0000-0200-000000000000}"/>
    <hyperlink ref="E12" location="'Verification data'!A1" tooltip="Verification data sheet" display="V &amp; V Data" xr:uid="{00000000-0004-0000-0200-000001000000}"/>
    <hyperlink ref="E5" location="Staffing!A1" tooltip="Staffing sheet" display="Staffing" xr:uid="{00000000-0004-0000-0200-000002000000}"/>
    <hyperlink ref="E3" location="Planning!A1" tooltip="Planning sheet" display="Planning" xr:uid="{00000000-0004-0000-0200-000003000000}"/>
    <hyperlink ref="E6" location="Training!A1" tooltip="Training sheet" display="Training" xr:uid="{00000000-0004-0000-0200-000004000000}"/>
    <hyperlink ref="E2:F2" location="'Control panel'!A1" tooltip="Control Panel sheet" display="Control Panel" xr:uid="{00000000-0004-0000-0200-000005000000}"/>
    <hyperlink ref="E8:F8" location="'Risk Management'!A1" tooltip="Risk Management sheet" display="Risk Management" xr:uid="{00000000-0004-0000-0200-000006000000}"/>
    <hyperlink ref="E16" location="Charts!A1" tooltip="Charts sheet" display="Charts" xr:uid="{00000000-0004-0000-0200-000007000000}"/>
    <hyperlink ref="D15" location="Guidelines!A1" tooltip="Guidelines sheet" display="Guidelines" xr:uid="{00000000-0004-0000-0200-000008000000}"/>
    <hyperlink ref="E7" location="Charts!A1" tooltip="Charts sheet" display="Charts" xr:uid="{00000000-0004-0000-0200-000009000000}"/>
    <hyperlink ref="E7:F7" location="'Subprocess goal tracking'!A1" tooltip="Subprocess goal tracking sheet" display="Subprocess goal tracking" xr:uid="{00000000-0004-0000-0200-00000A000000}"/>
    <hyperlink ref="D17" location="'CR Information'!A1" tooltip="CR information sheet" display="CR Information" xr:uid="{00000000-0004-0000-0200-00000B000000}"/>
    <hyperlink ref="D16" location="'Accomplishments and Incidents'!A1" tooltip="Accomplishments and Incidents sheet" display="Accomplishments and Incidents" xr:uid="{00000000-0004-0000-0200-00000C000000}"/>
    <hyperlink ref="E15" location="'Phase-wise EV-SV'!A1" tooltip="Phasewise SV - EV sheet" display="Phasewise EV-SV" xr:uid="{00000000-0004-0000-0200-00000D000000}"/>
    <hyperlink ref="E17:F17" location="'Corrective Action'!A1" tooltip="Corrective action sheet" display="Corrective action" xr:uid="{00000000-0004-0000-0200-00000E000000}"/>
    <hyperlink ref="E13:F13" location="'Verification Summary'!A1" display="Verification Summary" xr:uid="{00000000-0004-0000-0200-00000F000000}"/>
    <hyperlink ref="E14:F14" location="'Quality of Work'!A1" display="Quality of work" xr:uid="{00000000-0004-0000-0200-000010000000}"/>
  </hyperlinks>
  <pageMargins left="0.75" right="0.75" top="1" bottom="1" header="0.5" footer="0.5"/>
  <pageSetup paperSize="9" scale="95" orientation="landscape" r:id="rId1"/>
  <headerFooter alignWithMargins="0">
    <oddFooter>&amp;R&amp;P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dimension ref="A1:X94"/>
  <sheetViews>
    <sheetView topLeftCell="D1" zoomScale="90" zoomScaleNormal="90" zoomScaleSheetLayoutView="40" workbookViewId="0"/>
  </sheetViews>
  <sheetFormatPr defaultRowHeight="12.75" x14ac:dyDescent="0.2"/>
  <cols>
    <col min="1" max="1" width="10.5703125" bestFit="1" customWidth="1"/>
    <col min="9" max="9" width="9.28515625" bestFit="1" customWidth="1"/>
    <col min="10" max="10" width="9.42578125" bestFit="1" customWidth="1"/>
    <col min="11" max="13" width="9.28515625" bestFit="1" customWidth="1"/>
    <col min="21" max="21" width="11.28515625" customWidth="1"/>
    <col min="22" max="22" width="10.140625" bestFit="1" customWidth="1"/>
  </cols>
  <sheetData>
    <row r="1" spans="1:23" x14ac:dyDescent="0.2">
      <c r="A1" t="s">
        <v>829</v>
      </c>
    </row>
    <row r="2" spans="1:23" x14ac:dyDescent="0.2">
      <c r="A2" t="s">
        <v>830</v>
      </c>
      <c r="U2" s="59"/>
      <c r="V2" s="28"/>
      <c r="W2" s="28"/>
    </row>
    <row r="3" spans="1:23" x14ac:dyDescent="0.2">
      <c r="A3" t="s">
        <v>831</v>
      </c>
      <c r="U3" s="59"/>
      <c r="V3" s="28">
        <f>COUNT(#REF!)</f>
        <v>0</v>
      </c>
      <c r="W3" s="28"/>
    </row>
    <row r="4" spans="1:23" x14ac:dyDescent="0.2">
      <c r="A4" t="s">
        <v>832</v>
      </c>
      <c r="U4" s="59"/>
      <c r="V4" s="28">
        <f>'Size, Schedule and Effort'!Z1-1</f>
        <v>2</v>
      </c>
      <c r="W4" s="28"/>
    </row>
    <row r="5" spans="1:23" x14ac:dyDescent="0.2">
      <c r="I5">
        <f>COUNTA('Size, Schedule and Effort'!A:A)-1</f>
        <v>7</v>
      </c>
      <c r="J5">
        <f t="array" ref="J5">MAX(IF('Quality of Work'!E19:E120&lt;&gt;"",ROW('Quality of Work'!E19:E120),0))</f>
        <v>23</v>
      </c>
      <c r="K5">
        <f>COUNT(#REF!)</f>
        <v>0</v>
      </c>
      <c r="L5">
        <f>COUNT(#REF!)</f>
        <v>0</v>
      </c>
      <c r="M5">
        <f>COUNT('Verification Summary'!Q9:Q24)</f>
        <v>6</v>
      </c>
      <c r="U5" s="59"/>
      <c r="V5" s="28"/>
      <c r="W5" s="28"/>
    </row>
    <row r="6" spans="1:23" x14ac:dyDescent="0.2">
      <c r="U6" s="59"/>
      <c r="V6" s="28"/>
      <c r="W6" s="28"/>
    </row>
    <row r="7" spans="1:23" x14ac:dyDescent="0.2">
      <c r="V7" s="28"/>
      <c r="W7" s="28"/>
    </row>
    <row r="8" spans="1:23" x14ac:dyDescent="0.2">
      <c r="V8" s="28"/>
      <c r="W8" s="28"/>
    </row>
    <row r="9" spans="1:23" x14ac:dyDescent="0.2">
      <c r="V9" s="28"/>
      <c r="W9" s="28"/>
    </row>
    <row r="10" spans="1:23" x14ac:dyDescent="0.2">
      <c r="V10" s="28"/>
      <c r="W10" s="28"/>
    </row>
    <row r="88" spans="23:24" x14ac:dyDescent="0.2">
      <c r="W88" s="28"/>
      <c r="X88" s="28"/>
    </row>
    <row r="89" spans="23:24" x14ac:dyDescent="0.2">
      <c r="W89" s="28"/>
      <c r="X89" s="28"/>
    </row>
    <row r="90" spans="23:24" x14ac:dyDescent="0.2">
      <c r="W90" s="28"/>
      <c r="X90" s="28"/>
    </row>
    <row r="91" spans="23:24" x14ac:dyDescent="0.2">
      <c r="W91" s="28"/>
      <c r="X91" s="28"/>
    </row>
    <row r="92" spans="23:24" x14ac:dyDescent="0.2">
      <c r="W92" s="28" t="e">
        <f>COUNTA(#REF!)-COUNTBLANK(#REF!)</f>
        <v>#REF!</v>
      </c>
      <c r="X92" s="28"/>
    </row>
    <row r="93" spans="23:24" x14ac:dyDescent="0.2">
      <c r="W93" s="28"/>
      <c r="X93" s="28"/>
    </row>
    <row r="94" spans="23:24" x14ac:dyDescent="0.2">
      <c r="W94" s="28"/>
      <c r="X94" s="28"/>
    </row>
  </sheetData>
  <phoneticPr fontId="0" type="noConversion"/>
  <pageMargins left="0.75" right="0.75" top="1" bottom="1" header="0.5" footer="0.5"/>
  <pageSetup paperSize="9" scale="95" orientation="landscape" r:id="rId1"/>
  <headerFooter alignWithMargins="0">
    <oddFooter>&amp;R&amp;P of &amp;N</oddFooter>
  </headerFooter>
  <rowBreaks count="2" manualBreakCount="2">
    <brk id="54" max="21" man="1"/>
    <brk id="118" max="21" man="1"/>
  </rowBreaks>
  <colBreaks count="1" manualBreakCount="1">
    <brk id="22" max="1048575" man="1"/>
  </colBreaks>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sheetPr>
  <dimension ref="A1:V52"/>
  <sheetViews>
    <sheetView topLeftCell="A10" workbookViewId="0">
      <selection activeCell="H3" sqref="H3"/>
    </sheetView>
  </sheetViews>
  <sheetFormatPr defaultColWidth="9.140625" defaultRowHeight="12.75" x14ac:dyDescent="0.2"/>
  <cols>
    <col min="1" max="1" width="35.42578125" style="127" customWidth="1"/>
    <col min="2" max="2" width="13.7109375" style="127" customWidth="1"/>
    <col min="3" max="3" width="16.7109375" style="127" customWidth="1"/>
    <col min="4" max="4" width="16.140625" style="127" customWidth="1"/>
    <col min="5" max="5" width="17.140625" style="127" customWidth="1"/>
    <col min="6" max="6" width="16.140625" style="127" customWidth="1"/>
    <col min="7" max="7" width="14.5703125" style="127" customWidth="1"/>
    <col min="8" max="8" width="12.5703125" style="127" bestFit="1" customWidth="1"/>
    <col min="9" max="9" width="12.7109375" style="127" customWidth="1"/>
    <col min="10" max="10" width="9.42578125" style="127" customWidth="1"/>
    <col min="11" max="12" width="11.85546875" style="127" customWidth="1"/>
    <col min="13" max="13" width="19.85546875" style="127" customWidth="1"/>
    <col min="14" max="14" width="12.5703125" style="127" customWidth="1"/>
    <col min="15" max="15" width="19.5703125" style="127" customWidth="1"/>
    <col min="16" max="16" width="13.5703125" style="127" customWidth="1"/>
    <col min="17" max="17" width="13.28515625" style="127" customWidth="1"/>
    <col min="18" max="18" width="12.85546875" style="127" customWidth="1"/>
    <col min="19" max="19" width="14.42578125" style="127" customWidth="1"/>
    <col min="20" max="20" width="9.140625" style="127"/>
    <col min="21" max="21" width="6.140625" style="127" customWidth="1"/>
    <col min="22" max="22" width="33.5703125" style="127" customWidth="1"/>
    <col min="23" max="16384" width="9.140625" style="127"/>
  </cols>
  <sheetData>
    <row r="1" spans="1:20" ht="20.25" x14ac:dyDescent="0.2">
      <c r="A1" s="514" t="s">
        <v>833</v>
      </c>
      <c r="B1" s="515"/>
      <c r="C1" s="515"/>
      <c r="D1" s="515"/>
      <c r="E1" s="515"/>
      <c r="F1" s="515"/>
      <c r="G1" s="515"/>
      <c r="H1" s="515"/>
      <c r="I1" s="515"/>
      <c r="J1" s="515"/>
      <c r="K1" s="515"/>
      <c r="L1" s="334"/>
      <c r="M1" s="334"/>
      <c r="N1" s="334"/>
      <c r="O1" s="334"/>
      <c r="P1" s="334"/>
      <c r="Q1" s="334"/>
      <c r="R1" s="334"/>
      <c r="S1" s="334"/>
      <c r="T1" s="334"/>
    </row>
    <row r="2" spans="1:20" ht="27.75" customHeight="1" x14ac:dyDescent="0.2">
      <c r="A2" s="129" t="s">
        <v>834</v>
      </c>
      <c r="B2" s="132" t="str">
        <f>IF(H28=0,"",G47/H28)</f>
        <v/>
      </c>
      <c r="C2" s="153" t="s">
        <v>835</v>
      </c>
      <c r="D2" s="153" t="s">
        <v>836</v>
      </c>
      <c r="E2" s="153" t="s">
        <v>835</v>
      </c>
      <c r="F2" s="153" t="s">
        <v>836</v>
      </c>
      <c r="G2" s="153" t="s">
        <v>835</v>
      </c>
      <c r="H2" s="153" t="s">
        <v>836</v>
      </c>
      <c r="I2" s="516" t="s">
        <v>837</v>
      </c>
      <c r="J2" s="517"/>
      <c r="K2" s="165">
        <f>'Project Info'!B12</f>
        <v>0</v>
      </c>
      <c r="L2" s="334"/>
      <c r="M2" s="334"/>
      <c r="N2" s="334"/>
      <c r="O2" s="334"/>
      <c r="P2" s="334"/>
      <c r="Q2" s="334"/>
      <c r="R2" s="334"/>
      <c r="S2" s="334"/>
      <c r="T2" s="334"/>
    </row>
    <row r="3" spans="1:20" ht="25.5" x14ac:dyDescent="0.2">
      <c r="A3" s="174" t="s">
        <v>838</v>
      </c>
      <c r="B3" s="132" t="str">
        <f>IF(I28=0,"",G47/I28)</f>
        <v/>
      </c>
      <c r="C3" s="156" t="s">
        <v>839</v>
      </c>
      <c r="D3" s="155">
        <f>COUNTIF(Resources!$F$18:$F$86,C3)</f>
        <v>0</v>
      </c>
      <c r="E3" s="156" t="s">
        <v>840</v>
      </c>
      <c r="F3" s="155">
        <f>COUNTIF(Resources!$F$18:$F$86,E3)</f>
        <v>0</v>
      </c>
      <c r="G3" s="156" t="s">
        <v>841</v>
      </c>
      <c r="H3" s="155">
        <f>COUNTIF(Resources!$F$18:$F$86,G3)</f>
        <v>0</v>
      </c>
      <c r="I3" s="516" t="s">
        <v>842</v>
      </c>
      <c r="J3" s="517"/>
      <c r="K3" s="165">
        <f>'Project Info'!D12</f>
        <v>0</v>
      </c>
      <c r="L3" s="334"/>
      <c r="M3" s="334"/>
      <c r="N3" s="334"/>
      <c r="O3" s="334"/>
      <c r="P3" s="334"/>
      <c r="Q3" s="334"/>
      <c r="R3" s="334"/>
      <c r="S3" s="334"/>
      <c r="T3" s="334"/>
    </row>
    <row r="4" spans="1:20" ht="21" customHeight="1" x14ac:dyDescent="0.2">
      <c r="A4" s="174" t="s">
        <v>843</v>
      </c>
      <c r="B4" s="132">
        <f>SUMIF(Resources!$P$18:$P$86,"Available ",Resources!$Q$18:$Q$86)</f>
        <v>0</v>
      </c>
      <c r="C4" s="156" t="s">
        <v>844</v>
      </c>
      <c r="D4" s="155">
        <f>COUNTIF(Resources!$F$18:$F$86,C4)</f>
        <v>0</v>
      </c>
      <c r="E4" s="156" t="s">
        <v>845</v>
      </c>
      <c r="F4" s="155">
        <f>COUNTIF(Resources!$F$18:$F$86,E4)</f>
        <v>0</v>
      </c>
      <c r="G4" s="156" t="s">
        <v>846</v>
      </c>
      <c r="H4" s="155">
        <f>COUNTIF(Resources!$F$18:$F$86,G4)</f>
        <v>0</v>
      </c>
      <c r="I4" s="516" t="s">
        <v>847</v>
      </c>
      <c r="J4" s="517"/>
      <c r="K4" s="164"/>
      <c r="L4" s="334"/>
      <c r="M4" s="334"/>
      <c r="N4" s="334"/>
      <c r="O4" s="334"/>
      <c r="P4" s="334"/>
      <c r="Q4" s="334"/>
      <c r="R4" s="334"/>
      <c r="S4" s="334"/>
      <c r="T4" s="334"/>
    </row>
    <row r="5" spans="1:20" ht="22.5" customHeight="1" x14ac:dyDescent="0.2">
      <c r="A5" s="174" t="s">
        <v>848</v>
      </c>
      <c r="B5" s="132">
        <f>SUMIF(Resources!$P$18:$P$86,"Resigned",Resources!$R$18:$R$86)</f>
        <v>0</v>
      </c>
      <c r="C5" s="156" t="s">
        <v>849</v>
      </c>
      <c r="D5" s="155">
        <f>COUNTIF(Resources!$F$18:$F$86,C5)</f>
        <v>0</v>
      </c>
      <c r="E5" s="156" t="s">
        <v>850</v>
      </c>
      <c r="F5" s="155">
        <f>COUNTIF(Resources!$F$18:$F$86,E5)</f>
        <v>0</v>
      </c>
      <c r="G5" s="156"/>
      <c r="H5" s="155">
        <f>COUNTIF(Resources!$F$18:$F$86,G5)</f>
        <v>0</v>
      </c>
      <c r="I5" s="334"/>
      <c r="J5" s="334"/>
      <c r="K5" s="335"/>
      <c r="L5" s="336"/>
      <c r="M5" s="334"/>
      <c r="N5" s="334"/>
      <c r="O5" s="334"/>
      <c r="P5" s="334"/>
      <c r="Q5" s="334"/>
      <c r="R5" s="334"/>
      <c r="S5" s="334"/>
      <c r="T5" s="334"/>
    </row>
    <row r="6" spans="1:20" ht="30.75" customHeight="1" x14ac:dyDescent="0.2">
      <c r="A6" s="172" t="s">
        <v>851</v>
      </c>
      <c r="B6" s="132">
        <f>SUMIF(Resources!$P$18:$P$86,"Not Available",Resources!$S$18:$S$86)</f>
        <v>0</v>
      </c>
      <c r="C6" s="156" t="s">
        <v>852</v>
      </c>
      <c r="D6" s="155">
        <f>COUNTIF(Resources!$F$18:$F$86,C6)</f>
        <v>0</v>
      </c>
      <c r="E6" s="156" t="s">
        <v>853</v>
      </c>
      <c r="F6" s="155">
        <f>COUNTIF(Resources!$F$18:$F$86,E6)</f>
        <v>0</v>
      </c>
      <c r="G6" s="156"/>
      <c r="H6" s="155">
        <f>COUNTIF(Resources!$F$18:$F$86,G6)</f>
        <v>0</v>
      </c>
      <c r="I6" s="334"/>
      <c r="J6" s="334"/>
      <c r="K6" s="335"/>
      <c r="L6" s="336"/>
      <c r="M6" s="334"/>
      <c r="N6" s="334"/>
      <c r="O6" s="334"/>
      <c r="P6" s="334"/>
      <c r="Q6" s="334"/>
      <c r="R6" s="334"/>
      <c r="S6" s="334"/>
      <c r="T6" s="334"/>
    </row>
    <row r="8" spans="1:20" x14ac:dyDescent="0.2">
      <c r="A8" s="334"/>
      <c r="B8" s="505" t="s">
        <v>854</v>
      </c>
      <c r="C8" s="506"/>
      <c r="D8" s="506"/>
      <c r="E8" s="506"/>
      <c r="F8" s="506"/>
      <c r="G8" s="506"/>
      <c r="H8" s="507"/>
      <c r="I8" s="334"/>
      <c r="J8" s="334"/>
      <c r="K8" s="334"/>
      <c r="L8" s="334"/>
      <c r="M8" s="334"/>
      <c r="N8" s="334"/>
      <c r="O8" s="334"/>
      <c r="P8" s="334"/>
      <c r="Q8" s="334"/>
      <c r="R8" s="334"/>
      <c r="S8" s="334"/>
      <c r="T8" s="334"/>
    </row>
    <row r="9" spans="1:20" x14ac:dyDescent="0.2">
      <c r="A9" s="334"/>
      <c r="B9" s="508"/>
      <c r="C9" s="509"/>
      <c r="D9" s="509"/>
      <c r="E9" s="509"/>
      <c r="F9" s="509"/>
      <c r="G9" s="509"/>
      <c r="H9" s="510"/>
      <c r="I9" s="334"/>
      <c r="J9" s="334"/>
      <c r="K9" s="334"/>
      <c r="L9" s="334"/>
      <c r="M9" s="334"/>
      <c r="N9" s="334"/>
      <c r="O9" s="334"/>
      <c r="P9" s="334"/>
      <c r="Q9" s="334"/>
      <c r="R9" s="334"/>
      <c r="S9" s="334"/>
      <c r="T9" s="334"/>
    </row>
    <row r="10" spans="1:20" x14ac:dyDescent="0.2">
      <c r="A10" s="334"/>
      <c r="B10" s="511"/>
      <c r="C10" s="512"/>
      <c r="D10" s="512"/>
      <c r="E10" s="512"/>
      <c r="F10" s="512"/>
      <c r="G10" s="512"/>
      <c r="H10" s="513"/>
      <c r="I10" s="334"/>
      <c r="J10" s="334"/>
      <c r="K10" s="334"/>
      <c r="L10" s="334"/>
      <c r="M10" s="334"/>
      <c r="N10" s="334"/>
      <c r="O10" s="334"/>
      <c r="P10" s="334"/>
      <c r="Q10" s="334"/>
      <c r="R10" s="334"/>
      <c r="S10" s="334"/>
      <c r="T10" s="334"/>
    </row>
    <row r="13" spans="1:20" ht="20.25" x14ac:dyDescent="0.2">
      <c r="A13" s="470" t="s">
        <v>855</v>
      </c>
      <c r="B13" s="471"/>
      <c r="C13" s="471"/>
      <c r="D13" s="471"/>
      <c r="E13" s="471"/>
      <c r="F13" s="471"/>
      <c r="G13" s="471"/>
      <c r="H13" s="471"/>
      <c r="I13" s="471"/>
      <c r="J13" s="471"/>
      <c r="K13" s="471"/>
      <c r="L13" s="471"/>
      <c r="M13" s="471"/>
      <c r="N13" s="471"/>
      <c r="O13" s="471"/>
      <c r="P13" s="471"/>
      <c r="Q13" s="471"/>
      <c r="R13" s="471"/>
      <c r="S13" s="472"/>
      <c r="T13" s="334"/>
    </row>
    <row r="14" spans="1:20" s="474" customFormat="1" ht="20.25" x14ac:dyDescent="0.2">
      <c r="A14" s="473"/>
      <c r="B14" s="473"/>
      <c r="C14" s="473"/>
      <c r="D14" s="473"/>
      <c r="E14" s="473"/>
      <c r="F14" s="473"/>
      <c r="G14" s="473"/>
      <c r="H14" s="473"/>
      <c r="I14" s="473"/>
      <c r="J14" s="473"/>
      <c r="K14" s="473"/>
      <c r="L14" s="473"/>
      <c r="M14" s="473"/>
      <c r="N14" s="473"/>
      <c r="O14" s="473"/>
      <c r="P14" s="473"/>
      <c r="Q14" s="473"/>
      <c r="R14" s="473"/>
      <c r="S14" s="473"/>
      <c r="T14" s="473"/>
    </row>
    <row r="15" spans="1:20" ht="20.25" x14ac:dyDescent="0.2">
      <c r="A15" s="475" t="s">
        <v>856</v>
      </c>
      <c r="B15" s="478" t="s">
        <v>857</v>
      </c>
      <c r="C15" s="479"/>
      <c r="D15" s="479"/>
      <c r="E15" s="479"/>
      <c r="F15" s="479"/>
      <c r="G15" s="479"/>
      <c r="H15" s="479"/>
      <c r="I15" s="479"/>
      <c r="J15" s="480"/>
      <c r="K15" s="481" t="s">
        <v>858</v>
      </c>
      <c r="L15" s="482"/>
      <c r="M15" s="482"/>
      <c r="N15" s="482"/>
      <c r="O15" s="482"/>
      <c r="P15" s="482"/>
      <c r="Q15" s="482"/>
      <c r="R15" s="482"/>
      <c r="S15" s="483"/>
      <c r="T15" s="334"/>
    </row>
    <row r="16" spans="1:20" ht="12.75" customHeight="1" x14ac:dyDescent="0.2">
      <c r="A16" s="476"/>
      <c r="B16" s="484" t="s">
        <v>859</v>
      </c>
      <c r="C16" s="485"/>
      <c r="D16" s="486"/>
      <c r="E16" s="484" t="s">
        <v>860</v>
      </c>
      <c r="F16" s="485"/>
      <c r="G16" s="486"/>
      <c r="H16" s="484" t="s">
        <v>861</v>
      </c>
      <c r="I16" s="485"/>
      <c r="J16" s="487"/>
      <c r="K16" s="488" t="s">
        <v>859</v>
      </c>
      <c r="L16" s="485"/>
      <c r="M16" s="486"/>
      <c r="N16" s="484" t="s">
        <v>860</v>
      </c>
      <c r="O16" s="485"/>
      <c r="P16" s="486"/>
      <c r="Q16" s="484" t="s">
        <v>861</v>
      </c>
      <c r="R16" s="485"/>
      <c r="S16" s="487"/>
      <c r="T16" s="334"/>
    </row>
    <row r="17" spans="1:20" ht="25.5" x14ac:dyDescent="0.2">
      <c r="A17" s="477"/>
      <c r="B17" s="175" t="s">
        <v>862</v>
      </c>
      <c r="C17" s="175" t="s">
        <v>863</v>
      </c>
      <c r="D17" s="175" t="s">
        <v>864</v>
      </c>
      <c r="E17" s="175" t="s">
        <v>862</v>
      </c>
      <c r="F17" s="175" t="s">
        <v>863</v>
      </c>
      <c r="G17" s="175" t="s">
        <v>864</v>
      </c>
      <c r="H17" s="175" t="s">
        <v>862</v>
      </c>
      <c r="I17" s="175" t="s">
        <v>865</v>
      </c>
      <c r="J17" s="130" t="s">
        <v>864</v>
      </c>
      <c r="K17" s="175" t="s">
        <v>862</v>
      </c>
      <c r="L17" s="175" t="s">
        <v>863</v>
      </c>
      <c r="M17" s="175" t="s">
        <v>864</v>
      </c>
      <c r="N17" s="175" t="s">
        <v>862</v>
      </c>
      <c r="O17" s="175" t="s">
        <v>863</v>
      </c>
      <c r="P17" s="175" t="s">
        <v>864</v>
      </c>
      <c r="Q17" s="175" t="s">
        <v>862</v>
      </c>
      <c r="R17" s="175" t="s">
        <v>865</v>
      </c>
      <c r="S17" s="130" t="s">
        <v>864</v>
      </c>
      <c r="T17" s="334"/>
    </row>
    <row r="18" spans="1:20" ht="19.5" customHeight="1" x14ac:dyDescent="0.2">
      <c r="A18" s="174" t="s">
        <v>866</v>
      </c>
      <c r="B18" s="131"/>
      <c r="C18" s="131"/>
      <c r="D18" s="132">
        <f>IF(B18=0,0,((B18-C18)/B18)*100)</f>
        <v>0</v>
      </c>
      <c r="E18" s="132">
        <f>Resources!G4</f>
        <v>0</v>
      </c>
      <c r="F18" s="132">
        <f>Resources!I4</f>
        <v>0</v>
      </c>
      <c r="G18" s="132">
        <f t="shared" ref="E18:H18" si="0">IF(E18=0,0,((E18-F18)/E18)*100)</f>
        <v>0</v>
      </c>
      <c r="H18" s="132">
        <f t="shared" ref="H18:H27" si="1">E18+B18</f>
        <v>0</v>
      </c>
      <c r="I18" s="132">
        <f t="shared" ref="I18:I27" si="2">C18+F18</f>
        <v>0</v>
      </c>
      <c r="J18" s="133">
        <f t="shared" ref="J18:J27" si="3">IF(H18=0,0,((H18-I18)/H18)*100)</f>
        <v>0</v>
      </c>
      <c r="K18" s="131">
        <v>0</v>
      </c>
      <c r="L18" s="131">
        <v>0</v>
      </c>
      <c r="M18" s="132">
        <f>IF(K18=0,0,((K18-L18)/K18)*100)</f>
        <v>0</v>
      </c>
      <c r="N18" s="132">
        <f>Resources!L4</f>
        <v>0</v>
      </c>
      <c r="O18" s="132">
        <f>Resources!N4</f>
        <v>0</v>
      </c>
      <c r="P18" s="132">
        <f>IF(N18=0,0,((N18-O18)/N18)*100)</f>
        <v>0</v>
      </c>
      <c r="Q18" s="132">
        <f t="shared" ref="Q18:Q27" si="4">N18+K18</f>
        <v>0</v>
      </c>
      <c r="R18" s="132">
        <f t="shared" ref="R18:R27" si="5">L18+O18</f>
        <v>0</v>
      </c>
      <c r="S18" s="132">
        <f t="shared" ref="S18:S27" si="6">IF(Q18=0,0,((Q18-R18)/Q18)*100)</f>
        <v>0</v>
      </c>
      <c r="T18" s="334"/>
    </row>
    <row r="19" spans="1:20" ht="18.75" customHeight="1" x14ac:dyDescent="0.2">
      <c r="A19" s="174" t="s">
        <v>867</v>
      </c>
      <c r="B19" s="131"/>
      <c r="C19" s="131"/>
      <c r="D19" s="132">
        <f t="shared" ref="D19:D27" si="7">IF(B19=0,0,((B19-C19)/B19)*100)</f>
        <v>0</v>
      </c>
      <c r="E19" s="132">
        <f>Resources!G5</f>
        <v>0</v>
      </c>
      <c r="F19" s="132">
        <f>Resources!I5</f>
        <v>0</v>
      </c>
      <c r="G19" s="132">
        <f t="shared" ref="G19:G27" si="8">IF(E19=0,0,((E19-F19)/E19)*100)</f>
        <v>0</v>
      </c>
      <c r="H19" s="132">
        <f t="shared" si="1"/>
        <v>0</v>
      </c>
      <c r="I19" s="132">
        <f t="shared" si="2"/>
        <v>0</v>
      </c>
      <c r="J19" s="133">
        <f t="shared" si="3"/>
        <v>0</v>
      </c>
      <c r="K19" s="131">
        <v>0</v>
      </c>
      <c r="L19" s="131">
        <v>0</v>
      </c>
      <c r="M19" s="132">
        <f t="shared" ref="M19:M27" si="9">IF(K19=0,0,((K19-L19)/K19)*100)</f>
        <v>0</v>
      </c>
      <c r="N19" s="132">
        <f>Resources!L5</f>
        <v>0</v>
      </c>
      <c r="O19" s="132">
        <f>Resources!N5</f>
        <v>0</v>
      </c>
      <c r="P19" s="132">
        <f t="shared" ref="P19:P27" si="10">IF(N19=0,0,((N19-O19)/N19)*100)</f>
        <v>0</v>
      </c>
      <c r="Q19" s="132">
        <f t="shared" si="4"/>
        <v>0</v>
      </c>
      <c r="R19" s="132">
        <f t="shared" si="5"/>
        <v>0</v>
      </c>
      <c r="S19" s="132">
        <f t="shared" si="6"/>
        <v>0</v>
      </c>
      <c r="T19" s="334"/>
    </row>
    <row r="20" spans="1:20" ht="18" customHeight="1" x14ac:dyDescent="0.2">
      <c r="A20" s="174" t="s">
        <v>868</v>
      </c>
      <c r="B20" s="131"/>
      <c r="C20" s="131"/>
      <c r="D20" s="132">
        <f t="shared" si="7"/>
        <v>0</v>
      </c>
      <c r="E20" s="132">
        <f>Resources!G6</f>
        <v>0</v>
      </c>
      <c r="F20" s="132">
        <f>Resources!I6</f>
        <v>0</v>
      </c>
      <c r="G20" s="132">
        <f t="shared" si="8"/>
        <v>0</v>
      </c>
      <c r="H20" s="132">
        <f t="shared" si="1"/>
        <v>0</v>
      </c>
      <c r="I20" s="132">
        <f t="shared" si="2"/>
        <v>0</v>
      </c>
      <c r="J20" s="133">
        <f t="shared" si="3"/>
        <v>0</v>
      </c>
      <c r="K20" s="131">
        <v>0</v>
      </c>
      <c r="L20" s="131">
        <v>0</v>
      </c>
      <c r="M20" s="132">
        <f t="shared" si="9"/>
        <v>0</v>
      </c>
      <c r="N20" s="132">
        <f>Resources!L6</f>
        <v>0</v>
      </c>
      <c r="O20" s="132">
        <f>Resources!N6</f>
        <v>0</v>
      </c>
      <c r="P20" s="132">
        <f t="shared" si="10"/>
        <v>0</v>
      </c>
      <c r="Q20" s="132">
        <f t="shared" si="4"/>
        <v>0</v>
      </c>
      <c r="R20" s="132">
        <f t="shared" si="5"/>
        <v>0</v>
      </c>
      <c r="S20" s="132">
        <f t="shared" si="6"/>
        <v>0</v>
      </c>
      <c r="T20" s="334"/>
    </row>
    <row r="21" spans="1:20" ht="18" customHeight="1" x14ac:dyDescent="0.2">
      <c r="A21" s="174" t="s">
        <v>869</v>
      </c>
      <c r="B21" s="131"/>
      <c r="C21" s="131"/>
      <c r="D21" s="132">
        <f t="shared" si="7"/>
        <v>0</v>
      </c>
      <c r="E21" s="132">
        <f>Resources!G7</f>
        <v>0</v>
      </c>
      <c r="F21" s="132">
        <f>Resources!I7</f>
        <v>0</v>
      </c>
      <c r="G21" s="132">
        <f t="shared" si="8"/>
        <v>0</v>
      </c>
      <c r="H21" s="132">
        <f t="shared" si="1"/>
        <v>0</v>
      </c>
      <c r="I21" s="132">
        <f t="shared" si="2"/>
        <v>0</v>
      </c>
      <c r="J21" s="133">
        <f t="shared" si="3"/>
        <v>0</v>
      </c>
      <c r="K21" s="131">
        <v>0</v>
      </c>
      <c r="L21" s="131">
        <v>0</v>
      </c>
      <c r="M21" s="132">
        <f t="shared" si="9"/>
        <v>0</v>
      </c>
      <c r="N21" s="132">
        <f>Resources!L7</f>
        <v>0</v>
      </c>
      <c r="O21" s="132">
        <f>Resources!N7</f>
        <v>0</v>
      </c>
      <c r="P21" s="132">
        <f t="shared" si="10"/>
        <v>0</v>
      </c>
      <c r="Q21" s="132">
        <f t="shared" si="4"/>
        <v>0</v>
      </c>
      <c r="R21" s="132">
        <f t="shared" si="5"/>
        <v>0</v>
      </c>
      <c r="S21" s="132">
        <f t="shared" si="6"/>
        <v>0</v>
      </c>
      <c r="T21" s="334"/>
    </row>
    <row r="22" spans="1:20" ht="18" customHeight="1" x14ac:dyDescent="0.2">
      <c r="A22" s="174" t="s">
        <v>870</v>
      </c>
      <c r="B22" s="131"/>
      <c r="C22" s="131"/>
      <c r="D22" s="132">
        <f t="shared" si="7"/>
        <v>0</v>
      </c>
      <c r="E22" s="132">
        <f>Resources!G8</f>
        <v>0</v>
      </c>
      <c r="F22" s="132">
        <f>Resources!I8</f>
        <v>0</v>
      </c>
      <c r="G22" s="132">
        <f t="shared" si="8"/>
        <v>0</v>
      </c>
      <c r="H22" s="132">
        <f t="shared" si="1"/>
        <v>0</v>
      </c>
      <c r="I22" s="132">
        <f t="shared" si="2"/>
        <v>0</v>
      </c>
      <c r="J22" s="133">
        <f t="shared" si="3"/>
        <v>0</v>
      </c>
      <c r="K22" s="131">
        <v>0</v>
      </c>
      <c r="L22" s="131">
        <v>0</v>
      </c>
      <c r="M22" s="132">
        <f t="shared" si="9"/>
        <v>0</v>
      </c>
      <c r="N22" s="132">
        <f>Resources!L8</f>
        <v>0</v>
      </c>
      <c r="O22" s="132">
        <f>Resources!N8</f>
        <v>0</v>
      </c>
      <c r="P22" s="132">
        <f t="shared" si="10"/>
        <v>0</v>
      </c>
      <c r="Q22" s="132">
        <f t="shared" si="4"/>
        <v>0</v>
      </c>
      <c r="R22" s="132">
        <f t="shared" si="5"/>
        <v>0</v>
      </c>
      <c r="S22" s="132">
        <f t="shared" si="6"/>
        <v>0</v>
      </c>
      <c r="T22" s="334"/>
    </row>
    <row r="23" spans="1:20" ht="18.75" customHeight="1" x14ac:dyDescent="0.2">
      <c r="A23" s="174" t="s">
        <v>871</v>
      </c>
      <c r="B23" s="131"/>
      <c r="C23" s="131"/>
      <c r="D23" s="132">
        <f t="shared" si="7"/>
        <v>0</v>
      </c>
      <c r="E23" s="132">
        <f>Resources!G9</f>
        <v>0</v>
      </c>
      <c r="F23" s="132">
        <f>Resources!I9</f>
        <v>0</v>
      </c>
      <c r="G23" s="132">
        <f t="shared" si="8"/>
        <v>0</v>
      </c>
      <c r="H23" s="132">
        <f t="shared" si="1"/>
        <v>0</v>
      </c>
      <c r="I23" s="132">
        <f t="shared" si="2"/>
        <v>0</v>
      </c>
      <c r="J23" s="133">
        <f t="shared" si="3"/>
        <v>0</v>
      </c>
      <c r="K23" s="131">
        <v>0</v>
      </c>
      <c r="L23" s="131">
        <v>0</v>
      </c>
      <c r="M23" s="132">
        <f t="shared" si="9"/>
        <v>0</v>
      </c>
      <c r="N23" s="132">
        <f>Resources!L9</f>
        <v>0</v>
      </c>
      <c r="O23" s="132">
        <f>Resources!N9</f>
        <v>0</v>
      </c>
      <c r="P23" s="132">
        <f t="shared" si="10"/>
        <v>0</v>
      </c>
      <c r="Q23" s="132">
        <f t="shared" si="4"/>
        <v>0</v>
      </c>
      <c r="R23" s="132">
        <f t="shared" si="5"/>
        <v>0</v>
      </c>
      <c r="S23" s="132">
        <f t="shared" si="6"/>
        <v>0</v>
      </c>
      <c r="T23" s="334"/>
    </row>
    <row r="24" spans="1:20" ht="21" customHeight="1" x14ac:dyDescent="0.2">
      <c r="A24" s="134" t="s">
        <v>872</v>
      </c>
      <c r="B24" s="131"/>
      <c r="C24" s="131"/>
      <c r="D24" s="132">
        <f t="shared" si="7"/>
        <v>0</v>
      </c>
      <c r="E24" s="132">
        <f>Resources!G10</f>
        <v>0</v>
      </c>
      <c r="F24" s="132">
        <f>Resources!I10</f>
        <v>0</v>
      </c>
      <c r="G24" s="132">
        <f t="shared" si="8"/>
        <v>0</v>
      </c>
      <c r="H24" s="132">
        <f t="shared" si="1"/>
        <v>0</v>
      </c>
      <c r="I24" s="132">
        <f t="shared" si="2"/>
        <v>0</v>
      </c>
      <c r="J24" s="133">
        <f t="shared" si="3"/>
        <v>0</v>
      </c>
      <c r="K24" s="135">
        <v>0</v>
      </c>
      <c r="L24" s="135">
        <v>0</v>
      </c>
      <c r="M24" s="132">
        <f t="shared" si="9"/>
        <v>0</v>
      </c>
      <c r="N24" s="132">
        <f>Resources!L10</f>
        <v>0</v>
      </c>
      <c r="O24" s="132">
        <f>Resources!N10</f>
        <v>0</v>
      </c>
      <c r="P24" s="132">
        <f t="shared" si="10"/>
        <v>0</v>
      </c>
      <c r="Q24" s="132">
        <f t="shared" si="4"/>
        <v>0</v>
      </c>
      <c r="R24" s="132">
        <f t="shared" si="5"/>
        <v>0</v>
      </c>
      <c r="S24" s="132">
        <f t="shared" si="6"/>
        <v>0</v>
      </c>
      <c r="T24" s="334"/>
    </row>
    <row r="25" spans="1:20" ht="20.25" customHeight="1" x14ac:dyDescent="0.2">
      <c r="A25" s="134" t="s">
        <v>873</v>
      </c>
      <c r="B25" s="131"/>
      <c r="C25" s="131"/>
      <c r="D25" s="132">
        <f t="shared" si="7"/>
        <v>0</v>
      </c>
      <c r="E25" s="132">
        <f>Resources!G11</f>
        <v>0</v>
      </c>
      <c r="F25" s="132">
        <f>Resources!I11</f>
        <v>0</v>
      </c>
      <c r="G25" s="132">
        <f t="shared" si="8"/>
        <v>0</v>
      </c>
      <c r="H25" s="132">
        <f t="shared" si="1"/>
        <v>0</v>
      </c>
      <c r="I25" s="132">
        <f t="shared" si="2"/>
        <v>0</v>
      </c>
      <c r="J25" s="133">
        <f t="shared" si="3"/>
        <v>0</v>
      </c>
      <c r="K25" s="135">
        <v>0</v>
      </c>
      <c r="L25" s="135">
        <v>0</v>
      </c>
      <c r="M25" s="132">
        <f t="shared" si="9"/>
        <v>0</v>
      </c>
      <c r="N25" s="132">
        <f>Resources!L11</f>
        <v>0</v>
      </c>
      <c r="O25" s="132">
        <f>Resources!N11</f>
        <v>0</v>
      </c>
      <c r="P25" s="132">
        <f t="shared" si="10"/>
        <v>0</v>
      </c>
      <c r="Q25" s="132">
        <f t="shared" si="4"/>
        <v>0</v>
      </c>
      <c r="R25" s="132">
        <f t="shared" si="5"/>
        <v>0</v>
      </c>
      <c r="S25" s="132">
        <f t="shared" si="6"/>
        <v>0</v>
      </c>
      <c r="T25" s="334"/>
    </row>
    <row r="26" spans="1:20" ht="31.5" customHeight="1" x14ac:dyDescent="0.2">
      <c r="A26" s="134" t="s">
        <v>874</v>
      </c>
      <c r="B26" s="131"/>
      <c r="C26" s="131"/>
      <c r="D26" s="132">
        <f t="shared" si="7"/>
        <v>0</v>
      </c>
      <c r="E26" s="132">
        <f>Resources!G12</f>
        <v>0</v>
      </c>
      <c r="F26" s="132">
        <f>Resources!I12</f>
        <v>0</v>
      </c>
      <c r="G26" s="132">
        <f t="shared" si="8"/>
        <v>0</v>
      </c>
      <c r="H26" s="132">
        <f t="shared" si="1"/>
        <v>0</v>
      </c>
      <c r="I26" s="132">
        <f t="shared" si="2"/>
        <v>0</v>
      </c>
      <c r="J26" s="133">
        <f t="shared" si="3"/>
        <v>0</v>
      </c>
      <c r="K26" s="135">
        <v>0</v>
      </c>
      <c r="L26" s="135">
        <v>0</v>
      </c>
      <c r="M26" s="132">
        <f t="shared" si="9"/>
        <v>0</v>
      </c>
      <c r="N26" s="132">
        <f>Resources!L12</f>
        <v>0</v>
      </c>
      <c r="O26" s="132">
        <f>Resources!N12</f>
        <v>0</v>
      </c>
      <c r="P26" s="132">
        <f t="shared" si="10"/>
        <v>0</v>
      </c>
      <c r="Q26" s="132">
        <f t="shared" si="4"/>
        <v>0</v>
      </c>
      <c r="R26" s="132">
        <f t="shared" si="5"/>
        <v>0</v>
      </c>
      <c r="S26" s="132">
        <f t="shared" si="6"/>
        <v>0</v>
      </c>
      <c r="T26" s="334"/>
    </row>
    <row r="27" spans="1:20" ht="18" customHeight="1" x14ac:dyDescent="0.2">
      <c r="A27" s="134" t="s">
        <v>875</v>
      </c>
      <c r="B27" s="131"/>
      <c r="C27" s="131"/>
      <c r="D27" s="132">
        <f t="shared" si="7"/>
        <v>0</v>
      </c>
      <c r="E27" s="132">
        <f>Resources!G13</f>
        <v>0</v>
      </c>
      <c r="F27" s="132">
        <f>Resources!I13</f>
        <v>0</v>
      </c>
      <c r="G27" s="132">
        <f t="shared" si="8"/>
        <v>0</v>
      </c>
      <c r="H27" s="132">
        <f t="shared" si="1"/>
        <v>0</v>
      </c>
      <c r="I27" s="132">
        <f t="shared" si="2"/>
        <v>0</v>
      </c>
      <c r="J27" s="133">
        <f t="shared" si="3"/>
        <v>0</v>
      </c>
      <c r="K27" s="135">
        <v>0</v>
      </c>
      <c r="L27" s="135">
        <v>0</v>
      </c>
      <c r="M27" s="132">
        <f t="shared" si="9"/>
        <v>0</v>
      </c>
      <c r="N27" s="132">
        <f>Resources!L13</f>
        <v>0</v>
      </c>
      <c r="O27" s="132">
        <f>Resources!N13</f>
        <v>0</v>
      </c>
      <c r="P27" s="132">
        <f t="shared" si="10"/>
        <v>0</v>
      </c>
      <c r="Q27" s="132">
        <f t="shared" si="4"/>
        <v>0</v>
      </c>
      <c r="R27" s="132">
        <f t="shared" si="5"/>
        <v>0</v>
      </c>
      <c r="S27" s="132">
        <f t="shared" si="6"/>
        <v>0</v>
      </c>
      <c r="T27" s="334"/>
    </row>
    <row r="28" spans="1:20" s="128" customFormat="1" ht="18.75" customHeight="1" thickBot="1" x14ac:dyDescent="0.25">
      <c r="A28" s="172" t="s">
        <v>876</v>
      </c>
      <c r="B28" s="136">
        <f t="shared" ref="B28:J28" si="11">SUM(B18:B27)</f>
        <v>0</v>
      </c>
      <c r="C28" s="136">
        <f t="shared" si="11"/>
        <v>0</v>
      </c>
      <c r="D28" s="137">
        <f t="shared" si="11"/>
        <v>0</v>
      </c>
      <c r="E28" s="136">
        <f t="shared" si="11"/>
        <v>0</v>
      </c>
      <c r="F28" s="136">
        <f t="shared" si="11"/>
        <v>0</v>
      </c>
      <c r="G28" s="137">
        <f t="shared" si="11"/>
        <v>0</v>
      </c>
      <c r="H28" s="136">
        <f t="shared" si="11"/>
        <v>0</v>
      </c>
      <c r="I28" s="136">
        <f t="shared" si="11"/>
        <v>0</v>
      </c>
      <c r="J28" s="138">
        <f t="shared" si="11"/>
        <v>0</v>
      </c>
      <c r="K28" s="139">
        <f t="shared" ref="K28:S28" si="12">SUM(K18:K27)</f>
        <v>0</v>
      </c>
      <c r="L28" s="139">
        <f t="shared" si="12"/>
        <v>0</v>
      </c>
      <c r="M28" s="137">
        <f t="shared" si="12"/>
        <v>0</v>
      </c>
      <c r="N28" s="136">
        <f t="shared" si="12"/>
        <v>0</v>
      </c>
      <c r="O28" s="136">
        <f t="shared" si="12"/>
        <v>0</v>
      </c>
      <c r="P28" s="137">
        <f t="shared" si="12"/>
        <v>0</v>
      </c>
      <c r="Q28" s="136">
        <f t="shared" si="12"/>
        <v>0</v>
      </c>
      <c r="R28" s="136">
        <f t="shared" si="12"/>
        <v>0</v>
      </c>
      <c r="S28" s="137">
        <f t="shared" si="12"/>
        <v>0</v>
      </c>
      <c r="T28" s="335"/>
    </row>
    <row r="29" spans="1:20" s="128" customFormat="1" x14ac:dyDescent="0.2">
      <c r="A29" s="140"/>
      <c r="B29" s="141"/>
      <c r="C29" s="141"/>
      <c r="D29" s="141"/>
      <c r="E29" s="141"/>
      <c r="F29" s="141"/>
      <c r="G29" s="141"/>
      <c r="H29" s="141"/>
      <c r="I29" s="141"/>
      <c r="J29" s="141"/>
      <c r="K29" s="141"/>
      <c r="L29" s="141"/>
      <c r="M29" s="141"/>
      <c r="N29" s="141"/>
      <c r="O29" s="141"/>
      <c r="P29" s="141"/>
      <c r="Q29" s="141"/>
      <c r="R29" s="141"/>
      <c r="S29" s="141"/>
      <c r="T29" s="335"/>
    </row>
    <row r="30" spans="1:20" s="128" customFormat="1" ht="20.25" x14ac:dyDescent="0.2">
      <c r="A30" s="501" t="s">
        <v>877</v>
      </c>
      <c r="B30" s="478" t="s">
        <v>857</v>
      </c>
      <c r="C30" s="479"/>
      <c r="D30" s="479"/>
      <c r="E30" s="479"/>
      <c r="F30" s="479"/>
      <c r="G30" s="479"/>
      <c r="H30" s="479"/>
      <c r="I30" s="479"/>
      <c r="J30" s="480"/>
      <c r="K30" s="504" t="s">
        <v>858</v>
      </c>
      <c r="L30" s="482"/>
      <c r="M30" s="482"/>
      <c r="N30" s="482"/>
      <c r="O30" s="482"/>
      <c r="P30" s="482"/>
      <c r="Q30" s="482"/>
      <c r="R30" s="482"/>
      <c r="S30" s="483"/>
      <c r="T30" s="335"/>
    </row>
    <row r="31" spans="1:20" s="128" customFormat="1" x14ac:dyDescent="0.2">
      <c r="A31" s="502"/>
      <c r="B31" s="495" t="s">
        <v>859</v>
      </c>
      <c r="C31" s="495"/>
      <c r="D31" s="495"/>
      <c r="E31" s="495" t="s">
        <v>860</v>
      </c>
      <c r="F31" s="495"/>
      <c r="G31" s="495"/>
      <c r="H31" s="495" t="s">
        <v>861</v>
      </c>
      <c r="I31" s="495"/>
      <c r="J31" s="496"/>
      <c r="K31" s="495" t="s">
        <v>859</v>
      </c>
      <c r="L31" s="495"/>
      <c r="M31" s="495"/>
      <c r="N31" s="495" t="s">
        <v>860</v>
      </c>
      <c r="O31" s="495"/>
      <c r="P31" s="495"/>
      <c r="Q31" s="495" t="s">
        <v>861</v>
      </c>
      <c r="R31" s="495"/>
      <c r="S31" s="496"/>
      <c r="T31" s="335"/>
    </row>
    <row r="32" spans="1:20" s="128" customFormat="1" ht="25.5" x14ac:dyDescent="0.2">
      <c r="A32" s="503"/>
      <c r="B32" s="175" t="s">
        <v>862</v>
      </c>
      <c r="C32" s="175" t="s">
        <v>863</v>
      </c>
      <c r="D32" s="175" t="s">
        <v>864</v>
      </c>
      <c r="E32" s="175" t="s">
        <v>862</v>
      </c>
      <c r="F32" s="175" t="s">
        <v>863</v>
      </c>
      <c r="G32" s="175" t="s">
        <v>864</v>
      </c>
      <c r="H32" s="175" t="s">
        <v>862</v>
      </c>
      <c r="I32" s="175" t="s">
        <v>865</v>
      </c>
      <c r="J32" s="130" t="s">
        <v>864</v>
      </c>
      <c r="K32" s="175" t="s">
        <v>862</v>
      </c>
      <c r="L32" s="175" t="s">
        <v>863</v>
      </c>
      <c r="M32" s="175" t="s">
        <v>864</v>
      </c>
      <c r="N32" s="175" t="s">
        <v>862</v>
      </c>
      <c r="O32" s="175" t="s">
        <v>863</v>
      </c>
      <c r="P32" s="175" t="s">
        <v>864</v>
      </c>
      <c r="Q32" s="175" t="s">
        <v>862</v>
      </c>
      <c r="R32" s="175" t="s">
        <v>865</v>
      </c>
      <c r="S32" s="130" t="s">
        <v>864</v>
      </c>
      <c r="T32" s="335"/>
    </row>
    <row r="33" spans="1:20" s="128" customFormat="1" x14ac:dyDescent="0.2">
      <c r="A33" s="142" t="s">
        <v>839</v>
      </c>
      <c r="B33" s="131"/>
      <c r="C33" s="131"/>
      <c r="D33" s="132">
        <f>IF(B33=0,0,((B33-C33)/B33)*100)</f>
        <v>0</v>
      </c>
      <c r="E33" s="132">
        <f>Resources!Z4</f>
        <v>0</v>
      </c>
      <c r="F33" s="132">
        <f>Resources!AB4</f>
        <v>0</v>
      </c>
      <c r="G33" s="132">
        <f t="shared" ref="G33:G42" si="13">IF(E33=0,0,((E33-F33)/E33)*100)</f>
        <v>0</v>
      </c>
      <c r="H33" s="132">
        <f t="shared" ref="H33:H42" si="14">E33+B33</f>
        <v>0</v>
      </c>
      <c r="I33" s="132">
        <f t="shared" ref="I33:I42" si="15">C33+F33</f>
        <v>0</v>
      </c>
      <c r="J33" s="132">
        <f t="shared" ref="J33:J42" si="16">IF(H33=0,0,((H33-I33)/H33)*100)</f>
        <v>0</v>
      </c>
      <c r="K33" s="131">
        <v>0</v>
      </c>
      <c r="L33" s="131">
        <v>0</v>
      </c>
      <c r="M33" s="132">
        <f>IF(K33=0,0,((K33-L33)/K33)*100)</f>
        <v>0</v>
      </c>
      <c r="N33" s="132">
        <f>Resources!AE4</f>
        <v>0</v>
      </c>
      <c r="O33" s="132">
        <f>Resources!AG4</f>
        <v>0</v>
      </c>
      <c r="P33" s="132">
        <f>IF(N33=0,0,((N33-O33)/N33)*100)</f>
        <v>0</v>
      </c>
      <c r="Q33" s="132">
        <f t="shared" ref="Q33:Q42" si="17">N33+K33</f>
        <v>0</v>
      </c>
      <c r="R33" s="132">
        <f t="shared" ref="R33:R42" si="18">L33+O33</f>
        <v>0</v>
      </c>
      <c r="S33" s="132">
        <f t="shared" ref="S33:S42" si="19">IF(Q33=0,0,((Q33-R33)/Q33)*100)</f>
        <v>0</v>
      </c>
      <c r="T33" s="335"/>
    </row>
    <row r="34" spans="1:20" s="128" customFormat="1" x14ac:dyDescent="0.2">
      <c r="A34" s="142" t="s">
        <v>844</v>
      </c>
      <c r="B34" s="131"/>
      <c r="C34" s="131"/>
      <c r="D34" s="132">
        <f t="shared" ref="D34:D42" si="20">IF(B34=0,0,((B34-C34)/B34)*100)</f>
        <v>0</v>
      </c>
      <c r="E34" s="132">
        <f>Resources!Z5</f>
        <v>0</v>
      </c>
      <c r="F34" s="132">
        <f>Resources!AB5</f>
        <v>0</v>
      </c>
      <c r="G34" s="132">
        <f t="shared" si="13"/>
        <v>0</v>
      </c>
      <c r="H34" s="132">
        <f t="shared" si="14"/>
        <v>0</v>
      </c>
      <c r="I34" s="132">
        <f t="shared" si="15"/>
        <v>0</v>
      </c>
      <c r="J34" s="132">
        <f t="shared" si="16"/>
        <v>0</v>
      </c>
      <c r="K34" s="131">
        <v>0</v>
      </c>
      <c r="L34" s="131">
        <v>0</v>
      </c>
      <c r="M34" s="132">
        <f t="shared" ref="M34:M42" si="21">IF(K34=0,0,((K34-L34)/K34)*100)</f>
        <v>0</v>
      </c>
      <c r="N34" s="132">
        <f>Resources!AE5</f>
        <v>0</v>
      </c>
      <c r="O34" s="132">
        <f>Resources!AG5</f>
        <v>0</v>
      </c>
      <c r="P34" s="132">
        <f t="shared" ref="P34:P42" si="22">IF(N34=0,0,((N34-O34)/N34)*100)</f>
        <v>0</v>
      </c>
      <c r="Q34" s="132">
        <f t="shared" si="17"/>
        <v>0</v>
      </c>
      <c r="R34" s="132">
        <f t="shared" si="18"/>
        <v>0</v>
      </c>
      <c r="S34" s="132">
        <f t="shared" si="19"/>
        <v>0</v>
      </c>
      <c r="T34" s="335"/>
    </row>
    <row r="35" spans="1:20" s="128" customFormat="1" x14ac:dyDescent="0.2">
      <c r="A35" s="142" t="s">
        <v>849</v>
      </c>
      <c r="B35" s="131"/>
      <c r="C35" s="131"/>
      <c r="D35" s="132">
        <f t="shared" si="20"/>
        <v>0</v>
      </c>
      <c r="E35" s="132">
        <f>Resources!Z6</f>
        <v>0</v>
      </c>
      <c r="F35" s="132">
        <f>Resources!AB6</f>
        <v>0</v>
      </c>
      <c r="G35" s="132">
        <f t="shared" si="13"/>
        <v>0</v>
      </c>
      <c r="H35" s="132">
        <f t="shared" si="14"/>
        <v>0</v>
      </c>
      <c r="I35" s="132">
        <f t="shared" si="15"/>
        <v>0</v>
      </c>
      <c r="J35" s="132">
        <f t="shared" si="16"/>
        <v>0</v>
      </c>
      <c r="K35" s="131">
        <v>0</v>
      </c>
      <c r="L35" s="131">
        <v>0</v>
      </c>
      <c r="M35" s="132">
        <f t="shared" si="21"/>
        <v>0</v>
      </c>
      <c r="N35" s="132">
        <f>Resources!AE6</f>
        <v>0</v>
      </c>
      <c r="O35" s="132">
        <f>Resources!AG6</f>
        <v>0</v>
      </c>
      <c r="P35" s="132">
        <f t="shared" si="22"/>
        <v>0</v>
      </c>
      <c r="Q35" s="132">
        <f t="shared" si="17"/>
        <v>0</v>
      </c>
      <c r="R35" s="132">
        <f t="shared" si="18"/>
        <v>0</v>
      </c>
      <c r="S35" s="132">
        <f t="shared" si="19"/>
        <v>0</v>
      </c>
      <c r="T35" s="335"/>
    </row>
    <row r="36" spans="1:20" s="128" customFormat="1" x14ac:dyDescent="0.2">
      <c r="A36" s="142" t="s">
        <v>852</v>
      </c>
      <c r="B36" s="131"/>
      <c r="C36" s="131"/>
      <c r="D36" s="132">
        <f t="shared" si="20"/>
        <v>0</v>
      </c>
      <c r="E36" s="132">
        <f>Resources!Z7</f>
        <v>0</v>
      </c>
      <c r="F36" s="132">
        <f>Resources!AB7</f>
        <v>0</v>
      </c>
      <c r="G36" s="132">
        <f t="shared" si="13"/>
        <v>0</v>
      </c>
      <c r="H36" s="132">
        <f t="shared" si="14"/>
        <v>0</v>
      </c>
      <c r="I36" s="132">
        <f t="shared" si="15"/>
        <v>0</v>
      </c>
      <c r="J36" s="132">
        <f t="shared" si="16"/>
        <v>0</v>
      </c>
      <c r="K36" s="131">
        <v>0</v>
      </c>
      <c r="L36" s="131">
        <v>0</v>
      </c>
      <c r="M36" s="132">
        <f t="shared" si="21"/>
        <v>0</v>
      </c>
      <c r="N36" s="132">
        <f>Resources!AE7</f>
        <v>0</v>
      </c>
      <c r="O36" s="132">
        <f>Resources!AG7</f>
        <v>0</v>
      </c>
      <c r="P36" s="132">
        <f t="shared" si="22"/>
        <v>0</v>
      </c>
      <c r="Q36" s="132">
        <f t="shared" si="17"/>
        <v>0</v>
      </c>
      <c r="R36" s="132">
        <f t="shared" si="18"/>
        <v>0</v>
      </c>
      <c r="S36" s="132">
        <f t="shared" si="19"/>
        <v>0</v>
      </c>
      <c r="T36" s="335"/>
    </row>
    <row r="37" spans="1:20" s="128" customFormat="1" x14ac:dyDescent="0.2">
      <c r="A37" s="142" t="s">
        <v>840</v>
      </c>
      <c r="B37" s="131"/>
      <c r="C37" s="131"/>
      <c r="D37" s="132">
        <f t="shared" si="20"/>
        <v>0</v>
      </c>
      <c r="E37" s="132">
        <f>Resources!Z8</f>
        <v>0</v>
      </c>
      <c r="F37" s="132">
        <f>Resources!AB8</f>
        <v>0</v>
      </c>
      <c r="G37" s="132">
        <f t="shared" si="13"/>
        <v>0</v>
      </c>
      <c r="H37" s="132">
        <f t="shared" si="14"/>
        <v>0</v>
      </c>
      <c r="I37" s="132">
        <f t="shared" si="15"/>
        <v>0</v>
      </c>
      <c r="J37" s="132">
        <f t="shared" si="16"/>
        <v>0</v>
      </c>
      <c r="K37" s="131">
        <v>0</v>
      </c>
      <c r="L37" s="131">
        <v>0</v>
      </c>
      <c r="M37" s="132">
        <f t="shared" si="21"/>
        <v>0</v>
      </c>
      <c r="N37" s="132">
        <f>Resources!AE8</f>
        <v>0</v>
      </c>
      <c r="O37" s="132">
        <f>Resources!AG8</f>
        <v>0</v>
      </c>
      <c r="P37" s="132">
        <f t="shared" si="22"/>
        <v>0</v>
      </c>
      <c r="Q37" s="132">
        <f t="shared" si="17"/>
        <v>0</v>
      </c>
      <c r="R37" s="132">
        <f t="shared" si="18"/>
        <v>0</v>
      </c>
      <c r="S37" s="132">
        <f t="shared" si="19"/>
        <v>0</v>
      </c>
      <c r="T37" s="335"/>
    </row>
    <row r="38" spans="1:20" s="128" customFormat="1" x14ac:dyDescent="0.2">
      <c r="A38" s="142" t="s">
        <v>845</v>
      </c>
      <c r="B38" s="131"/>
      <c r="C38" s="131"/>
      <c r="D38" s="132">
        <f t="shared" si="20"/>
        <v>0</v>
      </c>
      <c r="E38" s="132">
        <f>Resources!Z9</f>
        <v>0</v>
      </c>
      <c r="F38" s="132">
        <f>Resources!AB9</f>
        <v>0</v>
      </c>
      <c r="G38" s="132">
        <f t="shared" si="13"/>
        <v>0</v>
      </c>
      <c r="H38" s="132">
        <f t="shared" si="14"/>
        <v>0</v>
      </c>
      <c r="I38" s="132">
        <f t="shared" si="15"/>
        <v>0</v>
      </c>
      <c r="J38" s="132">
        <f t="shared" si="16"/>
        <v>0</v>
      </c>
      <c r="K38" s="131">
        <v>0</v>
      </c>
      <c r="L38" s="131">
        <v>0</v>
      </c>
      <c r="M38" s="132">
        <f t="shared" si="21"/>
        <v>0</v>
      </c>
      <c r="N38" s="132">
        <f>Resources!AE9</f>
        <v>0</v>
      </c>
      <c r="O38" s="132">
        <f>Resources!AG9</f>
        <v>0</v>
      </c>
      <c r="P38" s="132">
        <f t="shared" si="22"/>
        <v>0</v>
      </c>
      <c r="Q38" s="132">
        <f t="shared" si="17"/>
        <v>0</v>
      </c>
      <c r="R38" s="132">
        <f t="shared" si="18"/>
        <v>0</v>
      </c>
      <c r="S38" s="132">
        <f t="shared" si="19"/>
        <v>0</v>
      </c>
      <c r="T38" s="335"/>
    </row>
    <row r="39" spans="1:20" s="128" customFormat="1" x14ac:dyDescent="0.2">
      <c r="A39" s="142" t="s">
        <v>850</v>
      </c>
      <c r="B39" s="131"/>
      <c r="C39" s="131"/>
      <c r="D39" s="132">
        <f t="shared" si="20"/>
        <v>0</v>
      </c>
      <c r="E39" s="132">
        <f>Resources!Z10</f>
        <v>0</v>
      </c>
      <c r="F39" s="132">
        <f>Resources!AB10</f>
        <v>0</v>
      </c>
      <c r="G39" s="132">
        <f t="shared" si="13"/>
        <v>0</v>
      </c>
      <c r="H39" s="132">
        <f t="shared" si="14"/>
        <v>0</v>
      </c>
      <c r="I39" s="132">
        <f t="shared" si="15"/>
        <v>0</v>
      </c>
      <c r="J39" s="132">
        <f t="shared" si="16"/>
        <v>0</v>
      </c>
      <c r="K39" s="135">
        <v>0</v>
      </c>
      <c r="L39" s="135">
        <v>0</v>
      </c>
      <c r="M39" s="132">
        <f t="shared" si="21"/>
        <v>0</v>
      </c>
      <c r="N39" s="132">
        <f>Resources!AE10</f>
        <v>0</v>
      </c>
      <c r="O39" s="132">
        <f>Resources!AG10</f>
        <v>0</v>
      </c>
      <c r="P39" s="132">
        <f t="shared" si="22"/>
        <v>0</v>
      </c>
      <c r="Q39" s="132">
        <f t="shared" si="17"/>
        <v>0</v>
      </c>
      <c r="R39" s="132">
        <f t="shared" si="18"/>
        <v>0</v>
      </c>
      <c r="S39" s="132">
        <f t="shared" si="19"/>
        <v>0</v>
      </c>
      <c r="T39" s="335"/>
    </row>
    <row r="40" spans="1:20" s="128" customFormat="1" x14ac:dyDescent="0.2">
      <c r="A40" s="142" t="s">
        <v>853</v>
      </c>
      <c r="B40" s="131"/>
      <c r="C40" s="131"/>
      <c r="D40" s="132">
        <f t="shared" si="20"/>
        <v>0</v>
      </c>
      <c r="E40" s="132">
        <f>Resources!Z11</f>
        <v>0</v>
      </c>
      <c r="F40" s="132">
        <f>Resources!AB11</f>
        <v>0</v>
      </c>
      <c r="G40" s="132">
        <f t="shared" si="13"/>
        <v>0</v>
      </c>
      <c r="H40" s="132">
        <f t="shared" si="14"/>
        <v>0</v>
      </c>
      <c r="I40" s="132">
        <f t="shared" si="15"/>
        <v>0</v>
      </c>
      <c r="J40" s="132">
        <f t="shared" si="16"/>
        <v>0</v>
      </c>
      <c r="K40" s="135">
        <v>0</v>
      </c>
      <c r="L40" s="135">
        <v>0</v>
      </c>
      <c r="M40" s="132">
        <f t="shared" si="21"/>
        <v>0</v>
      </c>
      <c r="N40" s="132">
        <f>Resources!AE11</f>
        <v>0</v>
      </c>
      <c r="O40" s="132">
        <f>Resources!AG11</f>
        <v>0</v>
      </c>
      <c r="P40" s="132">
        <f t="shared" si="22"/>
        <v>0</v>
      </c>
      <c r="Q40" s="132">
        <f t="shared" si="17"/>
        <v>0</v>
      </c>
      <c r="R40" s="132">
        <f t="shared" si="18"/>
        <v>0</v>
      </c>
      <c r="S40" s="132">
        <f t="shared" si="19"/>
        <v>0</v>
      </c>
      <c r="T40" s="335"/>
    </row>
    <row r="41" spans="1:20" s="128" customFormat="1" ht="15" customHeight="1" x14ac:dyDescent="0.2">
      <c r="A41" s="142" t="s">
        <v>841</v>
      </c>
      <c r="B41" s="131"/>
      <c r="C41" s="131"/>
      <c r="D41" s="132">
        <f t="shared" si="20"/>
        <v>0</v>
      </c>
      <c r="E41" s="132">
        <f>Resources!Z12</f>
        <v>0</v>
      </c>
      <c r="F41" s="132">
        <f>Resources!AB12</f>
        <v>0</v>
      </c>
      <c r="G41" s="132">
        <f t="shared" si="13"/>
        <v>0</v>
      </c>
      <c r="H41" s="132">
        <f t="shared" si="14"/>
        <v>0</v>
      </c>
      <c r="I41" s="132">
        <f t="shared" si="15"/>
        <v>0</v>
      </c>
      <c r="J41" s="132">
        <f t="shared" si="16"/>
        <v>0</v>
      </c>
      <c r="K41" s="135">
        <v>0</v>
      </c>
      <c r="L41" s="135">
        <v>0</v>
      </c>
      <c r="M41" s="132">
        <f t="shared" si="21"/>
        <v>0</v>
      </c>
      <c r="N41" s="132">
        <f>Resources!AE12</f>
        <v>0</v>
      </c>
      <c r="O41" s="132">
        <f>Resources!AG12</f>
        <v>0</v>
      </c>
      <c r="P41" s="132">
        <f t="shared" si="22"/>
        <v>0</v>
      </c>
      <c r="Q41" s="132">
        <f t="shared" si="17"/>
        <v>0</v>
      </c>
      <c r="R41" s="132">
        <f t="shared" si="18"/>
        <v>0</v>
      </c>
      <c r="S41" s="132">
        <f t="shared" si="19"/>
        <v>0</v>
      </c>
      <c r="T41" s="335"/>
    </row>
    <row r="42" spans="1:20" ht="12.75" customHeight="1" x14ac:dyDescent="0.2">
      <c r="A42" s="142" t="s">
        <v>846</v>
      </c>
      <c r="B42" s="131"/>
      <c r="C42" s="131"/>
      <c r="D42" s="132">
        <f t="shared" si="20"/>
        <v>0</v>
      </c>
      <c r="E42" s="132">
        <f>Resources!Z13</f>
        <v>0</v>
      </c>
      <c r="F42" s="132">
        <f>Resources!AB13</f>
        <v>0</v>
      </c>
      <c r="G42" s="132">
        <f t="shared" si="13"/>
        <v>0</v>
      </c>
      <c r="H42" s="132">
        <f t="shared" si="14"/>
        <v>0</v>
      </c>
      <c r="I42" s="132">
        <f t="shared" si="15"/>
        <v>0</v>
      </c>
      <c r="J42" s="132">
        <f t="shared" si="16"/>
        <v>0</v>
      </c>
      <c r="K42" s="135">
        <v>4</v>
      </c>
      <c r="L42" s="135">
        <v>4</v>
      </c>
      <c r="M42" s="132">
        <f t="shared" si="21"/>
        <v>0</v>
      </c>
      <c r="N42" s="132">
        <f>Resources!AE13</f>
        <v>0</v>
      </c>
      <c r="O42" s="132">
        <f>Resources!AG13</f>
        <v>0</v>
      </c>
      <c r="P42" s="132">
        <f t="shared" si="22"/>
        <v>0</v>
      </c>
      <c r="Q42" s="132">
        <f t="shared" si="17"/>
        <v>4</v>
      </c>
      <c r="R42" s="132">
        <f t="shared" si="18"/>
        <v>4</v>
      </c>
      <c r="S42" s="132">
        <f t="shared" si="19"/>
        <v>0</v>
      </c>
      <c r="T42" s="334"/>
    </row>
    <row r="43" spans="1:20" s="128" customFormat="1" ht="12.75" customHeight="1" thickBot="1" x14ac:dyDescent="0.25">
      <c r="A43" s="172" t="s">
        <v>876</v>
      </c>
      <c r="B43" s="136">
        <f>SUM(B33:B42)</f>
        <v>0</v>
      </c>
      <c r="C43" s="136">
        <f>SUM(C33:C42)</f>
        <v>0</v>
      </c>
      <c r="D43" s="137">
        <f t="shared" ref="D43:J43" si="23">SUM(D33:D42)</f>
        <v>0</v>
      </c>
      <c r="E43" s="136">
        <f t="shared" si="23"/>
        <v>0</v>
      </c>
      <c r="F43" s="136">
        <f t="shared" si="23"/>
        <v>0</v>
      </c>
      <c r="G43" s="137">
        <f t="shared" si="23"/>
        <v>0</v>
      </c>
      <c r="H43" s="136">
        <f t="shared" si="23"/>
        <v>0</v>
      </c>
      <c r="I43" s="136">
        <f t="shared" si="23"/>
        <v>0</v>
      </c>
      <c r="J43" s="137">
        <f t="shared" si="23"/>
        <v>0</v>
      </c>
      <c r="K43" s="137">
        <f t="shared" ref="K43:S43" si="24">SUM(K33:K42)</f>
        <v>4</v>
      </c>
      <c r="L43" s="137">
        <f t="shared" si="24"/>
        <v>4</v>
      </c>
      <c r="M43" s="137">
        <f t="shared" si="24"/>
        <v>0</v>
      </c>
      <c r="N43" s="136">
        <f t="shared" si="24"/>
        <v>0</v>
      </c>
      <c r="O43" s="136">
        <f t="shared" si="24"/>
        <v>0</v>
      </c>
      <c r="P43" s="137">
        <f t="shared" si="24"/>
        <v>0</v>
      </c>
      <c r="Q43" s="136">
        <f t="shared" si="24"/>
        <v>4</v>
      </c>
      <c r="R43" s="136">
        <f t="shared" si="24"/>
        <v>4</v>
      </c>
      <c r="S43" s="137">
        <f t="shared" si="24"/>
        <v>0</v>
      </c>
      <c r="T43" s="335"/>
    </row>
    <row r="44" spans="1:20" s="128" customFormat="1" ht="12.75" customHeight="1" thickBot="1" x14ac:dyDescent="0.25">
      <c r="A44" s="140"/>
      <c r="B44" s="143"/>
      <c r="C44" s="143"/>
      <c r="D44" s="143"/>
      <c r="E44" s="143"/>
      <c r="F44" s="143"/>
      <c r="G44" s="143"/>
      <c r="H44" s="143"/>
      <c r="I44" s="143"/>
      <c r="J44" s="143"/>
      <c r="K44" s="141"/>
      <c r="L44" s="141"/>
      <c r="M44" s="143"/>
      <c r="N44" s="143"/>
      <c r="O44" s="143"/>
      <c r="P44" s="143"/>
      <c r="Q44" s="143"/>
      <c r="R44" s="143"/>
      <c r="S44" s="143"/>
      <c r="T44" s="335"/>
    </row>
    <row r="45" spans="1:20" s="128" customFormat="1" ht="20.25" x14ac:dyDescent="0.2">
      <c r="A45" s="489" t="s">
        <v>878</v>
      </c>
      <c r="B45" s="490"/>
      <c r="C45" s="490"/>
      <c r="D45" s="490"/>
      <c r="E45" s="490"/>
      <c r="F45" s="490"/>
      <c r="G45" s="490"/>
      <c r="H45" s="490"/>
      <c r="I45" s="490"/>
      <c r="J45" s="491"/>
      <c r="K45" s="335"/>
      <c r="L45" s="335"/>
      <c r="M45" s="335"/>
      <c r="N45" s="335"/>
      <c r="O45" s="335"/>
      <c r="P45" s="335"/>
      <c r="Q45" s="335"/>
      <c r="R45" s="335"/>
      <c r="S45" s="335"/>
      <c r="T45" s="335"/>
    </row>
    <row r="46" spans="1:20" ht="19.5" customHeight="1" x14ac:dyDescent="0.2">
      <c r="A46" s="492" t="s">
        <v>879</v>
      </c>
      <c r="B46" s="493"/>
      <c r="C46" s="495" t="s">
        <v>880</v>
      </c>
      <c r="D46" s="495"/>
      <c r="E46" s="495" t="s">
        <v>881</v>
      </c>
      <c r="F46" s="495"/>
      <c r="G46" s="495" t="s">
        <v>882</v>
      </c>
      <c r="H46" s="495"/>
      <c r="I46" s="495" t="s">
        <v>883</v>
      </c>
      <c r="J46" s="496"/>
      <c r="K46" s="334"/>
      <c r="L46" s="334"/>
      <c r="M46" s="334"/>
      <c r="N46" s="334"/>
      <c r="O46" s="334"/>
      <c r="P46" s="334"/>
      <c r="Q46" s="334"/>
      <c r="R46" s="334"/>
      <c r="S46" s="334"/>
      <c r="T46" s="334"/>
    </row>
    <row r="47" spans="1:20" s="128" customFormat="1" ht="21.75" customHeight="1" thickBot="1" x14ac:dyDescent="0.25">
      <c r="A47" s="499" t="s">
        <v>884</v>
      </c>
      <c r="B47" s="500"/>
      <c r="C47" s="497">
        <f>'Project Info'!B15</f>
        <v>0</v>
      </c>
      <c r="D47" s="498"/>
      <c r="E47" s="497">
        <f>'Project Info'!D15</f>
        <v>0</v>
      </c>
      <c r="F47" s="498"/>
      <c r="G47" s="497">
        <f>'Project Info'!D15</f>
        <v>0</v>
      </c>
      <c r="H47" s="498"/>
      <c r="I47" s="497">
        <f>IF(G47=0,0,100*(G47-C47)/G47)</f>
        <v>0</v>
      </c>
      <c r="J47" s="498"/>
      <c r="K47" s="335"/>
      <c r="L47" s="335"/>
      <c r="M47" s="335"/>
      <c r="N47" s="335"/>
      <c r="O47" s="335"/>
      <c r="P47" s="335"/>
      <c r="Q47" s="335"/>
      <c r="R47" s="335"/>
      <c r="S47" s="335"/>
      <c r="T47" s="335"/>
    </row>
    <row r="49" spans="1:22" s="128" customFormat="1" x14ac:dyDescent="0.2">
      <c r="A49" s="160"/>
      <c r="B49" s="335"/>
      <c r="C49" s="161"/>
      <c r="D49" s="338"/>
      <c r="E49" s="143"/>
      <c r="F49" s="335"/>
      <c r="G49" s="335"/>
      <c r="H49" s="335"/>
      <c r="I49" s="335"/>
      <c r="J49" s="335"/>
      <c r="K49" s="335"/>
      <c r="L49" s="335"/>
      <c r="M49" s="335"/>
      <c r="N49" s="335"/>
      <c r="O49" s="335"/>
      <c r="P49" s="335"/>
      <c r="Q49" s="335"/>
      <c r="R49" s="335"/>
      <c r="S49" s="335"/>
      <c r="T49" s="335"/>
      <c r="U49" s="335"/>
      <c r="V49" s="335"/>
    </row>
    <row r="51" spans="1:22" s="128" customFormat="1" ht="12.75" customHeight="1" x14ac:dyDescent="0.2">
      <c r="A51" s="145"/>
      <c r="B51" s="158"/>
      <c r="C51" s="173"/>
      <c r="D51" s="494"/>
      <c r="E51" s="494" t="s">
        <v>196</v>
      </c>
      <c r="F51" s="494"/>
      <c r="G51" s="159"/>
      <c r="H51" s="159"/>
      <c r="I51" s="159"/>
      <c r="J51" s="159"/>
      <c r="K51" s="335"/>
      <c r="L51" s="335"/>
      <c r="M51" s="335"/>
      <c r="N51" s="335"/>
      <c r="O51" s="335"/>
      <c r="P51" s="335"/>
      <c r="Q51" s="335"/>
      <c r="R51" s="335"/>
      <c r="S51" s="335"/>
      <c r="T51" s="335"/>
      <c r="U51" s="335"/>
      <c r="V51" s="335"/>
    </row>
    <row r="52" spans="1:22" ht="13.5" customHeight="1" x14ac:dyDescent="0.2">
      <c r="A52" s="334"/>
      <c r="B52" s="334"/>
      <c r="C52" s="334"/>
      <c r="D52" s="334"/>
      <c r="E52" s="334"/>
      <c r="F52" s="334"/>
      <c r="G52" s="334"/>
      <c r="H52" s="334"/>
      <c r="I52" s="334"/>
      <c r="J52" s="334"/>
      <c r="K52" s="334"/>
      <c r="L52" s="334"/>
      <c r="M52" s="334"/>
      <c r="N52" s="334"/>
      <c r="O52" s="334"/>
      <c r="P52" s="334"/>
      <c r="Q52" s="334"/>
      <c r="R52" s="334"/>
      <c r="S52" s="334"/>
      <c r="T52" s="334"/>
      <c r="U52" s="334"/>
      <c r="V52" s="334"/>
    </row>
  </sheetData>
  <mergeCells count="37">
    <mergeCell ref="B8:H10"/>
    <mergeCell ref="A1:K1"/>
    <mergeCell ref="I2:J2"/>
    <mergeCell ref="I3:J3"/>
    <mergeCell ref="I4:J4"/>
    <mergeCell ref="A30:A32"/>
    <mergeCell ref="B30:J30"/>
    <mergeCell ref="K30:S30"/>
    <mergeCell ref="B31:D31"/>
    <mergeCell ref="E31:G31"/>
    <mergeCell ref="H31:J31"/>
    <mergeCell ref="K31:M31"/>
    <mergeCell ref="Q31:S31"/>
    <mergeCell ref="N31:P31"/>
    <mergeCell ref="A45:J45"/>
    <mergeCell ref="A46:B46"/>
    <mergeCell ref="D51:F51"/>
    <mergeCell ref="C46:D46"/>
    <mergeCell ref="E46:F46"/>
    <mergeCell ref="G46:H46"/>
    <mergeCell ref="I46:J46"/>
    <mergeCell ref="C47:D47"/>
    <mergeCell ref="A47:B47"/>
    <mergeCell ref="E47:F47"/>
    <mergeCell ref="G47:H47"/>
    <mergeCell ref="I47:J47"/>
    <mergeCell ref="A13:S13"/>
    <mergeCell ref="A14:XFD14"/>
    <mergeCell ref="A15:A17"/>
    <mergeCell ref="B15:J15"/>
    <mergeCell ref="K15:S15"/>
    <mergeCell ref="B16:D16"/>
    <mergeCell ref="E16:G16"/>
    <mergeCell ref="H16:J16"/>
    <mergeCell ref="K16:M16"/>
    <mergeCell ref="N16:P16"/>
    <mergeCell ref="Q16:S16"/>
  </mergeCells>
  <conditionalFormatting sqref="D18:D27 G18">
    <cfRule type="cellIs" dxfId="214" priority="45" stopIfTrue="1" operator="greaterThan">
      <formula>0</formula>
    </cfRule>
    <cfRule type="cellIs" dxfId="213" priority="46" stopIfTrue="1" operator="lessThan">
      <formula>0</formula>
    </cfRule>
  </conditionalFormatting>
  <conditionalFormatting sqref="D28">
    <cfRule type="cellIs" dxfId="212" priority="43" stopIfTrue="1" operator="greaterThan">
      <formula>0</formula>
    </cfRule>
    <cfRule type="cellIs" dxfId="211" priority="44" stopIfTrue="1" operator="lessThan">
      <formula>0</formula>
    </cfRule>
  </conditionalFormatting>
  <conditionalFormatting sqref="G19:G27">
    <cfRule type="cellIs" dxfId="210" priority="41" stopIfTrue="1" operator="greaterThan">
      <formula>0</formula>
    </cfRule>
    <cfRule type="cellIs" dxfId="209" priority="42" stopIfTrue="1" operator="lessThan">
      <formula>0</formula>
    </cfRule>
  </conditionalFormatting>
  <conditionalFormatting sqref="G28">
    <cfRule type="cellIs" dxfId="208" priority="39" stopIfTrue="1" operator="greaterThan">
      <formula>0</formula>
    </cfRule>
    <cfRule type="cellIs" dxfId="207" priority="40" stopIfTrue="1" operator="lessThan">
      <formula>0</formula>
    </cfRule>
  </conditionalFormatting>
  <conditionalFormatting sqref="M18:M27">
    <cfRule type="cellIs" dxfId="206" priority="37" stopIfTrue="1" operator="greaterThan">
      <formula>0</formula>
    </cfRule>
    <cfRule type="cellIs" dxfId="205" priority="38" stopIfTrue="1" operator="lessThan">
      <formula>0</formula>
    </cfRule>
  </conditionalFormatting>
  <conditionalFormatting sqref="M28">
    <cfRule type="cellIs" dxfId="204" priority="35" stopIfTrue="1" operator="greaterThan">
      <formula>0</formula>
    </cfRule>
    <cfRule type="cellIs" dxfId="203" priority="36" stopIfTrue="1" operator="lessThan">
      <formula>0</formula>
    </cfRule>
  </conditionalFormatting>
  <conditionalFormatting sqref="P18:P27">
    <cfRule type="cellIs" dxfId="202" priority="33" stopIfTrue="1" operator="greaterThan">
      <formula>0</formula>
    </cfRule>
    <cfRule type="cellIs" dxfId="201" priority="34" stopIfTrue="1" operator="lessThan">
      <formula>0</formula>
    </cfRule>
  </conditionalFormatting>
  <conditionalFormatting sqref="P28">
    <cfRule type="cellIs" dxfId="200" priority="31" stopIfTrue="1" operator="greaterThan">
      <formula>0</formula>
    </cfRule>
    <cfRule type="cellIs" dxfId="199" priority="32" stopIfTrue="1" operator="lessThan">
      <formula>0</formula>
    </cfRule>
  </conditionalFormatting>
  <conditionalFormatting sqref="S18:S27">
    <cfRule type="cellIs" dxfId="198" priority="29" stopIfTrue="1" operator="greaterThan">
      <formula>0</formula>
    </cfRule>
    <cfRule type="cellIs" dxfId="197" priority="30" stopIfTrue="1" operator="lessThan">
      <formula>0</formula>
    </cfRule>
  </conditionalFormatting>
  <conditionalFormatting sqref="S28">
    <cfRule type="cellIs" dxfId="196" priority="27" stopIfTrue="1" operator="greaterThan">
      <formula>0</formula>
    </cfRule>
    <cfRule type="cellIs" dxfId="195" priority="28" stopIfTrue="1" operator="lessThan">
      <formula>0</formula>
    </cfRule>
  </conditionalFormatting>
  <conditionalFormatting sqref="S33:S42">
    <cfRule type="cellIs" dxfId="194" priority="25" stopIfTrue="1" operator="greaterThan">
      <formula>0</formula>
    </cfRule>
    <cfRule type="cellIs" dxfId="193" priority="26" stopIfTrue="1" operator="lessThan">
      <formula>0</formula>
    </cfRule>
  </conditionalFormatting>
  <conditionalFormatting sqref="S43">
    <cfRule type="cellIs" dxfId="192" priority="23" stopIfTrue="1" operator="greaterThan">
      <formula>0</formula>
    </cfRule>
    <cfRule type="cellIs" dxfId="191" priority="24" stopIfTrue="1" operator="lessThan">
      <formula>0</formula>
    </cfRule>
  </conditionalFormatting>
  <conditionalFormatting sqref="P33:P42">
    <cfRule type="cellIs" dxfId="190" priority="21" stopIfTrue="1" operator="greaterThan">
      <formula>0</formula>
    </cfRule>
    <cfRule type="cellIs" dxfId="189" priority="22" stopIfTrue="1" operator="lessThan">
      <formula>0</formula>
    </cfRule>
  </conditionalFormatting>
  <conditionalFormatting sqref="P43">
    <cfRule type="cellIs" dxfId="188" priority="19" stopIfTrue="1" operator="greaterThan">
      <formula>0</formula>
    </cfRule>
    <cfRule type="cellIs" dxfId="187" priority="20" stopIfTrue="1" operator="lessThan">
      <formula>0</formula>
    </cfRule>
  </conditionalFormatting>
  <conditionalFormatting sqref="M33:M42">
    <cfRule type="cellIs" dxfId="186" priority="17" stopIfTrue="1" operator="greaterThan">
      <formula>0</formula>
    </cfRule>
    <cfRule type="cellIs" dxfId="185" priority="18" stopIfTrue="1" operator="lessThan">
      <formula>0</formula>
    </cfRule>
  </conditionalFormatting>
  <conditionalFormatting sqref="M43">
    <cfRule type="cellIs" dxfId="184" priority="15" stopIfTrue="1" operator="greaterThan">
      <formula>0</formula>
    </cfRule>
    <cfRule type="cellIs" dxfId="183" priority="16" stopIfTrue="1" operator="lessThan">
      <formula>0</formula>
    </cfRule>
  </conditionalFormatting>
  <conditionalFormatting sqref="J33:J42">
    <cfRule type="cellIs" dxfId="182" priority="13" stopIfTrue="1" operator="greaterThan">
      <formula>0</formula>
    </cfRule>
    <cfRule type="cellIs" dxfId="181" priority="14" stopIfTrue="1" operator="lessThan">
      <formula>0</formula>
    </cfRule>
  </conditionalFormatting>
  <conditionalFormatting sqref="J43">
    <cfRule type="cellIs" dxfId="180" priority="11" stopIfTrue="1" operator="greaterThan">
      <formula>0</formula>
    </cfRule>
    <cfRule type="cellIs" dxfId="179" priority="12" stopIfTrue="1" operator="lessThan">
      <formula>0</formula>
    </cfRule>
  </conditionalFormatting>
  <conditionalFormatting sqref="G33:G42">
    <cfRule type="cellIs" dxfId="178" priority="9" stopIfTrue="1" operator="greaterThan">
      <formula>0</formula>
    </cfRule>
    <cfRule type="cellIs" dxfId="177" priority="10" stopIfTrue="1" operator="lessThan">
      <formula>0</formula>
    </cfRule>
  </conditionalFormatting>
  <conditionalFormatting sqref="G43">
    <cfRule type="cellIs" dxfId="176" priority="7" stopIfTrue="1" operator="greaterThan">
      <formula>0</formula>
    </cfRule>
    <cfRule type="cellIs" dxfId="175" priority="8" stopIfTrue="1" operator="lessThan">
      <formula>0</formula>
    </cfRule>
  </conditionalFormatting>
  <conditionalFormatting sqref="D33:D42">
    <cfRule type="cellIs" dxfId="174" priority="5" stopIfTrue="1" operator="greaterThan">
      <formula>0</formula>
    </cfRule>
    <cfRule type="cellIs" dxfId="173" priority="6" stopIfTrue="1" operator="lessThan">
      <formula>0</formula>
    </cfRule>
  </conditionalFormatting>
  <conditionalFormatting sqref="D43">
    <cfRule type="cellIs" dxfId="172" priority="3" stopIfTrue="1" operator="greaterThan">
      <formula>0</formula>
    </cfRule>
    <cfRule type="cellIs" dxfId="171" priority="4" stopIfTrue="1" operator="lessThan">
      <formula>0</formula>
    </cfRule>
  </conditionalFormatting>
  <conditionalFormatting sqref="K43:L43">
    <cfRule type="cellIs" dxfId="170" priority="1" stopIfTrue="1" operator="greaterThan">
      <formula>0</formula>
    </cfRule>
    <cfRule type="cellIs" dxfId="169" priority="2" stopIfTrue="1" operator="lessThan">
      <formula>0</formula>
    </cfRule>
  </conditionalFormatting>
  <dataValidations count="1">
    <dataValidation type="list" allowBlank="1" showInputMessage="1" showErrorMessage="1" sqref="B51:C51" xr:uid="{00000000-0002-0000-0400-000000000000}">
      <formula1>#REF!</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22"/>
  <sheetViews>
    <sheetView workbookViewId="0"/>
  </sheetViews>
  <sheetFormatPr defaultRowHeight="12.75" x14ac:dyDescent="0.2"/>
  <cols>
    <col min="1" max="1" width="16.7109375" customWidth="1"/>
    <col min="8" max="8" width="18.85546875" customWidth="1"/>
    <col min="10" max="10" width="15.7109375" customWidth="1"/>
    <col min="12" max="12" width="14.28515625" customWidth="1"/>
    <col min="14" max="14" width="19" customWidth="1"/>
    <col min="16" max="16" width="18.42578125" customWidth="1"/>
  </cols>
  <sheetData>
    <row r="1" spans="1:16" ht="15" x14ac:dyDescent="0.2">
      <c r="A1" s="146" t="s">
        <v>885</v>
      </c>
      <c r="B1" s="521" t="s">
        <v>886</v>
      </c>
      <c r="C1" s="521"/>
      <c r="D1" s="521"/>
      <c r="E1" s="521"/>
      <c r="F1" s="521"/>
      <c r="H1" s="342" t="s">
        <v>835</v>
      </c>
      <c r="J1" s="148" t="s">
        <v>887</v>
      </c>
      <c r="L1" s="343" t="s">
        <v>888</v>
      </c>
      <c r="N1" s="344" t="s">
        <v>14</v>
      </c>
      <c r="P1" s="162" t="s">
        <v>889</v>
      </c>
    </row>
    <row r="2" spans="1:16" x14ac:dyDescent="0.2">
      <c r="A2" s="154"/>
      <c r="B2" s="519"/>
      <c r="C2" s="519"/>
      <c r="D2" s="519"/>
      <c r="E2" s="519"/>
      <c r="F2" s="519"/>
      <c r="H2" s="337"/>
      <c r="J2" s="96"/>
      <c r="L2" s="272"/>
      <c r="N2" s="337" t="s">
        <v>890</v>
      </c>
      <c r="P2" s="163" t="s">
        <v>891</v>
      </c>
    </row>
    <row r="3" spans="1:16" ht="12.75" customHeight="1" x14ac:dyDescent="0.2">
      <c r="A3" s="147" t="s">
        <v>892</v>
      </c>
      <c r="B3" s="520" t="s">
        <v>893</v>
      </c>
      <c r="C3" s="520"/>
      <c r="D3" s="520"/>
      <c r="E3" s="520"/>
      <c r="F3" s="520"/>
      <c r="H3" s="337" t="s">
        <v>839</v>
      </c>
      <c r="J3" s="272" t="s">
        <v>894</v>
      </c>
      <c r="L3" s="272" t="s">
        <v>895</v>
      </c>
      <c r="N3" s="337" t="s">
        <v>896</v>
      </c>
      <c r="P3" s="163" t="s">
        <v>379</v>
      </c>
    </row>
    <row r="4" spans="1:16" ht="12.75" customHeight="1" x14ac:dyDescent="0.2">
      <c r="A4" s="147" t="s">
        <v>897</v>
      </c>
      <c r="B4" s="520" t="s">
        <v>898</v>
      </c>
      <c r="C4" s="520"/>
      <c r="D4" s="520"/>
      <c r="E4" s="520"/>
      <c r="F4" s="520"/>
      <c r="H4" s="337" t="s">
        <v>844</v>
      </c>
      <c r="J4" s="272" t="s">
        <v>899</v>
      </c>
      <c r="L4" s="272" t="s">
        <v>900</v>
      </c>
      <c r="N4" s="337" t="s">
        <v>292</v>
      </c>
      <c r="P4" s="163" t="s">
        <v>901</v>
      </c>
    </row>
    <row r="5" spans="1:16" ht="12.75" customHeight="1" x14ac:dyDescent="0.2">
      <c r="A5" s="147" t="s">
        <v>902</v>
      </c>
      <c r="B5" s="520" t="s">
        <v>903</v>
      </c>
      <c r="C5" s="520"/>
      <c r="D5" s="520"/>
      <c r="E5" s="520"/>
      <c r="F5" s="520"/>
      <c r="H5" s="337" t="s">
        <v>849</v>
      </c>
      <c r="J5" s="272" t="s">
        <v>904</v>
      </c>
      <c r="L5" s="272" t="s">
        <v>905</v>
      </c>
      <c r="N5" s="337" t="s">
        <v>906</v>
      </c>
      <c r="P5" s="163" t="s">
        <v>907</v>
      </c>
    </row>
    <row r="6" spans="1:16" ht="12.75" customHeight="1" x14ac:dyDescent="0.2">
      <c r="A6" s="147" t="s">
        <v>908</v>
      </c>
      <c r="B6" s="520" t="s">
        <v>909</v>
      </c>
      <c r="C6" s="520"/>
      <c r="D6" s="520"/>
      <c r="E6" s="520"/>
      <c r="F6" s="520"/>
      <c r="H6" s="337" t="s">
        <v>852</v>
      </c>
      <c r="P6" s="163" t="s">
        <v>910</v>
      </c>
    </row>
    <row r="7" spans="1:16" ht="12.75" customHeight="1" x14ac:dyDescent="0.2">
      <c r="A7" s="147" t="s">
        <v>911</v>
      </c>
      <c r="B7" s="520" t="s">
        <v>912</v>
      </c>
      <c r="C7" s="520"/>
      <c r="D7" s="520"/>
      <c r="E7" s="520"/>
      <c r="F7" s="520"/>
      <c r="H7" s="337" t="s">
        <v>840</v>
      </c>
      <c r="P7" s="163" t="s">
        <v>913</v>
      </c>
    </row>
    <row r="8" spans="1:16" ht="12.75" customHeight="1" x14ac:dyDescent="0.2">
      <c r="A8" s="147" t="s">
        <v>914</v>
      </c>
      <c r="B8" s="520" t="s">
        <v>915</v>
      </c>
      <c r="C8" s="520"/>
      <c r="D8" s="520"/>
      <c r="E8" s="520"/>
      <c r="F8" s="520"/>
      <c r="H8" s="337" t="s">
        <v>845</v>
      </c>
      <c r="P8" s="163" t="s">
        <v>916</v>
      </c>
    </row>
    <row r="9" spans="1:16" ht="12.75" customHeight="1" x14ac:dyDescent="0.2">
      <c r="A9" s="147" t="s">
        <v>917</v>
      </c>
      <c r="B9" s="520" t="s">
        <v>918</v>
      </c>
      <c r="C9" s="520"/>
      <c r="D9" s="520"/>
      <c r="E9" s="520"/>
      <c r="F9" s="520"/>
      <c r="H9" s="337" t="s">
        <v>850</v>
      </c>
      <c r="P9" s="163" t="s">
        <v>919</v>
      </c>
    </row>
    <row r="10" spans="1:16" ht="12.75" customHeight="1" x14ac:dyDescent="0.2">
      <c r="A10" s="147" t="s">
        <v>234</v>
      </c>
      <c r="B10" s="520" t="s">
        <v>920</v>
      </c>
      <c r="C10" s="520"/>
      <c r="D10" s="520"/>
      <c r="E10" s="520"/>
      <c r="F10" s="520"/>
      <c r="H10" s="337" t="s">
        <v>853</v>
      </c>
    </row>
    <row r="11" spans="1:16" ht="12.75" customHeight="1" x14ac:dyDescent="0.2">
      <c r="A11" s="147" t="s">
        <v>921</v>
      </c>
      <c r="B11" s="520" t="s">
        <v>922</v>
      </c>
      <c r="C11" s="520"/>
      <c r="D11" s="520"/>
      <c r="E11" s="520"/>
      <c r="F11" s="520"/>
      <c r="H11" s="337" t="s">
        <v>841</v>
      </c>
    </row>
    <row r="12" spans="1:16" ht="12.75" customHeight="1" x14ac:dyDescent="0.2">
      <c r="A12" s="147" t="s">
        <v>923</v>
      </c>
      <c r="B12" s="520" t="s">
        <v>924</v>
      </c>
      <c r="C12" s="520"/>
      <c r="D12" s="520"/>
      <c r="E12" s="520"/>
      <c r="F12" s="520"/>
      <c r="H12" s="337" t="s">
        <v>846</v>
      </c>
    </row>
    <row r="13" spans="1:16" x14ac:dyDescent="0.2">
      <c r="A13" s="518"/>
      <c r="B13" s="518"/>
      <c r="C13" s="518"/>
      <c r="D13" s="518"/>
      <c r="E13" s="518"/>
      <c r="F13" s="518"/>
    </row>
    <row r="22" spans="5:5" x14ac:dyDescent="0.2">
      <c r="E22" s="335" t="s">
        <v>196</v>
      </c>
    </row>
  </sheetData>
  <mergeCells count="13">
    <mergeCell ref="B1:F1"/>
    <mergeCell ref="B3:F3"/>
    <mergeCell ref="B4:F4"/>
    <mergeCell ref="B5:F5"/>
    <mergeCell ref="B6:F6"/>
    <mergeCell ref="A13:F13"/>
    <mergeCell ref="B2:F2"/>
    <mergeCell ref="B8:F8"/>
    <mergeCell ref="B9:F9"/>
    <mergeCell ref="B10:F10"/>
    <mergeCell ref="B11:F11"/>
    <mergeCell ref="B12:F12"/>
    <mergeCell ref="B7:F7"/>
  </mergeCells>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8"/>
  <dimension ref="A1:J11"/>
  <sheetViews>
    <sheetView zoomScale="90" zoomScaleNormal="90" workbookViewId="0">
      <selection activeCell="J3" sqref="J3"/>
    </sheetView>
  </sheetViews>
  <sheetFormatPr defaultColWidth="9.140625" defaultRowHeight="12.75" x14ac:dyDescent="0.2"/>
  <cols>
    <col min="1" max="1" width="6.28515625" style="4" bestFit="1" customWidth="1"/>
    <col min="2" max="2" width="27.28515625" style="4" customWidth="1"/>
    <col min="3" max="3" width="11" style="4" customWidth="1"/>
    <col min="4" max="4" width="19.42578125" style="4" customWidth="1"/>
    <col min="5" max="5" width="22" style="4" customWidth="1"/>
    <col min="6" max="6" width="23.42578125" style="4" customWidth="1"/>
    <col min="7" max="7" width="18.85546875" style="5" customWidth="1"/>
    <col min="8" max="8" width="21.140625" style="21" customWidth="1"/>
    <col min="9" max="9" width="14.85546875" style="4" customWidth="1"/>
    <col min="10" max="10" width="31" style="4" customWidth="1"/>
    <col min="11" max="16384" width="9.140625" style="1"/>
  </cols>
  <sheetData>
    <row r="1" spans="1:10" ht="53.25" customHeight="1" x14ac:dyDescent="0.2">
      <c r="A1" s="224" t="s">
        <v>925</v>
      </c>
      <c r="B1" s="224" t="s">
        <v>926</v>
      </c>
      <c r="C1" s="224" t="s">
        <v>927</v>
      </c>
      <c r="D1" s="224" t="s">
        <v>928</v>
      </c>
      <c r="E1" s="224" t="s">
        <v>929</v>
      </c>
      <c r="F1" s="224" t="s">
        <v>930</v>
      </c>
      <c r="G1" s="225" t="s">
        <v>931</v>
      </c>
      <c r="H1" s="226" t="s">
        <v>932</v>
      </c>
      <c r="I1" s="224" t="s">
        <v>13</v>
      </c>
      <c r="J1" s="224" t="s">
        <v>933</v>
      </c>
    </row>
    <row r="2" spans="1:10" x14ac:dyDescent="0.2">
      <c r="A2" s="85"/>
      <c r="B2" s="268"/>
      <c r="C2" s="85"/>
      <c r="D2" s="103"/>
      <c r="E2" s="268"/>
      <c r="F2" s="268"/>
      <c r="G2" s="269"/>
      <c r="H2" s="82"/>
      <c r="I2" s="85"/>
      <c r="J2" s="268"/>
    </row>
    <row r="3" spans="1:10" x14ac:dyDescent="0.2">
      <c r="A3" s="85"/>
      <c r="B3" s="268"/>
      <c r="C3" s="270"/>
      <c r="D3" s="271"/>
      <c r="E3" s="268"/>
      <c r="F3" s="268"/>
      <c r="G3" s="269"/>
      <c r="H3" s="82"/>
      <c r="I3" s="85"/>
      <c r="J3" s="268"/>
    </row>
    <row r="4" spans="1:10" ht="48.75" customHeight="1" x14ac:dyDescent="0.2">
      <c r="A4" s="85"/>
      <c r="B4" s="272"/>
      <c r="C4" s="96"/>
      <c r="D4" s="273"/>
      <c r="E4" s="274"/>
      <c r="F4" s="85"/>
      <c r="G4" s="91"/>
      <c r="H4" s="82"/>
      <c r="I4" s="85"/>
      <c r="J4" s="268"/>
    </row>
    <row r="5" spans="1:10" x14ac:dyDescent="0.2">
      <c r="A5" s="85"/>
      <c r="B5" s="96"/>
      <c r="C5" s="96"/>
      <c r="D5" s="96"/>
      <c r="E5" s="85"/>
      <c r="F5" s="85"/>
      <c r="G5" s="91"/>
      <c r="H5" s="82"/>
      <c r="I5" s="85"/>
      <c r="J5" s="85"/>
    </row>
    <row r="6" spans="1:10" x14ac:dyDescent="0.2">
      <c r="A6" s="85"/>
      <c r="B6" s="96"/>
      <c r="C6" s="96"/>
      <c r="D6" s="96"/>
      <c r="E6" s="96"/>
      <c r="F6" s="96"/>
      <c r="G6" s="95"/>
      <c r="H6" s="82"/>
      <c r="I6" s="85"/>
      <c r="J6" s="85"/>
    </row>
    <row r="7" spans="1:10" x14ac:dyDescent="0.2">
      <c r="A7" s="85"/>
      <c r="B7" s="96"/>
      <c r="C7" s="96"/>
      <c r="D7" s="96"/>
      <c r="E7" s="96"/>
      <c r="F7" s="96"/>
      <c r="G7" s="95"/>
      <c r="H7" s="82"/>
      <c r="I7" s="85"/>
      <c r="J7" s="85"/>
    </row>
    <row r="8" spans="1:10" x14ac:dyDescent="0.2">
      <c r="A8" s="85"/>
      <c r="B8" s="96"/>
      <c r="C8" s="96"/>
      <c r="D8" s="96"/>
      <c r="E8" s="96"/>
      <c r="F8" s="96"/>
      <c r="G8" s="95"/>
      <c r="H8" s="82"/>
      <c r="I8" s="85"/>
      <c r="J8" s="85"/>
    </row>
    <row r="9" spans="1:10" x14ac:dyDescent="0.2">
      <c r="A9" s="85"/>
      <c r="B9" s="96"/>
      <c r="C9" s="96"/>
      <c r="D9" s="96"/>
      <c r="E9" s="85"/>
      <c r="F9" s="85"/>
      <c r="G9" s="91"/>
      <c r="H9" s="82"/>
      <c r="I9" s="85"/>
      <c r="J9" s="85"/>
    </row>
    <row r="10" spans="1:10" x14ac:dyDescent="0.2">
      <c r="A10" s="85"/>
      <c r="B10" s="96"/>
      <c r="C10" s="96"/>
      <c r="D10" s="96"/>
      <c r="E10" s="85"/>
      <c r="F10" s="85"/>
      <c r="G10" s="91"/>
      <c r="H10" s="82"/>
      <c r="I10" s="85"/>
      <c r="J10" s="85"/>
    </row>
    <row r="11" spans="1:10" x14ac:dyDescent="0.2">
      <c r="A11" s="85"/>
      <c r="B11" s="85"/>
      <c r="C11" s="85"/>
      <c r="D11" s="85"/>
      <c r="E11" s="85"/>
      <c r="F11" s="85"/>
      <c r="G11" s="91"/>
      <c r="H11" s="82"/>
      <c r="I11" s="85"/>
      <c r="J11" s="85"/>
    </row>
  </sheetData>
  <phoneticPr fontId="0" type="noConversion"/>
  <conditionalFormatting sqref="B2:D2 A3:D26 E2:J26">
    <cfRule type="expression" dxfId="168" priority="258" stopIfTrue="1">
      <formula>AND(#REF!&lt;NOW(),$G2="",$I2&lt;&gt;"Completed",COUNTA($A2:$J2)&gt;1)</formula>
    </cfRule>
  </conditionalFormatting>
  <conditionalFormatting sqref="A2">
    <cfRule type="expression" dxfId="167" priority="262" stopIfTrue="1">
      <formula>AND(#REF!&lt;NOW(),$G3="",$I2&lt;&gt;"Completed",COUNTA($A2:$J2)&gt;1)</formula>
    </cfRule>
  </conditionalFormatting>
  <dataValidations count="4">
    <dataValidation type="list" allowBlank="1" showInputMessage="1" showErrorMessage="1" sqref="I2:I65536" xr:uid="{00000000-0002-0000-0600-000000000000}">
      <formula1>"Not started,In progress,Completed,Waiting for inputs,Deferred"</formula1>
    </dataValidation>
    <dataValidation allowBlank="1" showInputMessage="1" showErrorMessage="1" promptTitle="Training requirement" prompt="Identify the training need for the project." sqref="B11:B65536 B2:B3" xr:uid="{00000000-0002-0000-0600-000001000000}"/>
    <dataValidation type="list" allowBlank="1" showInputMessage="1" showErrorMessage="1" sqref="C2:C65536" xr:uid="{00000000-0002-0000-0600-000002000000}">
      <formula1>"Process,Soft skills,Technology,Domain,Induction,Other"</formula1>
    </dataValidation>
    <dataValidation type="date" operator="greaterThanOrEqual" allowBlank="1" showInputMessage="1" showErrorMessage="1" errorTitle="Data error" error="This field takes only date values." sqref="G9:G65536 G4:G5" xr:uid="{00000000-0002-0000-0600-000003000000}">
      <formula1>36892</formula1>
    </dataValidation>
  </dataValidations>
  <pageMargins left="0.75" right="0.75" top="1" bottom="1" header="0.5" footer="0.5"/>
  <pageSetup paperSize="9" scale="95" orientation="landscape" r:id="rId1"/>
  <headerFooter alignWithMargins="0">
    <oddFooter>&amp;R&amp;P of &amp;N</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0000"/>
  </sheetPr>
  <dimension ref="A1:AT86"/>
  <sheetViews>
    <sheetView topLeftCell="A11" zoomScale="107" workbookViewId="0">
      <selection activeCell="I6" sqref="I6:J6"/>
    </sheetView>
  </sheetViews>
  <sheetFormatPr defaultRowHeight="12.75" x14ac:dyDescent="0.2"/>
  <cols>
    <col min="1" max="1" width="11.85546875" customWidth="1"/>
    <col min="5" max="5" width="4.42578125" customWidth="1"/>
    <col min="6" max="6" width="8.140625" customWidth="1"/>
    <col min="9" max="9" width="7.42578125" customWidth="1"/>
    <col min="10" max="10" width="13" customWidth="1"/>
    <col min="11" max="11" width="12.7109375" bestFit="1" customWidth="1"/>
    <col min="14" max="14" width="12.5703125" customWidth="1"/>
    <col min="15" max="15" width="15.42578125" customWidth="1"/>
    <col min="16" max="16" width="14.5703125" customWidth="1"/>
    <col min="17" max="19" width="11.5703125" hidden="1" customWidth="1"/>
    <col min="20" max="20" width="18.85546875" customWidth="1"/>
    <col min="21" max="25" width="9.140625" hidden="1" customWidth="1"/>
    <col min="26" max="26" width="17.5703125" customWidth="1"/>
    <col min="34" max="34" width="14.28515625" customWidth="1"/>
    <col min="37" max="43" width="0" hidden="1" customWidth="1"/>
    <col min="44" max="44" width="18" hidden="1" customWidth="1"/>
    <col min="45" max="45" width="0" hidden="1" customWidth="1"/>
    <col min="46" max="46" width="18.7109375" hidden="1" customWidth="1"/>
  </cols>
  <sheetData>
    <row r="1" spans="1:46" ht="20.25" customHeight="1" x14ac:dyDescent="0.2">
      <c r="A1" s="537" t="s">
        <v>934</v>
      </c>
      <c r="B1" s="537"/>
      <c r="C1" s="537"/>
      <c r="D1" s="537"/>
      <c r="E1" s="537"/>
      <c r="F1" s="537"/>
      <c r="G1" s="537"/>
      <c r="H1" s="537"/>
      <c r="I1" s="537"/>
      <c r="J1" s="537"/>
      <c r="K1" s="537"/>
      <c r="L1" s="537"/>
      <c r="M1" s="537"/>
      <c r="N1" s="537"/>
      <c r="O1" s="537"/>
      <c r="P1" s="176"/>
      <c r="Q1" s="176"/>
      <c r="R1" s="176"/>
      <c r="S1" s="176"/>
      <c r="T1" s="538" t="s">
        <v>935</v>
      </c>
      <c r="U1" s="539"/>
      <c r="V1" s="539"/>
      <c r="W1" s="539"/>
      <c r="X1" s="539"/>
      <c r="Y1" s="539"/>
      <c r="Z1" s="539"/>
      <c r="AA1" s="539"/>
      <c r="AB1" s="539"/>
      <c r="AC1" s="539"/>
      <c r="AD1" s="539"/>
      <c r="AE1" s="539"/>
      <c r="AF1" s="539"/>
      <c r="AG1" s="539"/>
      <c r="AH1" s="540"/>
    </row>
    <row r="2" spans="1:46" ht="33" customHeight="1" x14ac:dyDescent="0.2">
      <c r="A2" s="541" t="s">
        <v>936</v>
      </c>
      <c r="B2" s="541"/>
      <c r="C2" s="541"/>
      <c r="D2" s="541"/>
      <c r="E2" s="541"/>
      <c r="F2" s="541"/>
      <c r="G2" s="542" t="s">
        <v>857</v>
      </c>
      <c r="H2" s="542"/>
      <c r="I2" s="542"/>
      <c r="J2" s="542"/>
      <c r="K2" s="179" t="s">
        <v>864</v>
      </c>
      <c r="L2" s="543" t="s">
        <v>858</v>
      </c>
      <c r="M2" s="543"/>
      <c r="N2" s="543"/>
      <c r="O2" s="180" t="s">
        <v>864</v>
      </c>
      <c r="P2" s="119"/>
      <c r="Q2" s="119"/>
      <c r="R2" s="119"/>
      <c r="S2" s="119"/>
      <c r="T2" s="544" t="s">
        <v>937</v>
      </c>
      <c r="U2" s="545"/>
      <c r="V2" s="545"/>
      <c r="W2" s="545"/>
      <c r="X2" s="545"/>
      <c r="Y2" s="546"/>
      <c r="Z2" s="547" t="s">
        <v>857</v>
      </c>
      <c r="AA2" s="547"/>
      <c r="AB2" s="547"/>
      <c r="AC2" s="547"/>
      <c r="AD2" s="120" t="s">
        <v>864</v>
      </c>
      <c r="AE2" s="548" t="s">
        <v>858</v>
      </c>
      <c r="AF2" s="548"/>
      <c r="AG2" s="548"/>
      <c r="AH2" s="121" t="s">
        <v>864</v>
      </c>
    </row>
    <row r="3" spans="1:46" x14ac:dyDescent="0.2">
      <c r="A3" s="549"/>
      <c r="B3" s="549"/>
      <c r="C3" s="549"/>
      <c r="D3" s="549"/>
      <c r="E3" s="549"/>
      <c r="F3" s="549"/>
      <c r="G3" s="550" t="s">
        <v>862</v>
      </c>
      <c r="H3" s="550"/>
      <c r="I3" s="550" t="s">
        <v>865</v>
      </c>
      <c r="J3" s="550"/>
      <c r="K3" s="340"/>
      <c r="L3" s="550" t="s">
        <v>862</v>
      </c>
      <c r="M3" s="550"/>
      <c r="N3" s="183" t="s">
        <v>865</v>
      </c>
      <c r="O3" s="183"/>
      <c r="P3" s="122"/>
      <c r="Q3" s="122"/>
      <c r="R3" s="122"/>
      <c r="S3" s="122"/>
      <c r="T3" s="551"/>
      <c r="U3" s="552"/>
      <c r="V3" s="552"/>
      <c r="W3" s="552"/>
      <c r="X3" s="552"/>
      <c r="Y3" s="553"/>
      <c r="Z3" s="554" t="s">
        <v>862</v>
      </c>
      <c r="AA3" s="554"/>
      <c r="AB3" s="554" t="s">
        <v>865</v>
      </c>
      <c r="AC3" s="554"/>
      <c r="AD3" s="341"/>
      <c r="AE3" s="554" t="s">
        <v>862</v>
      </c>
      <c r="AF3" s="554"/>
      <c r="AG3" s="123" t="s">
        <v>865</v>
      </c>
      <c r="AH3" s="123"/>
    </row>
    <row r="4" spans="1:46" ht="19.5" customHeight="1" x14ac:dyDescent="0.2">
      <c r="A4" s="555" t="s">
        <v>893</v>
      </c>
      <c r="B4" s="555"/>
      <c r="C4" s="555"/>
      <c r="D4" s="555"/>
      <c r="E4" s="555"/>
      <c r="F4" s="555"/>
      <c r="G4" s="556">
        <f>SUMIF($G$18:$G$86,"SEG",$H$18:$H$86)</f>
        <v>0</v>
      </c>
      <c r="H4" s="556"/>
      <c r="I4" s="556">
        <f>SUMIF($G$18:$G$86,"SEG",$J$18:$J$86)</f>
        <v>0</v>
      </c>
      <c r="J4" s="556"/>
      <c r="K4" s="132" t="str">
        <f t="shared" ref="K4:K13" si="0">IF(G4=0,"",100*(G4-I4)/G4)</f>
        <v/>
      </c>
      <c r="L4" s="556">
        <f>SUMIF($G$18:$G$86,"SEG",$L$18:$L$86)</f>
        <v>0</v>
      </c>
      <c r="M4" s="556"/>
      <c r="N4" s="182">
        <f>SUMIF($G$18:$G$86,"SEG",$N$18:$N$86)</f>
        <v>0</v>
      </c>
      <c r="O4" s="132" t="str">
        <f>IF(L4=0,"",100*(L4-N4)/L4)</f>
        <v/>
      </c>
      <c r="P4" s="124"/>
      <c r="Q4" s="124"/>
      <c r="R4" s="124"/>
      <c r="S4" s="124"/>
      <c r="T4" s="557" t="s">
        <v>839</v>
      </c>
      <c r="U4" s="558"/>
      <c r="V4" s="558"/>
      <c r="W4" s="558"/>
      <c r="X4" s="558"/>
      <c r="Y4" s="559"/>
      <c r="Z4" s="556">
        <f>SUMIF($F$18:$F$86,"L1",$H$18:$H$86)</f>
        <v>0</v>
      </c>
      <c r="AA4" s="556"/>
      <c r="AB4" s="556">
        <f>SUMIF($F$18:$F$86,"L1",$J$18:$J$86)</f>
        <v>0</v>
      </c>
      <c r="AC4" s="556"/>
      <c r="AD4" s="132" t="str">
        <f t="shared" ref="AD4:AD13" si="1">IF(Z4=0,"",100*(Z4-AB4)/Z4)</f>
        <v/>
      </c>
      <c r="AE4" s="556">
        <f>SUMIF($F$18:$F$86,"L1",$L$18:$L$86)</f>
        <v>0</v>
      </c>
      <c r="AF4" s="556"/>
      <c r="AG4" s="182">
        <f>SUMIF($F$18:$F$86,"L1",$N$18:$N$86)</f>
        <v>0</v>
      </c>
      <c r="AH4" s="132" t="str">
        <f>IF(AE4=0,"",100*(AE4-AG4)/AE4)</f>
        <v/>
      </c>
    </row>
    <row r="5" spans="1:46" ht="18.75" customHeight="1" x14ac:dyDescent="0.2">
      <c r="A5" s="555" t="s">
        <v>898</v>
      </c>
      <c r="B5" s="555"/>
      <c r="C5" s="555"/>
      <c r="D5" s="555"/>
      <c r="E5" s="555"/>
      <c r="F5" s="555"/>
      <c r="G5" s="556">
        <f>SUMIF($G$18:$G$86,"CTT",$H$18:$H$86)</f>
        <v>0</v>
      </c>
      <c r="H5" s="556"/>
      <c r="I5" s="556">
        <f>SUMIF($G$18:$G$86,"CTT",$J$18:$J$86)</f>
        <v>0</v>
      </c>
      <c r="J5" s="556"/>
      <c r="K5" s="132" t="str">
        <f t="shared" si="0"/>
        <v/>
      </c>
      <c r="L5" s="556">
        <f>SUMIF($G$18:$G$86,"CTT",$L$18:$L$86)</f>
        <v>0</v>
      </c>
      <c r="M5" s="556"/>
      <c r="N5" s="182">
        <f>SUMIF($G$18:$G$86,"CTT",$N$18:$N$86)</f>
        <v>0</v>
      </c>
      <c r="O5" s="132" t="str">
        <f t="shared" ref="O5:O14" si="2">IF(L5=0,"",100*(L5-N5)/L5)</f>
        <v/>
      </c>
      <c r="P5" s="124"/>
      <c r="Q5" s="124"/>
      <c r="R5" s="124"/>
      <c r="S5" s="124"/>
      <c r="T5" s="557" t="s">
        <v>844</v>
      </c>
      <c r="U5" s="558"/>
      <c r="V5" s="558"/>
      <c r="W5" s="558"/>
      <c r="X5" s="558"/>
      <c r="Y5" s="559"/>
      <c r="Z5" s="556">
        <f>SUMIF($F$18:$F$86,"L2",$H$18:$H$86)</f>
        <v>0</v>
      </c>
      <c r="AA5" s="556"/>
      <c r="AB5" s="556">
        <f>SUMIF($F$18:$F$86,"L2",$J$18:$J$86)</f>
        <v>0</v>
      </c>
      <c r="AC5" s="556"/>
      <c r="AD5" s="132" t="str">
        <f t="shared" si="1"/>
        <v/>
      </c>
      <c r="AE5" s="556">
        <f>SUMIF($F$18:$F$86,"L2",$L$18:$L$86)</f>
        <v>0</v>
      </c>
      <c r="AF5" s="556"/>
      <c r="AG5" s="182">
        <f>SUMIF($F$18:$F$86,"L2",$N$18:$N$86)</f>
        <v>0</v>
      </c>
      <c r="AH5" s="132" t="str">
        <f t="shared" ref="AH5:AH14" si="3">IF(AE5=0,"",100*(AE5-AG5)/AE5)</f>
        <v/>
      </c>
    </row>
    <row r="6" spans="1:46" ht="19.5" customHeight="1" x14ac:dyDescent="0.2">
      <c r="A6" s="555" t="s">
        <v>903</v>
      </c>
      <c r="B6" s="555"/>
      <c r="C6" s="555"/>
      <c r="D6" s="555"/>
      <c r="E6" s="555"/>
      <c r="F6" s="555"/>
      <c r="G6" s="556">
        <f>SUMIF($G$18:$G$86,"GRA",$H$18:$H$86)</f>
        <v>0</v>
      </c>
      <c r="H6" s="556"/>
      <c r="I6" s="556">
        <f>SUMIF($G$18:$G$86,"GRA",$J$18:$J$86)</f>
        <v>0</v>
      </c>
      <c r="J6" s="556"/>
      <c r="K6" s="132" t="str">
        <f t="shared" si="0"/>
        <v/>
      </c>
      <c r="L6" s="556">
        <f>SUMIF($G$18:$G$86,"GRA",$L$18:$L$86)</f>
        <v>0</v>
      </c>
      <c r="M6" s="556"/>
      <c r="N6" s="182">
        <f>SUMIF($G$18:$G$86,"GRA",$N$18:$N$86)</f>
        <v>0</v>
      </c>
      <c r="O6" s="132" t="str">
        <f t="shared" si="2"/>
        <v/>
      </c>
      <c r="P6" s="124"/>
      <c r="Q6" s="124"/>
      <c r="R6" s="124"/>
      <c r="S6" s="124"/>
      <c r="T6" s="557" t="s">
        <v>849</v>
      </c>
      <c r="U6" s="558"/>
      <c r="V6" s="558"/>
      <c r="W6" s="558"/>
      <c r="X6" s="558"/>
      <c r="Y6" s="559"/>
      <c r="Z6" s="556">
        <f>SUMIF($F$18:$F$86,"L3",$H$18:$H$86)</f>
        <v>0</v>
      </c>
      <c r="AA6" s="556"/>
      <c r="AB6" s="556">
        <f>SUMIF($F$18:$F$86,"L3",$J$18:$J$86)</f>
        <v>0</v>
      </c>
      <c r="AC6" s="556"/>
      <c r="AD6" s="132" t="str">
        <f t="shared" si="1"/>
        <v/>
      </c>
      <c r="AE6" s="556">
        <f>SUMIF($F$18:$F$86,"L3",$L$18:$L$86)</f>
        <v>0</v>
      </c>
      <c r="AF6" s="556"/>
      <c r="AG6" s="182">
        <f>SUMIF($F$18:$F$86,"L3",$N$18:$N$86)</f>
        <v>0</v>
      </c>
      <c r="AH6" s="132" t="str">
        <f t="shared" si="3"/>
        <v/>
      </c>
    </row>
    <row r="7" spans="1:46" ht="18" customHeight="1" x14ac:dyDescent="0.2">
      <c r="A7" s="555" t="s">
        <v>909</v>
      </c>
      <c r="B7" s="555"/>
      <c r="C7" s="555"/>
      <c r="D7" s="555"/>
      <c r="E7" s="555"/>
      <c r="F7" s="555"/>
      <c r="G7" s="556">
        <f>SUMIF($G$18:$G$86,"TWR",$H$18:$H$86)</f>
        <v>0</v>
      </c>
      <c r="H7" s="556"/>
      <c r="I7" s="556">
        <f>SUMIF($G$18:$G$86,"TWR",$J$18:$J$86)</f>
        <v>0</v>
      </c>
      <c r="J7" s="556"/>
      <c r="K7" s="132" t="str">
        <f t="shared" si="0"/>
        <v/>
      </c>
      <c r="L7" s="556">
        <f>SUMIF($G$18:$G$86,"TWR",$L$18:$L$86)</f>
        <v>0</v>
      </c>
      <c r="M7" s="556"/>
      <c r="N7" s="182">
        <f>SUMIF($G$18:$G$86,"TWR",$N$18:$N$86)</f>
        <v>0</v>
      </c>
      <c r="O7" s="132" t="str">
        <f t="shared" si="2"/>
        <v/>
      </c>
      <c r="P7" s="124"/>
      <c r="Q7" s="124"/>
      <c r="R7" s="124"/>
      <c r="S7" s="124"/>
      <c r="T7" s="557" t="s">
        <v>852</v>
      </c>
      <c r="U7" s="558"/>
      <c r="V7" s="558"/>
      <c r="W7" s="558"/>
      <c r="X7" s="558"/>
      <c r="Y7" s="559"/>
      <c r="Z7" s="556">
        <f>SUMIF($F$18:$F$86,"L4",$H$18:$H$86)</f>
        <v>0</v>
      </c>
      <c r="AA7" s="556"/>
      <c r="AB7" s="556">
        <f>SUMIF($F$18:$F$86,"L4",$J$18:$J$86)</f>
        <v>0</v>
      </c>
      <c r="AC7" s="556"/>
      <c r="AD7" s="132" t="str">
        <f t="shared" si="1"/>
        <v/>
      </c>
      <c r="AE7" s="556">
        <f>SUMIF($F$18:$F$86,"L4",$L$18:$L$86)</f>
        <v>0</v>
      </c>
      <c r="AF7" s="556"/>
      <c r="AG7" s="182">
        <f>SUMIF($F$18:$F$86,"L4",$N$18:$N$86)</f>
        <v>0</v>
      </c>
      <c r="AH7" s="132" t="str">
        <f t="shared" si="3"/>
        <v/>
      </c>
    </row>
    <row r="8" spans="1:46" ht="19.5" customHeight="1" x14ac:dyDescent="0.2">
      <c r="A8" s="555" t="s">
        <v>912</v>
      </c>
      <c r="B8" s="555"/>
      <c r="C8" s="555"/>
      <c r="D8" s="555"/>
      <c r="E8" s="555"/>
      <c r="F8" s="555"/>
      <c r="G8" s="556">
        <f>SUMIF($G$18:$G$86,"QAG",$H$18:$H$86)</f>
        <v>0</v>
      </c>
      <c r="H8" s="556"/>
      <c r="I8" s="556">
        <f>SUMIF($G$18:$G$86,"QAG",$J$18:$J$86)</f>
        <v>0</v>
      </c>
      <c r="J8" s="556"/>
      <c r="K8" s="132" t="str">
        <f t="shared" si="0"/>
        <v/>
      </c>
      <c r="L8" s="556">
        <f>SUMIF($G$18:$G$86,"QAG",$L$18:$L$86)</f>
        <v>0</v>
      </c>
      <c r="M8" s="556"/>
      <c r="N8" s="182">
        <f>SUMIF($G$18:$G$86,"QAG",$N$18:$N$86)</f>
        <v>0</v>
      </c>
      <c r="O8" s="132" t="str">
        <f t="shared" si="2"/>
        <v/>
      </c>
      <c r="P8" s="124"/>
      <c r="Q8" s="124"/>
      <c r="R8" s="124"/>
      <c r="S8" s="124"/>
      <c r="T8" s="557" t="s">
        <v>840</v>
      </c>
      <c r="U8" s="558"/>
      <c r="V8" s="558"/>
      <c r="W8" s="558"/>
      <c r="X8" s="558"/>
      <c r="Y8" s="559"/>
      <c r="Z8" s="556">
        <f>SUMIF($F$18:$F$86,"L5",$H$18:$H$86)</f>
        <v>0</v>
      </c>
      <c r="AA8" s="556"/>
      <c r="AB8" s="556">
        <f>SUMIF($F$18:$F$86,"L5",$J$18:$J$86)</f>
        <v>0</v>
      </c>
      <c r="AC8" s="556"/>
      <c r="AD8" s="132" t="str">
        <f t="shared" si="1"/>
        <v/>
      </c>
      <c r="AE8" s="556">
        <f>SUMIF($F$18:$F$86,"L5",$L$18:$L$86)</f>
        <v>0</v>
      </c>
      <c r="AF8" s="556"/>
      <c r="AG8" s="182">
        <f>SUMIF($F$18:$F$86,"L5",$N$18:$N$86)</f>
        <v>0</v>
      </c>
      <c r="AH8" s="132" t="str">
        <f t="shared" si="3"/>
        <v/>
      </c>
      <c r="AK8" s="146" t="s">
        <v>885</v>
      </c>
      <c r="AL8" s="521" t="s">
        <v>886</v>
      </c>
      <c r="AM8" s="521"/>
      <c r="AN8" s="521"/>
      <c r="AO8" s="521"/>
      <c r="AP8" s="521"/>
      <c r="AR8" s="342" t="s">
        <v>835</v>
      </c>
      <c r="AT8" s="148" t="s">
        <v>887</v>
      </c>
    </row>
    <row r="9" spans="1:46" ht="17.25" customHeight="1" x14ac:dyDescent="0.2">
      <c r="A9" s="555" t="s">
        <v>915</v>
      </c>
      <c r="B9" s="555"/>
      <c r="C9" s="555"/>
      <c r="D9" s="555"/>
      <c r="E9" s="555"/>
      <c r="F9" s="555"/>
      <c r="G9" s="556">
        <f>SUMIF($G$18:$G$86,"ORG",$H$18:$H$86)</f>
        <v>0</v>
      </c>
      <c r="H9" s="556"/>
      <c r="I9" s="556">
        <f>SUMIF($G$18:$G$86,"ORG",$J$18:$J$86)</f>
        <v>0</v>
      </c>
      <c r="J9" s="556"/>
      <c r="K9" s="132" t="str">
        <f t="shared" si="0"/>
        <v/>
      </c>
      <c r="L9" s="556">
        <f>SUMIF($G$18:$G$86,"ORG",$L$18:$L$86)</f>
        <v>0</v>
      </c>
      <c r="M9" s="556"/>
      <c r="N9" s="182">
        <f>SUMIF($G$18:$G$86,"ORG",$N$18:$N$86)</f>
        <v>0</v>
      </c>
      <c r="O9" s="132" t="str">
        <f t="shared" si="2"/>
        <v/>
      </c>
      <c r="P9" s="124"/>
      <c r="Q9" s="124"/>
      <c r="R9" s="124"/>
      <c r="S9" s="124"/>
      <c r="T9" s="557" t="s">
        <v>845</v>
      </c>
      <c r="U9" s="558"/>
      <c r="V9" s="558"/>
      <c r="W9" s="558"/>
      <c r="X9" s="558"/>
      <c r="Y9" s="559"/>
      <c r="Z9" s="556">
        <f>SUMIF($F$18:$F$86,"L6",$H$18:$H$86)</f>
        <v>0</v>
      </c>
      <c r="AA9" s="556"/>
      <c r="AB9" s="556">
        <f>SUMIF($F$18:$F$86,"L6",$J$18:$J$86)</f>
        <v>0</v>
      </c>
      <c r="AC9" s="556"/>
      <c r="AD9" s="132" t="str">
        <f t="shared" si="1"/>
        <v/>
      </c>
      <c r="AE9" s="556">
        <f>SUMIF($F$18:$F$86,"L6",$L$18:$L$86)</f>
        <v>0</v>
      </c>
      <c r="AF9" s="556"/>
      <c r="AG9" s="182">
        <f>SUMIF($F$18:$F$86,"L6",$N$18:$N$86)</f>
        <v>0</v>
      </c>
      <c r="AH9" s="132" t="str">
        <f t="shared" si="3"/>
        <v/>
      </c>
      <c r="AK9" s="154"/>
      <c r="AL9" s="519"/>
      <c r="AM9" s="519"/>
      <c r="AN9" s="519"/>
      <c r="AO9" s="519"/>
      <c r="AP9" s="519"/>
      <c r="AR9" s="337"/>
      <c r="AT9" s="96"/>
    </row>
    <row r="10" spans="1:46" ht="18" customHeight="1" x14ac:dyDescent="0.2">
      <c r="A10" s="555" t="s">
        <v>918</v>
      </c>
      <c r="B10" s="555"/>
      <c r="C10" s="555"/>
      <c r="D10" s="555"/>
      <c r="E10" s="555"/>
      <c r="F10" s="555"/>
      <c r="G10" s="556">
        <f>SUMIF($G$18:$G$86,"PMS",$H$18:$H$86)</f>
        <v>0</v>
      </c>
      <c r="H10" s="556"/>
      <c r="I10" s="556">
        <f>SUMIF($G$18:$G$86,"PMS",$J$18:$J$86)</f>
        <v>0</v>
      </c>
      <c r="J10" s="556"/>
      <c r="K10" s="132" t="str">
        <f t="shared" si="0"/>
        <v/>
      </c>
      <c r="L10" s="556">
        <f>SUMIF($G$18:$G$86,"PMS",$L$18:$L$86)</f>
        <v>0</v>
      </c>
      <c r="M10" s="556"/>
      <c r="N10" s="182">
        <f>SUMIF($G$18:$G$86,"PMS",$N$18:$N$86)</f>
        <v>0</v>
      </c>
      <c r="O10" s="132" t="str">
        <f t="shared" si="2"/>
        <v/>
      </c>
      <c r="P10" s="124"/>
      <c r="Q10" s="124"/>
      <c r="R10" s="124"/>
      <c r="S10" s="124"/>
      <c r="T10" s="557" t="s">
        <v>850</v>
      </c>
      <c r="U10" s="558"/>
      <c r="V10" s="558"/>
      <c r="W10" s="558"/>
      <c r="X10" s="558"/>
      <c r="Y10" s="559"/>
      <c r="Z10" s="556">
        <f>SUMIF($F$18:$F$86,"L7",$H$18:$H$86)</f>
        <v>0</v>
      </c>
      <c r="AA10" s="556"/>
      <c r="AB10" s="556">
        <f>SUMIF($F$18:$F$86,"L7",$J$18:$J$86)</f>
        <v>0</v>
      </c>
      <c r="AC10" s="556"/>
      <c r="AD10" s="132" t="str">
        <f t="shared" si="1"/>
        <v/>
      </c>
      <c r="AE10" s="556">
        <f>SUMIF($F$18:$F$86,"L7",$L$18:$L$86)</f>
        <v>0</v>
      </c>
      <c r="AF10" s="556"/>
      <c r="AG10" s="182">
        <f>SUMIF($F$18:$F$86,"L7",$N$18:$N$86)</f>
        <v>0</v>
      </c>
      <c r="AH10" s="132" t="str">
        <f t="shared" si="3"/>
        <v/>
      </c>
      <c r="AK10" s="147" t="s">
        <v>892</v>
      </c>
      <c r="AL10" s="520" t="s">
        <v>893</v>
      </c>
      <c r="AM10" s="520"/>
      <c r="AN10" s="520"/>
      <c r="AO10" s="520"/>
      <c r="AP10" s="520"/>
      <c r="AR10" s="337" t="s">
        <v>839</v>
      </c>
      <c r="AT10" s="272" t="s">
        <v>894</v>
      </c>
    </row>
    <row r="11" spans="1:46" ht="18.75" customHeight="1" x14ac:dyDescent="0.2">
      <c r="A11" s="555" t="s">
        <v>920</v>
      </c>
      <c r="B11" s="555"/>
      <c r="C11" s="555"/>
      <c r="D11" s="555"/>
      <c r="E11" s="555"/>
      <c r="F11" s="555"/>
      <c r="G11" s="556">
        <f>SUMIF($G$18:$G$86,"ARC",$H$18:$H$86)</f>
        <v>0</v>
      </c>
      <c r="H11" s="556"/>
      <c r="I11" s="556">
        <f>SUMIF($G$18:$G$86,"ARC",$J$18:$J$86)</f>
        <v>0</v>
      </c>
      <c r="J11" s="556"/>
      <c r="K11" s="132" t="str">
        <f t="shared" si="0"/>
        <v/>
      </c>
      <c r="L11" s="556">
        <f>SUMIF($G$18:$G$86,"ARC",$L$18:$L$86)</f>
        <v>0</v>
      </c>
      <c r="M11" s="556"/>
      <c r="N11" s="182">
        <f>SUMIF($G$18:$G$86,"ARC",$N$18:$N$86)</f>
        <v>0</v>
      </c>
      <c r="O11" s="132" t="str">
        <f t="shared" si="2"/>
        <v/>
      </c>
      <c r="P11" s="124"/>
      <c r="Q11" s="124"/>
      <c r="R11" s="124"/>
      <c r="S11" s="124"/>
      <c r="T11" s="557" t="s">
        <v>853</v>
      </c>
      <c r="U11" s="558"/>
      <c r="V11" s="558"/>
      <c r="W11" s="558"/>
      <c r="X11" s="558"/>
      <c r="Y11" s="559"/>
      <c r="Z11" s="556">
        <f>SUMIF($F$18:$F$86,"L8",$H$18:$H$86)</f>
        <v>0</v>
      </c>
      <c r="AA11" s="556"/>
      <c r="AB11" s="556">
        <f>SUMIF($F$18:$F$86,"L8",$J$18:$J$86)</f>
        <v>0</v>
      </c>
      <c r="AC11" s="556"/>
      <c r="AD11" s="132" t="str">
        <f t="shared" si="1"/>
        <v/>
      </c>
      <c r="AE11" s="556">
        <f>SUMIF($F$18:$F$86,"L8",$L$18:$L$86)</f>
        <v>0</v>
      </c>
      <c r="AF11" s="556"/>
      <c r="AG11" s="182">
        <f>SUMIF($F$18:$F$86,"L8",$N$18:$N$86)</f>
        <v>0</v>
      </c>
      <c r="AH11" s="132" t="str">
        <f t="shared" si="3"/>
        <v/>
      </c>
      <c r="AK11" s="147" t="s">
        <v>897</v>
      </c>
      <c r="AL11" s="520" t="s">
        <v>898</v>
      </c>
      <c r="AM11" s="520"/>
      <c r="AN11" s="520"/>
      <c r="AO11" s="520"/>
      <c r="AP11" s="520"/>
      <c r="AR11" s="337" t="s">
        <v>844</v>
      </c>
      <c r="AT11" s="272" t="s">
        <v>899</v>
      </c>
    </row>
    <row r="12" spans="1:46" ht="17.25" customHeight="1" x14ac:dyDescent="0.2">
      <c r="A12" s="555" t="s">
        <v>922</v>
      </c>
      <c r="B12" s="555"/>
      <c r="C12" s="555"/>
      <c r="D12" s="555"/>
      <c r="E12" s="555"/>
      <c r="F12" s="555"/>
      <c r="G12" s="556">
        <f>SUMIF($G$18:$G$86,"BAS",$H$18:$H$86)</f>
        <v>0</v>
      </c>
      <c r="H12" s="556"/>
      <c r="I12" s="556">
        <f>SUMIF($G$18:$G$86,"BAS",$J$18:$J$86)</f>
        <v>0</v>
      </c>
      <c r="J12" s="556"/>
      <c r="K12" s="132" t="str">
        <f t="shared" si="0"/>
        <v/>
      </c>
      <c r="L12" s="556">
        <f>SUMIF($G$18:$G$86,"BAS",$L$18:$L$86)</f>
        <v>0</v>
      </c>
      <c r="M12" s="556"/>
      <c r="N12" s="182">
        <f>SUMIF($G$18:$G$86,"BAS",$N$18:$N$86)</f>
        <v>0</v>
      </c>
      <c r="O12" s="132" t="str">
        <f t="shared" si="2"/>
        <v/>
      </c>
      <c r="P12" s="124"/>
      <c r="Q12" s="124"/>
      <c r="R12" s="124"/>
      <c r="S12" s="124"/>
      <c r="T12" s="557" t="s">
        <v>841</v>
      </c>
      <c r="U12" s="558"/>
      <c r="V12" s="558"/>
      <c r="W12" s="558"/>
      <c r="X12" s="558"/>
      <c r="Y12" s="559"/>
      <c r="Z12" s="556">
        <f>SUMIF($F$18:$F$86,"L9",$H$18:$H$86)</f>
        <v>0</v>
      </c>
      <c r="AA12" s="556"/>
      <c r="AB12" s="556">
        <f>SUMIF($F$18:$F$86,"L9",$J$18:$J$86)</f>
        <v>0</v>
      </c>
      <c r="AC12" s="556"/>
      <c r="AD12" s="132" t="str">
        <f t="shared" si="1"/>
        <v/>
      </c>
      <c r="AE12" s="556">
        <f>SUMIF($F$18:$F$86,"L9",$L$18:$L$86)</f>
        <v>0</v>
      </c>
      <c r="AF12" s="556"/>
      <c r="AG12" s="182">
        <f>SUMIF($F$18:$F$86,"L9",$N$18:$N$86)</f>
        <v>0</v>
      </c>
      <c r="AH12" s="132" t="str">
        <f t="shared" si="3"/>
        <v/>
      </c>
      <c r="AK12" s="147" t="s">
        <v>902</v>
      </c>
      <c r="AL12" s="520" t="s">
        <v>903</v>
      </c>
      <c r="AM12" s="520"/>
      <c r="AN12" s="520"/>
      <c r="AO12" s="520"/>
      <c r="AP12" s="520"/>
      <c r="AR12" s="337" t="s">
        <v>849</v>
      </c>
      <c r="AT12" s="272" t="s">
        <v>904</v>
      </c>
    </row>
    <row r="13" spans="1:46" ht="18.75" customHeight="1" x14ac:dyDescent="0.2">
      <c r="A13" s="555" t="s">
        <v>924</v>
      </c>
      <c r="B13" s="555"/>
      <c r="C13" s="555"/>
      <c r="D13" s="555"/>
      <c r="E13" s="555"/>
      <c r="F13" s="555"/>
      <c r="G13" s="556">
        <f>SUMIF($G$18:$G$86,"PMO",$H$18:$H$86)</f>
        <v>0</v>
      </c>
      <c r="H13" s="556"/>
      <c r="I13" s="556">
        <f>SUMIF($G$18:$G$86,"PMO",$J$18:$J$86)</f>
        <v>0</v>
      </c>
      <c r="J13" s="556"/>
      <c r="K13" s="132" t="str">
        <f t="shared" si="0"/>
        <v/>
      </c>
      <c r="L13" s="556">
        <f>SUMIF($G$18:$G$86,"PMO",$L$18:$L$86)</f>
        <v>0</v>
      </c>
      <c r="M13" s="556"/>
      <c r="N13" s="182">
        <f>SUMIF($G$18:$G$29,"PMO",$N$18:$N$29)</f>
        <v>0</v>
      </c>
      <c r="O13" s="132" t="str">
        <f t="shared" si="2"/>
        <v/>
      </c>
      <c r="P13" s="124"/>
      <c r="Q13" s="124"/>
      <c r="R13" s="124"/>
      <c r="S13" s="124"/>
      <c r="T13" s="557" t="s">
        <v>846</v>
      </c>
      <c r="U13" s="558"/>
      <c r="V13" s="558"/>
      <c r="W13" s="558"/>
      <c r="X13" s="558"/>
      <c r="Y13" s="559"/>
      <c r="Z13" s="556">
        <f>SUMIF($F$18:$F$86,"L10",$H$18:$H$86)</f>
        <v>0</v>
      </c>
      <c r="AA13" s="556"/>
      <c r="AB13" s="556">
        <f>SUMIF($F$18:$F$86,"L10",$J$18:$J$86)</f>
        <v>0</v>
      </c>
      <c r="AC13" s="556"/>
      <c r="AD13" s="132" t="str">
        <f t="shared" si="1"/>
        <v/>
      </c>
      <c r="AE13" s="556">
        <f>SUMIF($F$18:$F$86,"L10",$L$18:$L$86)</f>
        <v>0</v>
      </c>
      <c r="AF13" s="556"/>
      <c r="AG13" s="182">
        <f>SUMIF($F$18:$F$86,"L10",$N$18:$N$86)</f>
        <v>0</v>
      </c>
      <c r="AH13" s="132" t="str">
        <f t="shared" si="3"/>
        <v/>
      </c>
      <c r="AK13" s="147" t="s">
        <v>908</v>
      </c>
      <c r="AL13" s="520" t="s">
        <v>909</v>
      </c>
      <c r="AM13" s="520"/>
      <c r="AN13" s="520"/>
      <c r="AO13" s="520"/>
      <c r="AP13" s="520"/>
      <c r="AR13" s="337" t="s">
        <v>852</v>
      </c>
    </row>
    <row r="14" spans="1:46" ht="31.5" customHeight="1" thickBot="1" x14ac:dyDescent="0.25">
      <c r="A14" s="493" t="s">
        <v>938</v>
      </c>
      <c r="B14" s="493"/>
      <c r="C14" s="493"/>
      <c r="D14" s="493"/>
      <c r="E14" s="493"/>
      <c r="F14" s="493"/>
      <c r="G14" s="522">
        <f>SUM(G4:G13)</f>
        <v>0</v>
      </c>
      <c r="H14" s="523"/>
      <c r="I14" s="522">
        <f>SUM(I4:I13)</f>
        <v>0</v>
      </c>
      <c r="J14" s="523"/>
      <c r="K14" s="137" t="str">
        <f>IF(G14=0,"",100*((G14-I14)/G14))</f>
        <v/>
      </c>
      <c r="L14" s="522">
        <f>SUM(L4:L13)</f>
        <v>0</v>
      </c>
      <c r="M14" s="523"/>
      <c r="N14" s="136">
        <f>SUM(N4:N13)</f>
        <v>0</v>
      </c>
      <c r="O14" s="137" t="str">
        <f t="shared" si="2"/>
        <v/>
      </c>
      <c r="P14" s="124"/>
      <c r="Q14" s="124"/>
      <c r="R14" s="124"/>
      <c r="S14" s="124"/>
      <c r="T14" s="524" t="s">
        <v>938</v>
      </c>
      <c r="U14" s="525"/>
      <c r="V14" s="525"/>
      <c r="W14" s="525"/>
      <c r="X14" s="525"/>
      <c r="Y14" s="526"/>
      <c r="Z14" s="522">
        <f>SUM(Z4:Z13)</f>
        <v>0</v>
      </c>
      <c r="AA14" s="523"/>
      <c r="AB14" s="522">
        <f>SUM(AB4:AB13)</f>
        <v>0</v>
      </c>
      <c r="AC14" s="523"/>
      <c r="AD14" s="137" t="str">
        <f>IF(Z14=0,"",100*((Z14-AB14)/Z14))</f>
        <v/>
      </c>
      <c r="AE14" s="522">
        <f>SUM(AE4:AE13)</f>
        <v>0</v>
      </c>
      <c r="AF14" s="523"/>
      <c r="AG14" s="136">
        <f>SUM(AG4:AG13)</f>
        <v>0</v>
      </c>
      <c r="AH14" s="137" t="str">
        <f t="shared" si="3"/>
        <v/>
      </c>
      <c r="AK14" s="147" t="s">
        <v>911</v>
      </c>
      <c r="AL14" s="520" t="s">
        <v>912</v>
      </c>
      <c r="AM14" s="520"/>
      <c r="AN14" s="520"/>
      <c r="AO14" s="520"/>
      <c r="AP14" s="520"/>
      <c r="AR14" s="337" t="s">
        <v>840</v>
      </c>
    </row>
    <row r="15" spans="1:46" x14ac:dyDescent="0.2">
      <c r="AK15" s="147" t="s">
        <v>914</v>
      </c>
      <c r="AL15" s="520" t="s">
        <v>915</v>
      </c>
      <c r="AM15" s="520"/>
      <c r="AN15" s="520"/>
      <c r="AO15" s="520"/>
      <c r="AP15" s="520"/>
      <c r="AR15" s="337" t="s">
        <v>845</v>
      </c>
    </row>
    <row r="16" spans="1:46" ht="25.5" customHeight="1" x14ac:dyDescent="0.2">
      <c r="A16" s="144" t="s">
        <v>939</v>
      </c>
      <c r="B16" s="527" t="s">
        <v>940</v>
      </c>
      <c r="C16" s="527"/>
      <c r="D16" s="527"/>
      <c r="E16" s="527"/>
      <c r="F16" s="178" t="s">
        <v>941</v>
      </c>
      <c r="G16" s="178" t="s">
        <v>942</v>
      </c>
      <c r="H16" s="528" t="s">
        <v>943</v>
      </c>
      <c r="I16" s="528"/>
      <c r="J16" s="528"/>
      <c r="K16" s="120" t="s">
        <v>864</v>
      </c>
      <c r="L16" s="529" t="s">
        <v>944</v>
      </c>
      <c r="M16" s="529"/>
      <c r="N16" s="529"/>
      <c r="O16" s="121" t="s">
        <v>864</v>
      </c>
      <c r="P16" s="149" t="s">
        <v>887</v>
      </c>
      <c r="Q16" s="149"/>
      <c r="R16" s="149"/>
      <c r="S16" s="149"/>
      <c r="T16" s="184" t="s">
        <v>945</v>
      </c>
      <c r="U16" s="147"/>
      <c r="V16" s="147"/>
      <c r="W16" s="147"/>
      <c r="X16" s="147"/>
      <c r="Y16" s="147"/>
      <c r="Z16" s="184" t="s">
        <v>946</v>
      </c>
      <c r="AK16" s="147" t="s">
        <v>917</v>
      </c>
      <c r="AL16" s="520" t="s">
        <v>918</v>
      </c>
      <c r="AM16" s="520"/>
      <c r="AN16" s="520"/>
      <c r="AO16" s="520"/>
      <c r="AP16" s="520"/>
      <c r="AR16" s="337" t="s">
        <v>850</v>
      </c>
    </row>
    <row r="17" spans="1:44" ht="20.25" customHeight="1" x14ac:dyDescent="0.2">
      <c r="A17" s="125"/>
      <c r="B17" s="530"/>
      <c r="C17" s="530"/>
      <c r="D17" s="530"/>
      <c r="E17" s="530"/>
      <c r="F17" s="181"/>
      <c r="G17" s="178"/>
      <c r="H17" s="528" t="s">
        <v>947</v>
      </c>
      <c r="I17" s="528"/>
      <c r="J17" s="120" t="s">
        <v>948</v>
      </c>
      <c r="K17" s="120" t="s">
        <v>864</v>
      </c>
      <c r="L17" s="529" t="s">
        <v>947</v>
      </c>
      <c r="M17" s="529"/>
      <c r="N17" s="121" t="s">
        <v>948</v>
      </c>
      <c r="O17" s="121" t="s">
        <v>864</v>
      </c>
      <c r="P17" s="150"/>
      <c r="Q17" s="150"/>
      <c r="R17" s="150"/>
      <c r="S17" s="150"/>
      <c r="T17" s="151"/>
      <c r="U17" s="147"/>
      <c r="V17" s="147"/>
      <c r="W17" s="147"/>
      <c r="X17" s="147"/>
      <c r="Y17" s="147"/>
      <c r="Z17" s="147"/>
      <c r="AK17" s="147" t="s">
        <v>234</v>
      </c>
      <c r="AL17" s="520" t="s">
        <v>920</v>
      </c>
      <c r="AM17" s="520"/>
      <c r="AN17" s="520"/>
      <c r="AO17" s="520"/>
      <c r="AP17" s="520"/>
      <c r="AR17" s="337" t="s">
        <v>853</v>
      </c>
    </row>
    <row r="18" spans="1:44" ht="12.75" customHeight="1" x14ac:dyDescent="0.2">
      <c r="A18" s="157"/>
      <c r="B18" s="531"/>
      <c r="C18" s="532"/>
      <c r="D18" s="532"/>
      <c r="E18" s="533"/>
      <c r="F18" s="177"/>
      <c r="G18" s="126"/>
      <c r="H18" s="534"/>
      <c r="I18" s="535"/>
      <c r="K18" s="132" t="str">
        <f>IF(H18="","",100*((H18-J18)/H18))</f>
        <v/>
      </c>
      <c r="L18" s="536"/>
      <c r="M18" s="536"/>
      <c r="N18" s="177"/>
      <c r="O18" s="132" t="str">
        <f t="shared" ref="O18:O67" si="4">IF(L18="","",100*((L18-N18)/L18))</f>
        <v/>
      </c>
      <c r="P18" s="150" t="s">
        <v>904</v>
      </c>
      <c r="Q18" s="151">
        <f>IF(P18&lt;&gt;"Available ",0,1)</f>
        <v>0</v>
      </c>
      <c r="R18" s="151">
        <f>IF(P18&lt;&gt;"Resigned",0,1)</f>
        <v>0</v>
      </c>
      <c r="S18" s="151">
        <f>IF(P18&lt;&gt;"Not Available",0,1)</f>
        <v>0</v>
      </c>
      <c r="T18" s="151">
        <f>(H18+L18)*100/160</f>
        <v>0</v>
      </c>
      <c r="U18" s="147"/>
      <c r="V18" s="147"/>
      <c r="W18" s="147"/>
      <c r="X18" s="147"/>
      <c r="Y18" s="147"/>
      <c r="Z18" s="147">
        <f>(J18+N18)*100/160</f>
        <v>0</v>
      </c>
      <c r="AK18" s="147" t="s">
        <v>921</v>
      </c>
      <c r="AL18" s="520" t="s">
        <v>922</v>
      </c>
      <c r="AM18" s="520"/>
      <c r="AN18" s="520"/>
      <c r="AO18" s="520"/>
      <c r="AP18" s="520"/>
      <c r="AR18" s="337" t="s">
        <v>841</v>
      </c>
    </row>
    <row r="19" spans="1:44" x14ac:dyDescent="0.2">
      <c r="A19" s="157"/>
      <c r="B19" s="531"/>
      <c r="C19" s="532"/>
      <c r="D19" s="532"/>
      <c r="E19" s="533"/>
      <c r="F19" s="177"/>
      <c r="G19" s="126"/>
      <c r="H19" s="534"/>
      <c r="I19" s="535"/>
      <c r="J19" s="177"/>
      <c r="K19" s="132" t="str">
        <f t="shared" ref="K19:K67" si="5">IF(H19="","",100*((H19-J19)/H19))</f>
        <v/>
      </c>
      <c r="L19" s="536"/>
      <c r="M19" s="536"/>
      <c r="N19" s="177"/>
      <c r="O19" s="132" t="str">
        <f t="shared" si="4"/>
        <v/>
      </c>
      <c r="P19" s="150" t="s">
        <v>904</v>
      </c>
      <c r="Q19" s="151">
        <f t="shared" ref="Q19:Q68" si="6">IF(P19&lt;&gt;"Available ",0,1)</f>
        <v>0</v>
      </c>
      <c r="R19" s="151">
        <f t="shared" ref="R19:R68" si="7">IF(P19&lt;&gt;"Resigned",0,1)</f>
        <v>0</v>
      </c>
      <c r="S19" s="151">
        <f t="shared" ref="S19:S68" si="8">IF(P19&lt;&gt;"Not Available",0,1)</f>
        <v>0</v>
      </c>
      <c r="T19" s="151">
        <f t="shared" ref="T19:T68" si="9">(H19+L19)*100/160</f>
        <v>0</v>
      </c>
      <c r="U19" s="147"/>
      <c r="V19" s="147"/>
      <c r="W19" s="147"/>
      <c r="X19" s="147"/>
      <c r="Y19" s="147"/>
      <c r="Z19" s="147">
        <f t="shared" ref="Z19:Z68" si="10">(J19+N19)*100/160</f>
        <v>0</v>
      </c>
      <c r="AK19" s="147" t="s">
        <v>923</v>
      </c>
      <c r="AL19" s="520" t="s">
        <v>924</v>
      </c>
      <c r="AM19" s="520"/>
      <c r="AN19" s="520"/>
      <c r="AO19" s="520"/>
      <c r="AP19" s="520"/>
      <c r="AR19" s="337" t="s">
        <v>846</v>
      </c>
    </row>
    <row r="20" spans="1:44" x14ac:dyDescent="0.2">
      <c r="A20" s="157"/>
      <c r="B20" s="531"/>
      <c r="C20" s="532"/>
      <c r="D20" s="532"/>
      <c r="E20" s="533"/>
      <c r="F20" s="177"/>
      <c r="G20" s="126"/>
      <c r="H20" s="534"/>
      <c r="I20" s="535"/>
      <c r="J20" s="177"/>
      <c r="K20" s="132" t="str">
        <f t="shared" si="5"/>
        <v/>
      </c>
      <c r="L20" s="536"/>
      <c r="M20" s="536"/>
      <c r="N20" s="177"/>
      <c r="O20" s="132" t="str">
        <f t="shared" si="4"/>
        <v/>
      </c>
      <c r="P20" s="150" t="s">
        <v>904</v>
      </c>
      <c r="Q20" s="151">
        <f t="shared" si="6"/>
        <v>0</v>
      </c>
      <c r="R20" s="151">
        <f t="shared" si="7"/>
        <v>0</v>
      </c>
      <c r="S20" s="151">
        <f t="shared" si="8"/>
        <v>0</v>
      </c>
      <c r="T20" s="151">
        <f t="shared" si="9"/>
        <v>0</v>
      </c>
      <c r="U20" s="147"/>
      <c r="V20" s="147"/>
      <c r="W20" s="147"/>
      <c r="X20" s="147"/>
      <c r="Y20" s="147"/>
      <c r="Z20" s="147">
        <f t="shared" si="10"/>
        <v>0</v>
      </c>
    </row>
    <row r="21" spans="1:44" x14ac:dyDescent="0.2">
      <c r="A21" s="157"/>
      <c r="B21" s="531"/>
      <c r="C21" s="532"/>
      <c r="D21" s="532"/>
      <c r="E21" s="533"/>
      <c r="F21" s="177"/>
      <c r="G21" s="126"/>
      <c r="H21" s="534"/>
      <c r="I21" s="535"/>
      <c r="J21" s="177"/>
      <c r="K21" s="132" t="str">
        <f t="shared" si="5"/>
        <v/>
      </c>
      <c r="L21" s="534"/>
      <c r="M21" s="535"/>
      <c r="N21" s="177"/>
      <c r="O21" s="132" t="str">
        <f t="shared" si="4"/>
        <v/>
      </c>
      <c r="P21" s="150" t="s">
        <v>904</v>
      </c>
      <c r="Q21" s="151">
        <f t="shared" si="6"/>
        <v>0</v>
      </c>
      <c r="R21" s="151">
        <f t="shared" si="7"/>
        <v>0</v>
      </c>
      <c r="S21" s="151">
        <f t="shared" si="8"/>
        <v>0</v>
      </c>
      <c r="T21" s="151">
        <f t="shared" si="9"/>
        <v>0</v>
      </c>
      <c r="U21" s="147"/>
      <c r="V21" s="147"/>
      <c r="W21" s="147"/>
      <c r="X21" s="147"/>
      <c r="Y21" s="147"/>
      <c r="Z21" s="147">
        <f t="shared" si="10"/>
        <v>0</v>
      </c>
    </row>
    <row r="22" spans="1:44" x14ac:dyDescent="0.2">
      <c r="A22" s="157"/>
      <c r="B22" s="531"/>
      <c r="C22" s="532"/>
      <c r="D22" s="532"/>
      <c r="E22" s="533"/>
      <c r="F22" s="177"/>
      <c r="G22" s="126"/>
      <c r="H22" s="534"/>
      <c r="I22" s="535"/>
      <c r="J22" s="177"/>
      <c r="K22" s="132" t="str">
        <f t="shared" si="5"/>
        <v/>
      </c>
      <c r="L22" s="534"/>
      <c r="M22" s="535"/>
      <c r="N22" s="177"/>
      <c r="O22" s="132" t="str">
        <f t="shared" si="4"/>
        <v/>
      </c>
      <c r="P22" s="150" t="s">
        <v>904</v>
      </c>
      <c r="Q22" s="151">
        <f t="shared" si="6"/>
        <v>0</v>
      </c>
      <c r="R22" s="151">
        <f t="shared" si="7"/>
        <v>0</v>
      </c>
      <c r="S22" s="151">
        <f t="shared" si="8"/>
        <v>0</v>
      </c>
      <c r="T22" s="151">
        <f t="shared" si="9"/>
        <v>0</v>
      </c>
      <c r="U22" s="147"/>
      <c r="V22" s="147"/>
      <c r="W22" s="147"/>
      <c r="X22" s="147"/>
      <c r="Y22" s="147"/>
      <c r="Z22" s="147">
        <f t="shared" si="10"/>
        <v>0</v>
      </c>
    </row>
    <row r="23" spans="1:44" x14ac:dyDescent="0.2">
      <c r="A23" s="157"/>
      <c r="B23" s="531"/>
      <c r="C23" s="532"/>
      <c r="D23" s="532"/>
      <c r="E23" s="533"/>
      <c r="F23" s="177"/>
      <c r="G23" s="126"/>
      <c r="H23" s="534"/>
      <c r="I23" s="535"/>
      <c r="J23" s="177"/>
      <c r="K23" s="132" t="str">
        <f t="shared" si="5"/>
        <v/>
      </c>
      <c r="L23" s="534"/>
      <c r="M23" s="535"/>
      <c r="N23" s="177"/>
      <c r="O23" s="132" t="str">
        <f t="shared" si="4"/>
        <v/>
      </c>
      <c r="P23" s="150" t="s">
        <v>904</v>
      </c>
      <c r="Q23" s="151">
        <f t="shared" si="6"/>
        <v>0</v>
      </c>
      <c r="R23" s="151">
        <f t="shared" si="7"/>
        <v>0</v>
      </c>
      <c r="S23" s="151">
        <f t="shared" si="8"/>
        <v>0</v>
      </c>
      <c r="T23" s="151">
        <f t="shared" si="9"/>
        <v>0</v>
      </c>
      <c r="U23" s="147"/>
      <c r="V23" s="147"/>
      <c r="W23" s="147"/>
      <c r="X23" s="147"/>
      <c r="Y23" s="147"/>
      <c r="Z23" s="147">
        <f t="shared" si="10"/>
        <v>0</v>
      </c>
    </row>
    <row r="24" spans="1:44" x14ac:dyDescent="0.2">
      <c r="A24" s="157"/>
      <c r="B24" s="531"/>
      <c r="C24" s="532"/>
      <c r="D24" s="532"/>
      <c r="E24" s="533"/>
      <c r="F24" s="177"/>
      <c r="G24" s="126"/>
      <c r="H24" s="534"/>
      <c r="I24" s="535"/>
      <c r="J24" s="177"/>
      <c r="K24" s="132" t="str">
        <f t="shared" si="5"/>
        <v/>
      </c>
      <c r="L24" s="534"/>
      <c r="M24" s="535"/>
      <c r="N24" s="177"/>
      <c r="O24" s="132" t="str">
        <f t="shared" si="4"/>
        <v/>
      </c>
      <c r="P24" s="150" t="s">
        <v>904</v>
      </c>
      <c r="Q24" s="151">
        <f t="shared" si="6"/>
        <v>0</v>
      </c>
      <c r="R24" s="151">
        <f t="shared" si="7"/>
        <v>0</v>
      </c>
      <c r="S24" s="151">
        <f t="shared" si="8"/>
        <v>0</v>
      </c>
      <c r="T24" s="151">
        <f t="shared" si="9"/>
        <v>0</v>
      </c>
      <c r="U24" s="147"/>
      <c r="V24" s="147"/>
      <c r="W24" s="147"/>
      <c r="X24" s="147"/>
      <c r="Y24" s="147"/>
      <c r="Z24" s="147">
        <f t="shared" si="10"/>
        <v>0</v>
      </c>
    </row>
    <row r="25" spans="1:44" x14ac:dyDescent="0.2">
      <c r="A25" s="157"/>
      <c r="B25" s="531"/>
      <c r="C25" s="532"/>
      <c r="D25" s="532"/>
      <c r="E25" s="533"/>
      <c r="F25" s="177"/>
      <c r="G25" s="126"/>
      <c r="H25" s="534"/>
      <c r="I25" s="535"/>
      <c r="J25" s="177"/>
      <c r="K25" s="132" t="str">
        <f t="shared" si="5"/>
        <v/>
      </c>
      <c r="L25" s="534"/>
      <c r="M25" s="535"/>
      <c r="N25" s="177"/>
      <c r="O25" s="132" t="str">
        <f t="shared" si="4"/>
        <v/>
      </c>
      <c r="P25" s="150" t="s">
        <v>904</v>
      </c>
      <c r="Q25" s="151">
        <f t="shared" si="6"/>
        <v>0</v>
      </c>
      <c r="R25" s="151">
        <f t="shared" si="7"/>
        <v>0</v>
      </c>
      <c r="S25" s="151">
        <f t="shared" si="8"/>
        <v>0</v>
      </c>
      <c r="T25" s="151">
        <f t="shared" si="9"/>
        <v>0</v>
      </c>
      <c r="U25" s="147"/>
      <c r="V25" s="147"/>
      <c r="W25" s="147"/>
      <c r="X25" s="147"/>
      <c r="Y25" s="147"/>
      <c r="Z25" s="147">
        <f t="shared" si="10"/>
        <v>0</v>
      </c>
    </row>
    <row r="26" spans="1:44" x14ac:dyDescent="0.2">
      <c r="A26" s="157"/>
      <c r="B26" s="531"/>
      <c r="C26" s="532"/>
      <c r="D26" s="532"/>
      <c r="E26" s="533"/>
      <c r="F26" s="177"/>
      <c r="G26" s="126"/>
      <c r="H26" s="534"/>
      <c r="I26" s="535"/>
      <c r="J26" s="177"/>
      <c r="K26" s="132" t="str">
        <f t="shared" si="5"/>
        <v/>
      </c>
      <c r="L26" s="534"/>
      <c r="M26" s="535"/>
      <c r="N26" s="177"/>
      <c r="O26" s="132" t="str">
        <f t="shared" si="4"/>
        <v/>
      </c>
      <c r="P26" s="150" t="s">
        <v>904</v>
      </c>
      <c r="Q26" s="151">
        <f t="shared" si="6"/>
        <v>0</v>
      </c>
      <c r="R26" s="151">
        <f t="shared" si="7"/>
        <v>0</v>
      </c>
      <c r="S26" s="151">
        <f t="shared" si="8"/>
        <v>0</v>
      </c>
      <c r="T26" s="151">
        <f t="shared" si="9"/>
        <v>0</v>
      </c>
      <c r="U26" s="147"/>
      <c r="V26" s="147"/>
      <c r="W26" s="147"/>
      <c r="X26" s="147"/>
      <c r="Y26" s="147"/>
      <c r="Z26" s="147">
        <f t="shared" si="10"/>
        <v>0</v>
      </c>
    </row>
    <row r="27" spans="1:44" x14ac:dyDescent="0.2">
      <c r="A27" s="157"/>
      <c r="B27" s="531"/>
      <c r="C27" s="532"/>
      <c r="D27" s="532"/>
      <c r="E27" s="533"/>
      <c r="F27" s="177"/>
      <c r="G27" s="126"/>
      <c r="H27" s="534"/>
      <c r="I27" s="535"/>
      <c r="J27" s="177"/>
      <c r="K27" s="132" t="str">
        <f t="shared" si="5"/>
        <v/>
      </c>
      <c r="L27" s="536"/>
      <c r="M27" s="536"/>
      <c r="N27" s="177"/>
      <c r="O27" s="132" t="str">
        <f t="shared" si="4"/>
        <v/>
      </c>
      <c r="P27" s="150" t="s">
        <v>904</v>
      </c>
      <c r="Q27" s="151">
        <f t="shared" si="6"/>
        <v>0</v>
      </c>
      <c r="R27" s="151">
        <f t="shared" si="7"/>
        <v>0</v>
      </c>
      <c r="S27" s="151">
        <f t="shared" si="8"/>
        <v>0</v>
      </c>
      <c r="T27" s="151">
        <f t="shared" si="9"/>
        <v>0</v>
      </c>
      <c r="U27" s="147"/>
      <c r="V27" s="147"/>
      <c r="W27" s="147"/>
      <c r="X27" s="147"/>
      <c r="Y27" s="147"/>
      <c r="Z27" s="147">
        <f t="shared" si="10"/>
        <v>0</v>
      </c>
    </row>
    <row r="28" spans="1:44" x14ac:dyDescent="0.2">
      <c r="A28" s="157"/>
      <c r="B28" s="531"/>
      <c r="C28" s="532"/>
      <c r="D28" s="532"/>
      <c r="E28" s="533"/>
      <c r="F28" s="177"/>
      <c r="G28" s="126"/>
      <c r="H28" s="534"/>
      <c r="I28" s="535"/>
      <c r="J28" s="177"/>
      <c r="K28" s="132" t="str">
        <f t="shared" si="5"/>
        <v/>
      </c>
      <c r="L28" s="536"/>
      <c r="M28" s="536"/>
      <c r="N28" s="177"/>
      <c r="O28" s="132" t="str">
        <f t="shared" si="4"/>
        <v/>
      </c>
      <c r="P28" s="150" t="s">
        <v>904</v>
      </c>
      <c r="Q28" s="151">
        <f t="shared" si="6"/>
        <v>0</v>
      </c>
      <c r="R28" s="151">
        <f t="shared" si="7"/>
        <v>0</v>
      </c>
      <c r="S28" s="151">
        <f t="shared" si="8"/>
        <v>0</v>
      </c>
      <c r="T28" s="151">
        <f t="shared" si="9"/>
        <v>0</v>
      </c>
      <c r="U28" s="147"/>
      <c r="V28" s="147"/>
      <c r="W28" s="147"/>
      <c r="X28" s="147"/>
      <c r="Y28" s="147"/>
      <c r="Z28" s="147">
        <f t="shared" si="10"/>
        <v>0</v>
      </c>
    </row>
    <row r="29" spans="1:44" x14ac:dyDescent="0.2">
      <c r="A29" s="157"/>
      <c r="B29" s="531"/>
      <c r="C29" s="532"/>
      <c r="D29" s="532"/>
      <c r="E29" s="533"/>
      <c r="F29" s="177"/>
      <c r="G29" s="126"/>
      <c r="H29" s="534"/>
      <c r="I29" s="535"/>
      <c r="J29" s="177"/>
      <c r="K29" s="132" t="str">
        <f t="shared" si="5"/>
        <v/>
      </c>
      <c r="L29" s="536"/>
      <c r="M29" s="536"/>
      <c r="N29" s="177"/>
      <c r="O29" s="132" t="str">
        <f t="shared" si="4"/>
        <v/>
      </c>
      <c r="P29" s="150" t="s">
        <v>904</v>
      </c>
      <c r="Q29" s="151">
        <f t="shared" si="6"/>
        <v>0</v>
      </c>
      <c r="R29" s="151">
        <f t="shared" si="7"/>
        <v>0</v>
      </c>
      <c r="S29" s="151">
        <f t="shared" si="8"/>
        <v>0</v>
      </c>
      <c r="T29" s="151">
        <f t="shared" si="9"/>
        <v>0</v>
      </c>
      <c r="U29" s="147"/>
      <c r="V29" s="147"/>
      <c r="W29" s="147"/>
      <c r="X29" s="147"/>
      <c r="Y29" s="147"/>
      <c r="Z29" s="147">
        <f t="shared" si="10"/>
        <v>0</v>
      </c>
    </row>
    <row r="30" spans="1:44" x14ac:dyDescent="0.2">
      <c r="A30" s="157"/>
      <c r="B30" s="531"/>
      <c r="C30" s="532"/>
      <c r="D30" s="532"/>
      <c r="E30" s="533"/>
      <c r="F30" s="177"/>
      <c r="G30" s="126"/>
      <c r="H30" s="534"/>
      <c r="I30" s="535"/>
      <c r="J30" s="177"/>
      <c r="K30" s="132" t="str">
        <f t="shared" si="5"/>
        <v/>
      </c>
      <c r="L30" s="536"/>
      <c r="M30" s="536"/>
      <c r="N30" s="96"/>
      <c r="O30" s="132" t="str">
        <f t="shared" si="4"/>
        <v/>
      </c>
      <c r="P30" s="150"/>
      <c r="Q30" s="151">
        <f t="shared" si="6"/>
        <v>0</v>
      </c>
      <c r="R30" s="151">
        <f t="shared" si="7"/>
        <v>0</v>
      </c>
      <c r="S30" s="151">
        <f t="shared" si="8"/>
        <v>0</v>
      </c>
      <c r="T30" s="151">
        <f t="shared" si="9"/>
        <v>0</v>
      </c>
      <c r="U30" s="96"/>
      <c r="V30" s="96"/>
      <c r="W30" s="96"/>
      <c r="X30" s="96"/>
      <c r="Y30" s="96"/>
      <c r="Z30" s="147">
        <f t="shared" si="10"/>
        <v>0</v>
      </c>
    </row>
    <row r="31" spans="1:44" x14ac:dyDescent="0.2">
      <c r="A31" s="157"/>
      <c r="B31" s="531"/>
      <c r="C31" s="532"/>
      <c r="D31" s="532"/>
      <c r="E31" s="533"/>
      <c r="F31" s="177"/>
      <c r="G31" s="126"/>
      <c r="H31" s="534"/>
      <c r="I31" s="535"/>
      <c r="J31" s="177"/>
      <c r="K31" s="132" t="str">
        <f t="shared" si="5"/>
        <v/>
      </c>
      <c r="L31" s="536"/>
      <c r="M31" s="536"/>
      <c r="N31" s="96"/>
      <c r="O31" s="132" t="str">
        <f t="shared" si="4"/>
        <v/>
      </c>
      <c r="P31" s="150"/>
      <c r="Q31" s="151">
        <f t="shared" si="6"/>
        <v>0</v>
      </c>
      <c r="R31" s="151">
        <f t="shared" si="7"/>
        <v>0</v>
      </c>
      <c r="S31" s="151">
        <f t="shared" si="8"/>
        <v>0</v>
      </c>
      <c r="T31" s="151">
        <f t="shared" si="9"/>
        <v>0</v>
      </c>
      <c r="U31" s="96"/>
      <c r="V31" s="96"/>
      <c r="W31" s="96"/>
      <c r="X31" s="96"/>
      <c r="Y31" s="96"/>
      <c r="Z31" s="147">
        <f t="shared" si="10"/>
        <v>0</v>
      </c>
    </row>
    <row r="32" spans="1:44" x14ac:dyDescent="0.2">
      <c r="A32" s="157"/>
      <c r="B32" s="531"/>
      <c r="C32" s="532"/>
      <c r="D32" s="532"/>
      <c r="E32" s="533"/>
      <c r="F32" s="177"/>
      <c r="G32" s="126"/>
      <c r="H32" s="534"/>
      <c r="I32" s="535"/>
      <c r="J32" s="177"/>
      <c r="K32" s="132" t="str">
        <f t="shared" si="5"/>
        <v/>
      </c>
      <c r="L32" s="536"/>
      <c r="M32" s="536"/>
      <c r="N32" s="96"/>
      <c r="O32" s="132" t="str">
        <f t="shared" si="4"/>
        <v/>
      </c>
      <c r="P32" s="150"/>
      <c r="Q32" s="151">
        <f t="shared" si="6"/>
        <v>0</v>
      </c>
      <c r="R32" s="151">
        <f t="shared" si="7"/>
        <v>0</v>
      </c>
      <c r="S32" s="151">
        <f t="shared" si="8"/>
        <v>0</v>
      </c>
      <c r="T32" s="151">
        <f t="shared" si="9"/>
        <v>0</v>
      </c>
      <c r="U32" s="96"/>
      <c r="V32" s="96"/>
      <c r="W32" s="96"/>
      <c r="X32" s="96"/>
      <c r="Y32" s="96"/>
      <c r="Z32" s="147">
        <f t="shared" si="10"/>
        <v>0</v>
      </c>
    </row>
    <row r="33" spans="1:26" x14ac:dyDescent="0.2">
      <c r="A33" s="157"/>
      <c r="B33" s="531"/>
      <c r="C33" s="532"/>
      <c r="D33" s="532"/>
      <c r="E33" s="533"/>
      <c r="F33" s="177"/>
      <c r="G33" s="126"/>
      <c r="H33" s="534"/>
      <c r="I33" s="535"/>
      <c r="J33" s="177"/>
      <c r="K33" s="132" t="str">
        <f t="shared" si="5"/>
        <v/>
      </c>
      <c r="L33" s="536"/>
      <c r="M33" s="536"/>
      <c r="N33" s="96"/>
      <c r="O33" s="132" t="str">
        <f t="shared" si="4"/>
        <v/>
      </c>
      <c r="P33" s="150"/>
      <c r="Q33" s="151">
        <f t="shared" si="6"/>
        <v>0</v>
      </c>
      <c r="R33" s="151">
        <f t="shared" si="7"/>
        <v>0</v>
      </c>
      <c r="S33" s="151">
        <f t="shared" si="8"/>
        <v>0</v>
      </c>
      <c r="T33" s="151">
        <f t="shared" si="9"/>
        <v>0</v>
      </c>
      <c r="U33" s="96"/>
      <c r="V33" s="96"/>
      <c r="W33" s="96"/>
      <c r="X33" s="96"/>
      <c r="Y33" s="96"/>
      <c r="Z33" s="147">
        <f t="shared" si="10"/>
        <v>0</v>
      </c>
    </row>
    <row r="34" spans="1:26" x14ac:dyDescent="0.2">
      <c r="A34" s="157"/>
      <c r="B34" s="531"/>
      <c r="C34" s="532"/>
      <c r="D34" s="532"/>
      <c r="E34" s="533"/>
      <c r="F34" s="177"/>
      <c r="G34" s="126"/>
      <c r="H34" s="536"/>
      <c r="I34" s="536"/>
      <c r="J34" s="96"/>
      <c r="K34" s="132" t="str">
        <f t="shared" si="5"/>
        <v/>
      </c>
      <c r="L34" s="536"/>
      <c r="M34" s="536"/>
      <c r="N34" s="96"/>
      <c r="O34" s="132" t="str">
        <f t="shared" si="4"/>
        <v/>
      </c>
      <c r="P34" s="150"/>
      <c r="Q34" s="151">
        <f t="shared" si="6"/>
        <v>0</v>
      </c>
      <c r="R34" s="151">
        <f t="shared" si="7"/>
        <v>0</v>
      </c>
      <c r="S34" s="151">
        <f t="shared" si="8"/>
        <v>0</v>
      </c>
      <c r="T34" s="151">
        <f t="shared" si="9"/>
        <v>0</v>
      </c>
      <c r="U34" s="96"/>
      <c r="V34" s="96"/>
      <c r="W34" s="96"/>
      <c r="X34" s="96"/>
      <c r="Y34" s="96"/>
      <c r="Z34" s="147">
        <f t="shared" si="10"/>
        <v>0</v>
      </c>
    </row>
    <row r="35" spans="1:26" x14ac:dyDescent="0.2">
      <c r="A35" s="157"/>
      <c r="B35" s="531"/>
      <c r="C35" s="532"/>
      <c r="D35" s="532"/>
      <c r="E35" s="533"/>
      <c r="F35" s="177"/>
      <c r="G35" s="126"/>
      <c r="H35" s="536"/>
      <c r="I35" s="536"/>
      <c r="J35" s="96"/>
      <c r="K35" s="132" t="str">
        <f t="shared" si="5"/>
        <v/>
      </c>
      <c r="L35" s="536"/>
      <c r="M35" s="536"/>
      <c r="N35" s="96"/>
      <c r="O35" s="132" t="str">
        <f t="shared" si="4"/>
        <v/>
      </c>
      <c r="P35" s="150"/>
      <c r="Q35" s="151">
        <f t="shared" si="6"/>
        <v>0</v>
      </c>
      <c r="R35" s="151">
        <f t="shared" si="7"/>
        <v>0</v>
      </c>
      <c r="S35" s="151">
        <f t="shared" si="8"/>
        <v>0</v>
      </c>
      <c r="T35" s="151">
        <f t="shared" si="9"/>
        <v>0</v>
      </c>
      <c r="U35" s="96"/>
      <c r="V35" s="96"/>
      <c r="W35" s="96"/>
      <c r="X35" s="96"/>
      <c r="Y35" s="96"/>
      <c r="Z35" s="147">
        <f t="shared" si="10"/>
        <v>0</v>
      </c>
    </row>
    <row r="36" spans="1:26" x14ac:dyDescent="0.2">
      <c r="A36" s="157"/>
      <c r="B36" s="531"/>
      <c r="C36" s="532"/>
      <c r="D36" s="532"/>
      <c r="E36" s="533"/>
      <c r="F36" s="177"/>
      <c r="G36" s="126"/>
      <c r="H36" s="536"/>
      <c r="I36" s="536"/>
      <c r="J36" s="96"/>
      <c r="K36" s="132" t="str">
        <f t="shared" si="5"/>
        <v/>
      </c>
      <c r="L36" s="536"/>
      <c r="M36" s="536"/>
      <c r="N36" s="96"/>
      <c r="O36" s="132" t="str">
        <f t="shared" si="4"/>
        <v/>
      </c>
      <c r="P36" s="150"/>
      <c r="Q36" s="151">
        <f t="shared" si="6"/>
        <v>0</v>
      </c>
      <c r="R36" s="151">
        <f t="shared" si="7"/>
        <v>0</v>
      </c>
      <c r="S36" s="151">
        <f t="shared" si="8"/>
        <v>0</v>
      </c>
      <c r="T36" s="151">
        <f t="shared" si="9"/>
        <v>0</v>
      </c>
      <c r="U36" s="96"/>
      <c r="V36" s="96"/>
      <c r="W36" s="96"/>
      <c r="X36" s="96"/>
      <c r="Y36" s="96"/>
      <c r="Z36" s="147">
        <f t="shared" si="10"/>
        <v>0</v>
      </c>
    </row>
    <row r="37" spans="1:26" x14ac:dyDescent="0.2">
      <c r="A37" s="157"/>
      <c r="B37" s="531"/>
      <c r="C37" s="532"/>
      <c r="D37" s="532"/>
      <c r="E37" s="533"/>
      <c r="F37" s="177"/>
      <c r="G37" s="126"/>
      <c r="H37" s="536"/>
      <c r="I37" s="536"/>
      <c r="J37" s="96"/>
      <c r="K37" s="132" t="str">
        <f t="shared" si="5"/>
        <v/>
      </c>
      <c r="L37" s="536"/>
      <c r="M37" s="536"/>
      <c r="N37" s="96"/>
      <c r="O37" s="132" t="str">
        <f t="shared" si="4"/>
        <v/>
      </c>
      <c r="P37" s="150"/>
      <c r="Q37" s="151">
        <f t="shared" si="6"/>
        <v>0</v>
      </c>
      <c r="R37" s="151">
        <f t="shared" si="7"/>
        <v>0</v>
      </c>
      <c r="S37" s="151">
        <f t="shared" si="8"/>
        <v>0</v>
      </c>
      <c r="T37" s="151">
        <f t="shared" si="9"/>
        <v>0</v>
      </c>
      <c r="U37" s="96"/>
      <c r="V37" s="96"/>
      <c r="W37" s="96"/>
      <c r="X37" s="96"/>
      <c r="Y37" s="96"/>
      <c r="Z37" s="147">
        <f t="shared" si="10"/>
        <v>0</v>
      </c>
    </row>
    <row r="38" spans="1:26" x14ac:dyDescent="0.2">
      <c r="A38" s="157"/>
      <c r="B38" s="531"/>
      <c r="C38" s="532"/>
      <c r="D38" s="532"/>
      <c r="E38" s="533"/>
      <c r="F38" s="177"/>
      <c r="G38" s="126"/>
      <c r="H38" s="536"/>
      <c r="I38" s="536"/>
      <c r="J38" s="96"/>
      <c r="K38" s="132" t="str">
        <f t="shared" si="5"/>
        <v/>
      </c>
      <c r="L38" s="536"/>
      <c r="M38" s="536"/>
      <c r="N38" s="96"/>
      <c r="O38" s="132" t="str">
        <f t="shared" si="4"/>
        <v/>
      </c>
      <c r="P38" s="150"/>
      <c r="Q38" s="151">
        <f t="shared" si="6"/>
        <v>0</v>
      </c>
      <c r="R38" s="151">
        <f t="shared" si="7"/>
        <v>0</v>
      </c>
      <c r="S38" s="151">
        <f t="shared" si="8"/>
        <v>0</v>
      </c>
      <c r="T38" s="151">
        <f t="shared" si="9"/>
        <v>0</v>
      </c>
      <c r="U38" s="96"/>
      <c r="V38" s="96"/>
      <c r="W38" s="96"/>
      <c r="X38" s="96"/>
      <c r="Y38" s="96"/>
      <c r="Z38" s="147">
        <f t="shared" si="10"/>
        <v>0</v>
      </c>
    </row>
    <row r="39" spans="1:26" x14ac:dyDescent="0.2">
      <c r="A39" s="157"/>
      <c r="B39" s="531"/>
      <c r="C39" s="532"/>
      <c r="D39" s="532"/>
      <c r="E39" s="533"/>
      <c r="F39" s="177"/>
      <c r="G39" s="126"/>
      <c r="H39" s="536"/>
      <c r="I39" s="536"/>
      <c r="J39" s="96"/>
      <c r="K39" s="132" t="str">
        <f t="shared" si="5"/>
        <v/>
      </c>
      <c r="L39" s="536"/>
      <c r="M39" s="536"/>
      <c r="N39" s="96"/>
      <c r="O39" s="132" t="str">
        <f t="shared" si="4"/>
        <v/>
      </c>
      <c r="P39" s="150"/>
      <c r="Q39" s="151">
        <f t="shared" si="6"/>
        <v>0</v>
      </c>
      <c r="R39" s="151">
        <f t="shared" si="7"/>
        <v>0</v>
      </c>
      <c r="S39" s="151">
        <f t="shared" si="8"/>
        <v>0</v>
      </c>
      <c r="T39" s="151">
        <f t="shared" si="9"/>
        <v>0</v>
      </c>
      <c r="U39" s="96"/>
      <c r="V39" s="96"/>
      <c r="W39" s="96"/>
      <c r="X39" s="96"/>
      <c r="Y39" s="96"/>
      <c r="Z39" s="147">
        <f t="shared" si="10"/>
        <v>0</v>
      </c>
    </row>
    <row r="40" spans="1:26" x14ac:dyDescent="0.2">
      <c r="A40" s="157"/>
      <c r="B40" s="531"/>
      <c r="C40" s="532"/>
      <c r="D40" s="532"/>
      <c r="E40" s="533"/>
      <c r="F40" s="177"/>
      <c r="G40" s="126"/>
      <c r="H40" s="536"/>
      <c r="I40" s="536"/>
      <c r="J40" s="96"/>
      <c r="K40" s="132" t="str">
        <f t="shared" si="5"/>
        <v/>
      </c>
      <c r="L40" s="536"/>
      <c r="M40" s="536"/>
      <c r="N40" s="96"/>
      <c r="O40" s="132" t="str">
        <f t="shared" si="4"/>
        <v/>
      </c>
      <c r="P40" s="150"/>
      <c r="Q40" s="151">
        <f t="shared" si="6"/>
        <v>0</v>
      </c>
      <c r="R40" s="151">
        <f t="shared" si="7"/>
        <v>0</v>
      </c>
      <c r="S40" s="151">
        <f t="shared" si="8"/>
        <v>0</v>
      </c>
      <c r="T40" s="151">
        <f t="shared" si="9"/>
        <v>0</v>
      </c>
      <c r="U40" s="96"/>
      <c r="V40" s="96"/>
      <c r="W40" s="96"/>
      <c r="X40" s="96"/>
      <c r="Y40" s="96"/>
      <c r="Z40" s="147">
        <f t="shared" si="10"/>
        <v>0</v>
      </c>
    </row>
    <row r="41" spans="1:26" x14ac:dyDescent="0.2">
      <c r="A41" s="157"/>
      <c r="B41" s="531"/>
      <c r="C41" s="532"/>
      <c r="D41" s="532"/>
      <c r="E41" s="533"/>
      <c r="F41" s="177"/>
      <c r="G41" s="126"/>
      <c r="H41" s="536"/>
      <c r="I41" s="536"/>
      <c r="J41" s="96"/>
      <c r="K41" s="132" t="str">
        <f t="shared" si="5"/>
        <v/>
      </c>
      <c r="L41" s="536"/>
      <c r="M41" s="536"/>
      <c r="N41" s="96"/>
      <c r="O41" s="132" t="str">
        <f t="shared" si="4"/>
        <v/>
      </c>
      <c r="P41" s="150"/>
      <c r="Q41" s="151">
        <f t="shared" si="6"/>
        <v>0</v>
      </c>
      <c r="R41" s="151">
        <f t="shared" si="7"/>
        <v>0</v>
      </c>
      <c r="S41" s="151">
        <f t="shared" si="8"/>
        <v>0</v>
      </c>
      <c r="T41" s="151">
        <f t="shared" si="9"/>
        <v>0</v>
      </c>
      <c r="U41" s="96"/>
      <c r="V41" s="96"/>
      <c r="W41" s="96"/>
      <c r="X41" s="96"/>
      <c r="Y41" s="96"/>
      <c r="Z41" s="147">
        <f t="shared" si="10"/>
        <v>0</v>
      </c>
    </row>
    <row r="42" spans="1:26" x14ac:dyDescent="0.2">
      <c r="A42" s="157"/>
      <c r="B42" s="531"/>
      <c r="C42" s="532"/>
      <c r="D42" s="532"/>
      <c r="E42" s="533"/>
      <c r="F42" s="177"/>
      <c r="G42" s="126"/>
      <c r="H42" s="536"/>
      <c r="I42" s="536"/>
      <c r="J42" s="96"/>
      <c r="K42" s="132" t="str">
        <f t="shared" si="5"/>
        <v/>
      </c>
      <c r="L42" s="536"/>
      <c r="M42" s="536"/>
      <c r="N42" s="96"/>
      <c r="O42" s="132" t="str">
        <f t="shared" si="4"/>
        <v/>
      </c>
      <c r="P42" s="150"/>
      <c r="Q42" s="151">
        <f t="shared" si="6"/>
        <v>0</v>
      </c>
      <c r="R42" s="151">
        <f t="shared" si="7"/>
        <v>0</v>
      </c>
      <c r="S42" s="151">
        <f t="shared" si="8"/>
        <v>0</v>
      </c>
      <c r="T42" s="151">
        <f t="shared" si="9"/>
        <v>0</v>
      </c>
      <c r="U42" s="96"/>
      <c r="V42" s="96"/>
      <c r="W42" s="96"/>
      <c r="X42" s="96"/>
      <c r="Y42" s="96"/>
      <c r="Z42" s="147">
        <f t="shared" si="10"/>
        <v>0</v>
      </c>
    </row>
    <row r="43" spans="1:26" x14ac:dyDescent="0.2">
      <c r="A43" s="157"/>
      <c r="B43" s="531"/>
      <c r="C43" s="532"/>
      <c r="D43" s="532"/>
      <c r="E43" s="533"/>
      <c r="F43" s="177"/>
      <c r="G43" s="126"/>
      <c r="H43" s="536"/>
      <c r="I43" s="536"/>
      <c r="J43" s="96"/>
      <c r="K43" s="132" t="str">
        <f t="shared" si="5"/>
        <v/>
      </c>
      <c r="L43" s="536"/>
      <c r="M43" s="536"/>
      <c r="N43" s="96"/>
      <c r="O43" s="132" t="str">
        <f t="shared" si="4"/>
        <v/>
      </c>
      <c r="P43" s="150"/>
      <c r="Q43" s="151">
        <f t="shared" si="6"/>
        <v>0</v>
      </c>
      <c r="R43" s="151">
        <f t="shared" si="7"/>
        <v>0</v>
      </c>
      <c r="S43" s="151">
        <f t="shared" si="8"/>
        <v>0</v>
      </c>
      <c r="T43" s="151">
        <f t="shared" si="9"/>
        <v>0</v>
      </c>
      <c r="U43" s="96"/>
      <c r="V43" s="96"/>
      <c r="W43" s="96"/>
      <c r="X43" s="96"/>
      <c r="Y43" s="96"/>
      <c r="Z43" s="147">
        <f t="shared" si="10"/>
        <v>0</v>
      </c>
    </row>
    <row r="44" spans="1:26" x14ac:dyDescent="0.2">
      <c r="A44" s="157"/>
      <c r="B44" s="531"/>
      <c r="C44" s="532"/>
      <c r="D44" s="532"/>
      <c r="E44" s="533"/>
      <c r="F44" s="177"/>
      <c r="G44" s="126"/>
      <c r="H44" s="536"/>
      <c r="I44" s="536"/>
      <c r="J44" s="96"/>
      <c r="K44" s="132" t="str">
        <f t="shared" si="5"/>
        <v/>
      </c>
      <c r="L44" s="536"/>
      <c r="M44" s="536"/>
      <c r="N44" s="96"/>
      <c r="O44" s="132" t="str">
        <f t="shared" si="4"/>
        <v/>
      </c>
      <c r="P44" s="150"/>
      <c r="Q44" s="151">
        <f t="shared" si="6"/>
        <v>0</v>
      </c>
      <c r="R44" s="151">
        <f t="shared" si="7"/>
        <v>0</v>
      </c>
      <c r="S44" s="151">
        <f t="shared" si="8"/>
        <v>0</v>
      </c>
      <c r="T44" s="151">
        <f t="shared" si="9"/>
        <v>0</v>
      </c>
      <c r="U44" s="96"/>
      <c r="V44" s="96"/>
      <c r="W44" s="96"/>
      <c r="X44" s="96"/>
      <c r="Y44" s="96"/>
      <c r="Z44" s="147">
        <f t="shared" si="10"/>
        <v>0</v>
      </c>
    </row>
    <row r="45" spans="1:26" x14ac:dyDescent="0.2">
      <c r="A45" s="157"/>
      <c r="B45" s="531"/>
      <c r="C45" s="532"/>
      <c r="D45" s="532"/>
      <c r="E45" s="533"/>
      <c r="F45" s="177"/>
      <c r="G45" s="126"/>
      <c r="H45" s="536"/>
      <c r="I45" s="536"/>
      <c r="J45" s="96"/>
      <c r="K45" s="132" t="str">
        <f t="shared" si="5"/>
        <v/>
      </c>
      <c r="L45" s="536"/>
      <c r="M45" s="536"/>
      <c r="N45" s="96"/>
      <c r="O45" s="132" t="str">
        <f t="shared" si="4"/>
        <v/>
      </c>
      <c r="P45" s="150"/>
      <c r="Q45" s="151">
        <f t="shared" si="6"/>
        <v>0</v>
      </c>
      <c r="R45" s="151">
        <f t="shared" si="7"/>
        <v>0</v>
      </c>
      <c r="S45" s="151">
        <f t="shared" si="8"/>
        <v>0</v>
      </c>
      <c r="T45" s="151">
        <f t="shared" si="9"/>
        <v>0</v>
      </c>
      <c r="U45" s="96"/>
      <c r="V45" s="96"/>
      <c r="W45" s="96"/>
      <c r="X45" s="96"/>
      <c r="Y45" s="96"/>
      <c r="Z45" s="147">
        <f t="shared" si="10"/>
        <v>0</v>
      </c>
    </row>
    <row r="46" spans="1:26" x14ac:dyDescent="0.2">
      <c r="A46" s="157"/>
      <c r="B46" s="531"/>
      <c r="C46" s="532"/>
      <c r="D46" s="532"/>
      <c r="E46" s="533"/>
      <c r="F46" s="177"/>
      <c r="G46" s="126"/>
      <c r="H46" s="536"/>
      <c r="I46" s="536"/>
      <c r="J46" s="96"/>
      <c r="K46" s="132" t="str">
        <f t="shared" si="5"/>
        <v/>
      </c>
      <c r="L46" s="536"/>
      <c r="M46" s="536"/>
      <c r="N46" s="96"/>
      <c r="O46" s="132" t="str">
        <f t="shared" si="4"/>
        <v/>
      </c>
      <c r="P46" s="150"/>
      <c r="Q46" s="151">
        <f t="shared" si="6"/>
        <v>0</v>
      </c>
      <c r="R46" s="151">
        <f t="shared" si="7"/>
        <v>0</v>
      </c>
      <c r="S46" s="151">
        <f t="shared" si="8"/>
        <v>0</v>
      </c>
      <c r="T46" s="151">
        <f t="shared" si="9"/>
        <v>0</v>
      </c>
      <c r="U46" s="96"/>
      <c r="V46" s="96"/>
      <c r="W46" s="96"/>
      <c r="X46" s="96"/>
      <c r="Y46" s="96"/>
      <c r="Z46" s="147">
        <f t="shared" si="10"/>
        <v>0</v>
      </c>
    </row>
    <row r="47" spans="1:26" x14ac:dyDescent="0.2">
      <c r="A47" s="157"/>
      <c r="B47" s="531"/>
      <c r="C47" s="532"/>
      <c r="D47" s="532"/>
      <c r="E47" s="533"/>
      <c r="F47" s="177"/>
      <c r="G47" s="126"/>
      <c r="H47" s="536"/>
      <c r="I47" s="536"/>
      <c r="J47" s="96"/>
      <c r="K47" s="132" t="str">
        <f t="shared" si="5"/>
        <v/>
      </c>
      <c r="L47" s="536"/>
      <c r="M47" s="536"/>
      <c r="N47" s="96"/>
      <c r="O47" s="132" t="str">
        <f t="shared" si="4"/>
        <v/>
      </c>
      <c r="P47" s="150"/>
      <c r="Q47" s="151">
        <f t="shared" si="6"/>
        <v>0</v>
      </c>
      <c r="R47" s="151">
        <f t="shared" si="7"/>
        <v>0</v>
      </c>
      <c r="S47" s="151">
        <f t="shared" si="8"/>
        <v>0</v>
      </c>
      <c r="T47" s="151">
        <f t="shared" si="9"/>
        <v>0</v>
      </c>
      <c r="U47" s="96"/>
      <c r="V47" s="96"/>
      <c r="W47" s="96"/>
      <c r="X47" s="96"/>
      <c r="Y47" s="96"/>
      <c r="Z47" s="147">
        <f t="shared" si="10"/>
        <v>0</v>
      </c>
    </row>
    <row r="48" spans="1:26" x14ac:dyDescent="0.2">
      <c r="A48" s="157"/>
      <c r="B48" s="531"/>
      <c r="C48" s="532"/>
      <c r="D48" s="532"/>
      <c r="E48" s="533"/>
      <c r="F48" s="177"/>
      <c r="G48" s="126"/>
      <c r="H48" s="536"/>
      <c r="I48" s="536"/>
      <c r="J48" s="96"/>
      <c r="K48" s="132" t="str">
        <f t="shared" si="5"/>
        <v/>
      </c>
      <c r="L48" s="536"/>
      <c r="M48" s="536"/>
      <c r="N48" s="96"/>
      <c r="O48" s="132" t="str">
        <f t="shared" si="4"/>
        <v/>
      </c>
      <c r="P48" s="150"/>
      <c r="Q48" s="151">
        <f t="shared" si="6"/>
        <v>0</v>
      </c>
      <c r="R48" s="151">
        <f t="shared" si="7"/>
        <v>0</v>
      </c>
      <c r="S48" s="151">
        <f t="shared" si="8"/>
        <v>0</v>
      </c>
      <c r="T48" s="151">
        <f t="shared" si="9"/>
        <v>0</v>
      </c>
      <c r="U48" s="96"/>
      <c r="V48" s="96"/>
      <c r="W48" s="96"/>
      <c r="X48" s="96"/>
      <c r="Y48" s="96"/>
      <c r="Z48" s="147">
        <f t="shared" si="10"/>
        <v>0</v>
      </c>
    </row>
    <row r="49" spans="1:26" x14ac:dyDescent="0.2">
      <c r="A49" s="157"/>
      <c r="B49" s="531"/>
      <c r="C49" s="532"/>
      <c r="D49" s="532"/>
      <c r="E49" s="533"/>
      <c r="F49" s="177"/>
      <c r="G49" s="126"/>
      <c r="H49" s="536"/>
      <c r="I49" s="536"/>
      <c r="J49" s="96"/>
      <c r="K49" s="132" t="str">
        <f t="shared" si="5"/>
        <v/>
      </c>
      <c r="L49" s="536"/>
      <c r="M49" s="536"/>
      <c r="N49" s="96"/>
      <c r="O49" s="132" t="str">
        <f t="shared" si="4"/>
        <v/>
      </c>
      <c r="P49" s="150"/>
      <c r="Q49" s="151">
        <f t="shared" si="6"/>
        <v>0</v>
      </c>
      <c r="R49" s="151">
        <f t="shared" si="7"/>
        <v>0</v>
      </c>
      <c r="S49" s="151">
        <f t="shared" si="8"/>
        <v>0</v>
      </c>
      <c r="T49" s="151">
        <f t="shared" si="9"/>
        <v>0</v>
      </c>
      <c r="U49" s="96"/>
      <c r="V49" s="96"/>
      <c r="W49" s="96"/>
      <c r="X49" s="96"/>
      <c r="Y49" s="96"/>
      <c r="Z49" s="147">
        <f t="shared" si="10"/>
        <v>0</v>
      </c>
    </row>
    <row r="50" spans="1:26" x14ac:dyDescent="0.2">
      <c r="A50" s="157"/>
      <c r="B50" s="531"/>
      <c r="C50" s="532"/>
      <c r="D50" s="532"/>
      <c r="E50" s="533"/>
      <c r="F50" s="177"/>
      <c r="G50" s="126"/>
      <c r="H50" s="536"/>
      <c r="I50" s="536"/>
      <c r="J50" s="96"/>
      <c r="K50" s="132" t="str">
        <f t="shared" si="5"/>
        <v/>
      </c>
      <c r="L50" s="536"/>
      <c r="M50" s="536"/>
      <c r="N50" s="96"/>
      <c r="O50" s="132" t="str">
        <f t="shared" si="4"/>
        <v/>
      </c>
      <c r="P50" s="150"/>
      <c r="Q50" s="151">
        <f t="shared" si="6"/>
        <v>0</v>
      </c>
      <c r="R50" s="151">
        <f t="shared" si="7"/>
        <v>0</v>
      </c>
      <c r="S50" s="151">
        <f t="shared" si="8"/>
        <v>0</v>
      </c>
      <c r="T50" s="151">
        <f t="shared" si="9"/>
        <v>0</v>
      </c>
      <c r="U50" s="96"/>
      <c r="V50" s="96"/>
      <c r="W50" s="96"/>
      <c r="X50" s="96"/>
      <c r="Y50" s="96"/>
      <c r="Z50" s="147">
        <f t="shared" si="10"/>
        <v>0</v>
      </c>
    </row>
    <row r="51" spans="1:26" x14ac:dyDescent="0.2">
      <c r="A51" s="157"/>
      <c r="B51" s="531"/>
      <c r="C51" s="532"/>
      <c r="D51" s="532"/>
      <c r="E51" s="533"/>
      <c r="F51" s="177"/>
      <c r="G51" s="126"/>
      <c r="H51" s="536"/>
      <c r="I51" s="536"/>
      <c r="J51" s="96"/>
      <c r="K51" s="132" t="str">
        <f t="shared" si="5"/>
        <v/>
      </c>
      <c r="L51" s="536"/>
      <c r="M51" s="536"/>
      <c r="N51" s="96"/>
      <c r="O51" s="132" t="str">
        <f t="shared" si="4"/>
        <v/>
      </c>
      <c r="P51" s="150"/>
      <c r="Q51" s="151">
        <f t="shared" si="6"/>
        <v>0</v>
      </c>
      <c r="R51" s="151">
        <f t="shared" si="7"/>
        <v>0</v>
      </c>
      <c r="S51" s="151">
        <f t="shared" si="8"/>
        <v>0</v>
      </c>
      <c r="T51" s="151">
        <f t="shared" si="9"/>
        <v>0</v>
      </c>
      <c r="U51" s="96"/>
      <c r="V51" s="96"/>
      <c r="W51" s="96"/>
      <c r="X51" s="96"/>
      <c r="Y51" s="96"/>
      <c r="Z51" s="147">
        <f t="shared" si="10"/>
        <v>0</v>
      </c>
    </row>
    <row r="52" spans="1:26" x14ac:dyDescent="0.2">
      <c r="A52" s="157"/>
      <c r="B52" s="531"/>
      <c r="C52" s="532"/>
      <c r="D52" s="532"/>
      <c r="E52" s="533"/>
      <c r="F52" s="177"/>
      <c r="G52" s="126"/>
      <c r="H52" s="536"/>
      <c r="I52" s="536"/>
      <c r="J52" s="96"/>
      <c r="K52" s="132" t="str">
        <f t="shared" si="5"/>
        <v/>
      </c>
      <c r="L52" s="536"/>
      <c r="M52" s="536"/>
      <c r="N52" s="96"/>
      <c r="O52" s="132" t="str">
        <f t="shared" si="4"/>
        <v/>
      </c>
      <c r="P52" s="150"/>
      <c r="Q52" s="151">
        <f t="shared" si="6"/>
        <v>0</v>
      </c>
      <c r="R52" s="151">
        <f t="shared" si="7"/>
        <v>0</v>
      </c>
      <c r="S52" s="151">
        <f t="shared" si="8"/>
        <v>0</v>
      </c>
      <c r="T52" s="151">
        <f t="shared" si="9"/>
        <v>0</v>
      </c>
      <c r="U52" s="96"/>
      <c r="V52" s="96"/>
      <c r="W52" s="96"/>
      <c r="X52" s="96"/>
      <c r="Y52" s="96"/>
      <c r="Z52" s="147">
        <f t="shared" si="10"/>
        <v>0</v>
      </c>
    </row>
    <row r="53" spans="1:26" x14ac:dyDescent="0.2">
      <c r="A53" s="157"/>
      <c r="B53" s="531"/>
      <c r="C53" s="532"/>
      <c r="D53" s="532"/>
      <c r="E53" s="533"/>
      <c r="F53" s="177"/>
      <c r="G53" s="126"/>
      <c r="H53" s="536"/>
      <c r="I53" s="536"/>
      <c r="J53" s="96"/>
      <c r="K53" s="132" t="str">
        <f t="shared" si="5"/>
        <v/>
      </c>
      <c r="L53" s="536"/>
      <c r="M53" s="536"/>
      <c r="N53" s="96"/>
      <c r="O53" s="132" t="str">
        <f t="shared" si="4"/>
        <v/>
      </c>
      <c r="P53" s="150"/>
      <c r="Q53" s="151">
        <f t="shared" si="6"/>
        <v>0</v>
      </c>
      <c r="R53" s="151">
        <f t="shared" si="7"/>
        <v>0</v>
      </c>
      <c r="S53" s="151">
        <f t="shared" si="8"/>
        <v>0</v>
      </c>
      <c r="T53" s="151">
        <f t="shared" si="9"/>
        <v>0</v>
      </c>
      <c r="U53" s="96"/>
      <c r="V53" s="96"/>
      <c r="W53" s="96"/>
      <c r="X53" s="96"/>
      <c r="Y53" s="96"/>
      <c r="Z53" s="147">
        <f t="shared" si="10"/>
        <v>0</v>
      </c>
    </row>
    <row r="54" spans="1:26" x14ac:dyDescent="0.2">
      <c r="A54" s="157"/>
      <c r="B54" s="531"/>
      <c r="C54" s="532"/>
      <c r="D54" s="532"/>
      <c r="E54" s="533"/>
      <c r="F54" s="177"/>
      <c r="G54" s="126"/>
      <c r="H54" s="536"/>
      <c r="I54" s="536"/>
      <c r="J54" s="96"/>
      <c r="K54" s="132" t="str">
        <f t="shared" si="5"/>
        <v/>
      </c>
      <c r="L54" s="536"/>
      <c r="M54" s="536"/>
      <c r="N54" s="96"/>
      <c r="O54" s="132" t="str">
        <f t="shared" si="4"/>
        <v/>
      </c>
      <c r="P54" s="150"/>
      <c r="Q54" s="151">
        <f t="shared" si="6"/>
        <v>0</v>
      </c>
      <c r="R54" s="151">
        <f t="shared" si="7"/>
        <v>0</v>
      </c>
      <c r="S54" s="151">
        <f t="shared" si="8"/>
        <v>0</v>
      </c>
      <c r="T54" s="151">
        <f t="shared" si="9"/>
        <v>0</v>
      </c>
      <c r="U54" s="96"/>
      <c r="V54" s="96"/>
      <c r="W54" s="96"/>
      <c r="X54" s="96"/>
      <c r="Y54" s="96"/>
      <c r="Z54" s="147">
        <f t="shared" si="10"/>
        <v>0</v>
      </c>
    </row>
    <row r="55" spans="1:26" x14ac:dyDescent="0.2">
      <c r="A55" s="157"/>
      <c r="B55" s="531"/>
      <c r="C55" s="532"/>
      <c r="D55" s="532"/>
      <c r="E55" s="533"/>
      <c r="F55" s="177"/>
      <c r="G55" s="126"/>
      <c r="H55" s="536"/>
      <c r="I55" s="536"/>
      <c r="J55" s="96"/>
      <c r="K55" s="132" t="str">
        <f t="shared" si="5"/>
        <v/>
      </c>
      <c r="L55" s="536"/>
      <c r="M55" s="536"/>
      <c r="N55" s="96"/>
      <c r="O55" s="132" t="str">
        <f t="shared" si="4"/>
        <v/>
      </c>
      <c r="P55" s="150"/>
      <c r="Q55" s="151">
        <f t="shared" si="6"/>
        <v>0</v>
      </c>
      <c r="R55" s="151">
        <f t="shared" si="7"/>
        <v>0</v>
      </c>
      <c r="S55" s="151">
        <f t="shared" si="8"/>
        <v>0</v>
      </c>
      <c r="T55" s="151">
        <f t="shared" si="9"/>
        <v>0</v>
      </c>
      <c r="U55" s="96"/>
      <c r="V55" s="96"/>
      <c r="W55" s="96"/>
      <c r="X55" s="96"/>
      <c r="Y55" s="96"/>
      <c r="Z55" s="147">
        <f t="shared" si="10"/>
        <v>0</v>
      </c>
    </row>
    <row r="56" spans="1:26" x14ac:dyDescent="0.2">
      <c r="A56" s="157"/>
      <c r="B56" s="531"/>
      <c r="C56" s="532"/>
      <c r="D56" s="532"/>
      <c r="E56" s="533"/>
      <c r="F56" s="177"/>
      <c r="G56" s="126"/>
      <c r="H56" s="536"/>
      <c r="I56" s="536"/>
      <c r="J56" s="96"/>
      <c r="K56" s="132" t="str">
        <f t="shared" si="5"/>
        <v/>
      </c>
      <c r="L56" s="536"/>
      <c r="M56" s="536"/>
      <c r="N56" s="96"/>
      <c r="O56" s="132" t="str">
        <f t="shared" si="4"/>
        <v/>
      </c>
      <c r="P56" s="150"/>
      <c r="Q56" s="151">
        <f t="shared" si="6"/>
        <v>0</v>
      </c>
      <c r="R56" s="151">
        <f t="shared" si="7"/>
        <v>0</v>
      </c>
      <c r="S56" s="151">
        <f t="shared" si="8"/>
        <v>0</v>
      </c>
      <c r="T56" s="151">
        <f t="shared" si="9"/>
        <v>0</v>
      </c>
      <c r="U56" s="96"/>
      <c r="V56" s="96"/>
      <c r="W56" s="96"/>
      <c r="X56" s="96"/>
      <c r="Y56" s="96"/>
      <c r="Z56" s="147">
        <f t="shared" si="10"/>
        <v>0</v>
      </c>
    </row>
    <row r="57" spans="1:26" x14ac:dyDescent="0.2">
      <c r="A57" s="157"/>
      <c r="B57" s="531"/>
      <c r="C57" s="532"/>
      <c r="D57" s="532"/>
      <c r="E57" s="533"/>
      <c r="F57" s="177"/>
      <c r="G57" s="126"/>
      <c r="H57" s="536"/>
      <c r="I57" s="536"/>
      <c r="J57" s="96"/>
      <c r="K57" s="132" t="str">
        <f t="shared" si="5"/>
        <v/>
      </c>
      <c r="L57" s="536"/>
      <c r="M57" s="536"/>
      <c r="N57" s="96"/>
      <c r="O57" s="132" t="str">
        <f t="shared" si="4"/>
        <v/>
      </c>
      <c r="P57" s="150"/>
      <c r="Q57" s="151">
        <f t="shared" si="6"/>
        <v>0</v>
      </c>
      <c r="R57" s="151">
        <f t="shared" si="7"/>
        <v>0</v>
      </c>
      <c r="S57" s="151">
        <f t="shared" si="8"/>
        <v>0</v>
      </c>
      <c r="T57" s="151">
        <f t="shared" si="9"/>
        <v>0</v>
      </c>
      <c r="U57" s="96"/>
      <c r="V57" s="96"/>
      <c r="W57" s="96"/>
      <c r="X57" s="96"/>
      <c r="Y57" s="96"/>
      <c r="Z57" s="147">
        <f t="shared" si="10"/>
        <v>0</v>
      </c>
    </row>
    <row r="58" spans="1:26" x14ac:dyDescent="0.2">
      <c r="A58" s="157"/>
      <c r="B58" s="531"/>
      <c r="C58" s="532"/>
      <c r="D58" s="532"/>
      <c r="E58" s="533"/>
      <c r="F58" s="177"/>
      <c r="G58" s="126"/>
      <c r="H58" s="536"/>
      <c r="I58" s="536"/>
      <c r="J58" s="96"/>
      <c r="K58" s="132" t="str">
        <f t="shared" si="5"/>
        <v/>
      </c>
      <c r="L58" s="536"/>
      <c r="M58" s="536"/>
      <c r="N58" s="96"/>
      <c r="O58" s="132" t="str">
        <f t="shared" si="4"/>
        <v/>
      </c>
      <c r="P58" s="150"/>
      <c r="Q58" s="151">
        <f t="shared" si="6"/>
        <v>0</v>
      </c>
      <c r="R58" s="151">
        <f t="shared" si="7"/>
        <v>0</v>
      </c>
      <c r="S58" s="151">
        <f t="shared" si="8"/>
        <v>0</v>
      </c>
      <c r="T58" s="151">
        <f t="shared" si="9"/>
        <v>0</v>
      </c>
      <c r="U58" s="96"/>
      <c r="V58" s="96"/>
      <c r="W58" s="96"/>
      <c r="X58" s="96"/>
      <c r="Y58" s="96"/>
      <c r="Z58" s="147">
        <f t="shared" si="10"/>
        <v>0</v>
      </c>
    </row>
    <row r="59" spans="1:26" x14ac:dyDescent="0.2">
      <c r="A59" s="157"/>
      <c r="B59" s="531"/>
      <c r="C59" s="532"/>
      <c r="D59" s="532"/>
      <c r="E59" s="533"/>
      <c r="F59" s="177"/>
      <c r="G59" s="126"/>
      <c r="H59" s="536"/>
      <c r="I59" s="536"/>
      <c r="J59" s="96"/>
      <c r="K59" s="132" t="str">
        <f t="shared" si="5"/>
        <v/>
      </c>
      <c r="L59" s="536"/>
      <c r="M59" s="536"/>
      <c r="N59" s="96"/>
      <c r="O59" s="132" t="str">
        <f t="shared" si="4"/>
        <v/>
      </c>
      <c r="P59" s="150"/>
      <c r="Q59" s="151">
        <f t="shared" si="6"/>
        <v>0</v>
      </c>
      <c r="R59" s="151">
        <f t="shared" si="7"/>
        <v>0</v>
      </c>
      <c r="S59" s="151">
        <f t="shared" si="8"/>
        <v>0</v>
      </c>
      <c r="T59" s="151">
        <f t="shared" si="9"/>
        <v>0</v>
      </c>
      <c r="U59" s="96"/>
      <c r="V59" s="96"/>
      <c r="W59" s="96"/>
      <c r="X59" s="96"/>
      <c r="Y59" s="96"/>
      <c r="Z59" s="147">
        <f t="shared" si="10"/>
        <v>0</v>
      </c>
    </row>
    <row r="60" spans="1:26" x14ac:dyDescent="0.2">
      <c r="A60" s="157"/>
      <c r="B60" s="531"/>
      <c r="C60" s="532"/>
      <c r="D60" s="532"/>
      <c r="E60" s="533"/>
      <c r="F60" s="177"/>
      <c r="G60" s="126"/>
      <c r="H60" s="536"/>
      <c r="I60" s="536"/>
      <c r="J60" s="96"/>
      <c r="K60" s="132" t="str">
        <f t="shared" si="5"/>
        <v/>
      </c>
      <c r="L60" s="536"/>
      <c r="M60" s="536"/>
      <c r="N60" s="96"/>
      <c r="O60" s="132" t="str">
        <f t="shared" si="4"/>
        <v/>
      </c>
      <c r="P60" s="150"/>
      <c r="Q60" s="151">
        <f t="shared" si="6"/>
        <v>0</v>
      </c>
      <c r="R60" s="151">
        <f t="shared" si="7"/>
        <v>0</v>
      </c>
      <c r="S60" s="151">
        <f t="shared" si="8"/>
        <v>0</v>
      </c>
      <c r="T60" s="151">
        <f t="shared" si="9"/>
        <v>0</v>
      </c>
      <c r="U60" s="96"/>
      <c r="V60" s="96"/>
      <c r="W60" s="96"/>
      <c r="X60" s="96"/>
      <c r="Y60" s="96"/>
      <c r="Z60" s="147">
        <f t="shared" si="10"/>
        <v>0</v>
      </c>
    </row>
    <row r="61" spans="1:26" x14ac:dyDescent="0.2">
      <c r="A61" s="157"/>
      <c r="B61" s="531"/>
      <c r="C61" s="532"/>
      <c r="D61" s="532"/>
      <c r="E61" s="533"/>
      <c r="F61" s="177"/>
      <c r="G61" s="126"/>
      <c r="H61" s="536"/>
      <c r="I61" s="536"/>
      <c r="J61" s="96"/>
      <c r="K61" s="132" t="str">
        <f t="shared" si="5"/>
        <v/>
      </c>
      <c r="L61" s="536"/>
      <c r="M61" s="536"/>
      <c r="N61" s="96"/>
      <c r="O61" s="132" t="str">
        <f t="shared" si="4"/>
        <v/>
      </c>
      <c r="P61" s="150"/>
      <c r="Q61" s="151">
        <f t="shared" si="6"/>
        <v>0</v>
      </c>
      <c r="R61" s="151">
        <f t="shared" si="7"/>
        <v>0</v>
      </c>
      <c r="S61" s="151">
        <f t="shared" si="8"/>
        <v>0</v>
      </c>
      <c r="T61" s="151">
        <f t="shared" si="9"/>
        <v>0</v>
      </c>
      <c r="U61" s="96"/>
      <c r="V61" s="96"/>
      <c r="W61" s="96"/>
      <c r="X61" s="96"/>
      <c r="Y61" s="96"/>
      <c r="Z61" s="147">
        <f t="shared" si="10"/>
        <v>0</v>
      </c>
    </row>
    <row r="62" spans="1:26" x14ac:dyDescent="0.2">
      <c r="A62" s="157"/>
      <c r="B62" s="531"/>
      <c r="C62" s="532"/>
      <c r="D62" s="532"/>
      <c r="E62" s="533"/>
      <c r="F62" s="177"/>
      <c r="G62" s="126"/>
      <c r="H62" s="536"/>
      <c r="I62" s="536"/>
      <c r="J62" s="96"/>
      <c r="K62" s="132" t="str">
        <f t="shared" si="5"/>
        <v/>
      </c>
      <c r="L62" s="536"/>
      <c r="M62" s="536"/>
      <c r="N62" s="96"/>
      <c r="O62" s="132" t="str">
        <f t="shared" si="4"/>
        <v/>
      </c>
      <c r="P62" s="150"/>
      <c r="Q62" s="151">
        <f t="shared" si="6"/>
        <v>0</v>
      </c>
      <c r="R62" s="151">
        <f t="shared" si="7"/>
        <v>0</v>
      </c>
      <c r="S62" s="151">
        <f t="shared" si="8"/>
        <v>0</v>
      </c>
      <c r="T62" s="151">
        <f t="shared" si="9"/>
        <v>0</v>
      </c>
      <c r="U62" s="96"/>
      <c r="V62" s="96"/>
      <c r="W62" s="96"/>
      <c r="X62" s="96"/>
      <c r="Y62" s="96"/>
      <c r="Z62" s="147">
        <f t="shared" si="10"/>
        <v>0</v>
      </c>
    </row>
    <row r="63" spans="1:26" x14ac:dyDescent="0.2">
      <c r="A63" s="157"/>
      <c r="B63" s="531"/>
      <c r="C63" s="532"/>
      <c r="D63" s="532"/>
      <c r="E63" s="533"/>
      <c r="F63" s="177"/>
      <c r="G63" s="126"/>
      <c r="H63" s="536"/>
      <c r="I63" s="536"/>
      <c r="J63" s="96"/>
      <c r="K63" s="132" t="str">
        <f t="shared" si="5"/>
        <v/>
      </c>
      <c r="L63" s="536"/>
      <c r="M63" s="536"/>
      <c r="N63" s="96"/>
      <c r="O63" s="132" t="str">
        <f t="shared" si="4"/>
        <v/>
      </c>
      <c r="P63" s="150"/>
      <c r="Q63" s="151">
        <f t="shared" si="6"/>
        <v>0</v>
      </c>
      <c r="R63" s="151">
        <f t="shared" si="7"/>
        <v>0</v>
      </c>
      <c r="S63" s="151">
        <f t="shared" si="8"/>
        <v>0</v>
      </c>
      <c r="T63" s="151">
        <f t="shared" si="9"/>
        <v>0</v>
      </c>
      <c r="U63" s="96"/>
      <c r="V63" s="96"/>
      <c r="W63" s="96"/>
      <c r="X63" s="96"/>
      <c r="Y63" s="96"/>
      <c r="Z63" s="147">
        <f t="shared" si="10"/>
        <v>0</v>
      </c>
    </row>
    <row r="64" spans="1:26" x14ac:dyDescent="0.2">
      <c r="A64" s="157"/>
      <c r="B64" s="531"/>
      <c r="C64" s="532"/>
      <c r="D64" s="532"/>
      <c r="E64" s="533"/>
      <c r="F64" s="177"/>
      <c r="G64" s="126"/>
      <c r="H64" s="536"/>
      <c r="I64" s="536"/>
      <c r="J64" s="96"/>
      <c r="K64" s="132" t="str">
        <f t="shared" si="5"/>
        <v/>
      </c>
      <c r="L64" s="536"/>
      <c r="M64" s="536"/>
      <c r="N64" s="96"/>
      <c r="O64" s="132" t="str">
        <f t="shared" si="4"/>
        <v/>
      </c>
      <c r="P64" s="150"/>
      <c r="Q64" s="151">
        <f t="shared" si="6"/>
        <v>0</v>
      </c>
      <c r="R64" s="151">
        <f t="shared" si="7"/>
        <v>0</v>
      </c>
      <c r="S64" s="151">
        <f t="shared" si="8"/>
        <v>0</v>
      </c>
      <c r="T64" s="151">
        <f t="shared" si="9"/>
        <v>0</v>
      </c>
      <c r="U64" s="96"/>
      <c r="V64" s="96"/>
      <c r="W64" s="96"/>
      <c r="X64" s="96"/>
      <c r="Y64" s="96"/>
      <c r="Z64" s="147">
        <f t="shared" si="10"/>
        <v>0</v>
      </c>
    </row>
    <row r="65" spans="1:26" x14ac:dyDescent="0.2">
      <c r="A65" s="157"/>
      <c r="B65" s="531"/>
      <c r="C65" s="532"/>
      <c r="D65" s="532"/>
      <c r="E65" s="533"/>
      <c r="F65" s="177"/>
      <c r="G65" s="126"/>
      <c r="H65" s="536"/>
      <c r="I65" s="536"/>
      <c r="J65" s="96"/>
      <c r="K65" s="132" t="str">
        <f t="shared" si="5"/>
        <v/>
      </c>
      <c r="L65" s="536"/>
      <c r="M65" s="536"/>
      <c r="N65" s="96"/>
      <c r="O65" s="132" t="str">
        <f t="shared" si="4"/>
        <v/>
      </c>
      <c r="P65" s="150"/>
      <c r="Q65" s="151">
        <f t="shared" si="6"/>
        <v>0</v>
      </c>
      <c r="R65" s="151">
        <f t="shared" si="7"/>
        <v>0</v>
      </c>
      <c r="S65" s="151">
        <f t="shared" si="8"/>
        <v>0</v>
      </c>
      <c r="T65" s="151">
        <f t="shared" si="9"/>
        <v>0</v>
      </c>
      <c r="U65" s="96"/>
      <c r="V65" s="96"/>
      <c r="W65" s="96"/>
      <c r="X65" s="96"/>
      <c r="Y65" s="96"/>
      <c r="Z65" s="147">
        <f t="shared" si="10"/>
        <v>0</v>
      </c>
    </row>
    <row r="66" spans="1:26" x14ac:dyDescent="0.2">
      <c r="A66" s="157"/>
      <c r="B66" s="531"/>
      <c r="C66" s="532"/>
      <c r="D66" s="532"/>
      <c r="E66" s="533"/>
      <c r="F66" s="177"/>
      <c r="G66" s="126"/>
      <c r="H66" s="536"/>
      <c r="I66" s="536"/>
      <c r="J66" s="96"/>
      <c r="K66" s="132" t="str">
        <f t="shared" si="5"/>
        <v/>
      </c>
      <c r="L66" s="536"/>
      <c r="M66" s="536"/>
      <c r="N66" s="96"/>
      <c r="O66" s="132" t="str">
        <f t="shared" si="4"/>
        <v/>
      </c>
      <c r="P66" s="150"/>
      <c r="Q66" s="151">
        <f t="shared" si="6"/>
        <v>0</v>
      </c>
      <c r="R66" s="151">
        <f t="shared" si="7"/>
        <v>0</v>
      </c>
      <c r="S66" s="151">
        <f t="shared" si="8"/>
        <v>0</v>
      </c>
      <c r="T66" s="151">
        <f t="shared" si="9"/>
        <v>0</v>
      </c>
      <c r="U66" s="96"/>
      <c r="V66" s="96"/>
      <c r="W66" s="96"/>
      <c r="X66" s="96"/>
      <c r="Y66" s="96"/>
      <c r="Z66" s="147">
        <f t="shared" si="10"/>
        <v>0</v>
      </c>
    </row>
    <row r="67" spans="1:26" x14ac:dyDescent="0.2">
      <c r="A67" s="157"/>
      <c r="B67" s="531"/>
      <c r="C67" s="532"/>
      <c r="D67" s="532"/>
      <c r="E67" s="533"/>
      <c r="F67" s="177"/>
      <c r="G67" s="126"/>
      <c r="H67" s="536"/>
      <c r="I67" s="536"/>
      <c r="J67" s="96"/>
      <c r="K67" s="132" t="str">
        <f t="shared" si="5"/>
        <v/>
      </c>
      <c r="L67" s="536"/>
      <c r="M67" s="536"/>
      <c r="N67" s="96"/>
      <c r="O67" s="132" t="str">
        <f t="shared" si="4"/>
        <v/>
      </c>
      <c r="P67" s="150"/>
      <c r="Q67" s="151">
        <f t="shared" si="6"/>
        <v>0</v>
      </c>
      <c r="R67" s="151">
        <f t="shared" si="7"/>
        <v>0</v>
      </c>
      <c r="S67" s="151">
        <f t="shared" si="8"/>
        <v>0</v>
      </c>
      <c r="T67" s="151">
        <f t="shared" si="9"/>
        <v>0</v>
      </c>
      <c r="U67" s="96"/>
      <c r="V67" s="96"/>
      <c r="W67" s="96"/>
      <c r="X67" s="96"/>
      <c r="Y67" s="96"/>
      <c r="Z67" s="147">
        <f t="shared" si="10"/>
        <v>0</v>
      </c>
    </row>
    <row r="68" spans="1:26" x14ac:dyDescent="0.2">
      <c r="A68" s="157"/>
      <c r="B68" s="531"/>
      <c r="C68" s="532"/>
      <c r="D68" s="532"/>
      <c r="E68" s="533"/>
      <c r="F68" s="177"/>
      <c r="G68" s="126"/>
      <c r="H68" s="536"/>
      <c r="I68" s="536"/>
      <c r="J68" s="96"/>
      <c r="K68" s="132" t="str">
        <f t="shared" ref="K68:K86" si="11">IF(H68="","",100*((H68-J68)/H68))</f>
        <v/>
      </c>
      <c r="L68" s="536"/>
      <c r="M68" s="536"/>
      <c r="N68" s="96"/>
      <c r="O68" s="132" t="str">
        <f t="shared" ref="O68:O86" si="12">IF(L68="","",100*((L68-N68)/L68))</f>
        <v/>
      </c>
      <c r="P68" s="150"/>
      <c r="Q68" s="151">
        <f t="shared" si="6"/>
        <v>0</v>
      </c>
      <c r="R68" s="151">
        <f t="shared" si="7"/>
        <v>0</v>
      </c>
      <c r="S68" s="151">
        <f t="shared" si="8"/>
        <v>0</v>
      </c>
      <c r="T68" s="151">
        <f t="shared" si="9"/>
        <v>0</v>
      </c>
      <c r="U68" s="96"/>
      <c r="V68" s="96"/>
      <c r="W68" s="96"/>
      <c r="X68" s="96"/>
      <c r="Y68" s="96"/>
      <c r="Z68" s="147">
        <f t="shared" si="10"/>
        <v>0</v>
      </c>
    </row>
    <row r="69" spans="1:26" x14ac:dyDescent="0.2">
      <c r="A69" s="157"/>
      <c r="B69" s="531"/>
      <c r="C69" s="532"/>
      <c r="D69" s="532"/>
      <c r="E69" s="533"/>
      <c r="F69" s="177"/>
      <c r="G69" s="126"/>
      <c r="H69" s="536"/>
      <c r="I69" s="536"/>
      <c r="J69" s="96"/>
      <c r="K69" s="132" t="str">
        <f t="shared" si="11"/>
        <v/>
      </c>
      <c r="L69" s="536"/>
      <c r="M69" s="536"/>
      <c r="N69" s="96"/>
      <c r="O69" s="132" t="str">
        <f t="shared" si="12"/>
        <v/>
      </c>
      <c r="P69" s="150"/>
      <c r="Q69" s="151">
        <f t="shared" ref="Q69:Q86" si="13">IF(P69&lt;&gt;"Available ",0,1)</f>
        <v>0</v>
      </c>
      <c r="R69" s="151">
        <f t="shared" ref="R69:R86" si="14">IF(P69&lt;&gt;"Resigned",0,1)</f>
        <v>0</v>
      </c>
      <c r="S69" s="151">
        <f t="shared" ref="S69:S86" si="15">IF(P69&lt;&gt;"Not Available",0,1)</f>
        <v>0</v>
      </c>
      <c r="T69" s="151">
        <f t="shared" ref="T69:T86" si="16">(H69+L69)*100/160</f>
        <v>0</v>
      </c>
      <c r="U69" s="96"/>
      <c r="V69" s="96"/>
      <c r="W69" s="96"/>
      <c r="X69" s="96"/>
      <c r="Y69" s="96"/>
      <c r="Z69" s="147">
        <f t="shared" ref="Z69:Z86" si="17">(J69+N69)*100/160</f>
        <v>0</v>
      </c>
    </row>
    <row r="70" spans="1:26" x14ac:dyDescent="0.2">
      <c r="A70" s="157"/>
      <c r="B70" s="531"/>
      <c r="C70" s="532"/>
      <c r="D70" s="532"/>
      <c r="E70" s="533"/>
      <c r="F70" s="177"/>
      <c r="G70" s="126"/>
      <c r="H70" s="536"/>
      <c r="I70" s="536"/>
      <c r="J70" s="96"/>
      <c r="K70" s="132" t="str">
        <f t="shared" si="11"/>
        <v/>
      </c>
      <c r="L70" s="536"/>
      <c r="M70" s="536"/>
      <c r="N70" s="96"/>
      <c r="O70" s="132" t="str">
        <f t="shared" si="12"/>
        <v/>
      </c>
      <c r="P70" s="150"/>
      <c r="Q70" s="151">
        <f t="shared" si="13"/>
        <v>0</v>
      </c>
      <c r="R70" s="151">
        <f t="shared" si="14"/>
        <v>0</v>
      </c>
      <c r="S70" s="151">
        <f t="shared" si="15"/>
        <v>0</v>
      </c>
      <c r="T70" s="151">
        <f t="shared" si="16"/>
        <v>0</v>
      </c>
      <c r="U70" s="96"/>
      <c r="V70" s="96"/>
      <c r="W70" s="96"/>
      <c r="X70" s="96"/>
      <c r="Y70" s="96"/>
      <c r="Z70" s="147">
        <f t="shared" si="17"/>
        <v>0</v>
      </c>
    </row>
    <row r="71" spans="1:26" x14ac:dyDescent="0.2">
      <c r="A71" s="157"/>
      <c r="B71" s="531"/>
      <c r="C71" s="532"/>
      <c r="D71" s="532"/>
      <c r="E71" s="533"/>
      <c r="F71" s="177"/>
      <c r="G71" s="126"/>
      <c r="H71" s="536"/>
      <c r="I71" s="536"/>
      <c r="J71" s="96"/>
      <c r="K71" s="132" t="str">
        <f t="shared" si="11"/>
        <v/>
      </c>
      <c r="L71" s="536"/>
      <c r="M71" s="536"/>
      <c r="N71" s="96"/>
      <c r="O71" s="132" t="str">
        <f t="shared" si="12"/>
        <v/>
      </c>
      <c r="P71" s="150"/>
      <c r="Q71" s="151">
        <f t="shared" si="13"/>
        <v>0</v>
      </c>
      <c r="R71" s="151">
        <f t="shared" si="14"/>
        <v>0</v>
      </c>
      <c r="S71" s="151">
        <f t="shared" si="15"/>
        <v>0</v>
      </c>
      <c r="T71" s="151">
        <f t="shared" si="16"/>
        <v>0</v>
      </c>
      <c r="U71" s="96"/>
      <c r="V71" s="96"/>
      <c r="W71" s="96"/>
      <c r="X71" s="96"/>
      <c r="Y71" s="96"/>
      <c r="Z71" s="147">
        <f t="shared" si="17"/>
        <v>0</v>
      </c>
    </row>
    <row r="72" spans="1:26" x14ac:dyDescent="0.2">
      <c r="A72" s="157"/>
      <c r="B72" s="531"/>
      <c r="C72" s="532"/>
      <c r="D72" s="532"/>
      <c r="E72" s="533"/>
      <c r="F72" s="177"/>
      <c r="G72" s="126"/>
      <c r="H72" s="536"/>
      <c r="I72" s="536"/>
      <c r="J72" s="96"/>
      <c r="K72" s="132" t="str">
        <f t="shared" si="11"/>
        <v/>
      </c>
      <c r="L72" s="536"/>
      <c r="M72" s="536"/>
      <c r="N72" s="96"/>
      <c r="O72" s="132" t="str">
        <f t="shared" si="12"/>
        <v/>
      </c>
      <c r="P72" s="150"/>
      <c r="Q72" s="151">
        <f t="shared" si="13"/>
        <v>0</v>
      </c>
      <c r="R72" s="151">
        <f t="shared" si="14"/>
        <v>0</v>
      </c>
      <c r="S72" s="151">
        <f t="shared" si="15"/>
        <v>0</v>
      </c>
      <c r="T72" s="151">
        <f t="shared" si="16"/>
        <v>0</v>
      </c>
      <c r="U72" s="96"/>
      <c r="V72" s="96"/>
      <c r="W72" s="96"/>
      <c r="X72" s="96"/>
      <c r="Y72" s="96"/>
      <c r="Z72" s="147">
        <f t="shared" si="17"/>
        <v>0</v>
      </c>
    </row>
    <row r="73" spans="1:26" x14ac:dyDescent="0.2">
      <c r="A73" s="157"/>
      <c r="B73" s="531"/>
      <c r="C73" s="532"/>
      <c r="D73" s="532"/>
      <c r="E73" s="533"/>
      <c r="F73" s="177"/>
      <c r="G73" s="126"/>
      <c r="H73" s="536"/>
      <c r="I73" s="536"/>
      <c r="J73" s="96"/>
      <c r="K73" s="132" t="str">
        <f t="shared" si="11"/>
        <v/>
      </c>
      <c r="L73" s="536"/>
      <c r="M73" s="536"/>
      <c r="N73" s="96"/>
      <c r="O73" s="132" t="str">
        <f t="shared" si="12"/>
        <v/>
      </c>
      <c r="P73" s="150"/>
      <c r="Q73" s="151">
        <f t="shared" si="13"/>
        <v>0</v>
      </c>
      <c r="R73" s="151">
        <f t="shared" si="14"/>
        <v>0</v>
      </c>
      <c r="S73" s="151">
        <f t="shared" si="15"/>
        <v>0</v>
      </c>
      <c r="T73" s="151">
        <f t="shared" si="16"/>
        <v>0</v>
      </c>
      <c r="U73" s="96"/>
      <c r="V73" s="96"/>
      <c r="W73" s="96"/>
      <c r="X73" s="96"/>
      <c r="Y73" s="96"/>
      <c r="Z73" s="147">
        <f t="shared" si="17"/>
        <v>0</v>
      </c>
    </row>
    <row r="74" spans="1:26" x14ac:dyDescent="0.2">
      <c r="A74" s="157"/>
      <c r="B74" s="531"/>
      <c r="C74" s="532"/>
      <c r="D74" s="532"/>
      <c r="E74" s="533"/>
      <c r="F74" s="177"/>
      <c r="G74" s="126"/>
      <c r="H74" s="536"/>
      <c r="I74" s="536"/>
      <c r="J74" s="96"/>
      <c r="K74" s="132" t="str">
        <f t="shared" si="11"/>
        <v/>
      </c>
      <c r="L74" s="536"/>
      <c r="M74" s="536"/>
      <c r="N74" s="96"/>
      <c r="O74" s="132" t="str">
        <f t="shared" si="12"/>
        <v/>
      </c>
      <c r="P74" s="150"/>
      <c r="Q74" s="151">
        <f t="shared" si="13"/>
        <v>0</v>
      </c>
      <c r="R74" s="151">
        <f t="shared" si="14"/>
        <v>0</v>
      </c>
      <c r="S74" s="151">
        <f t="shared" si="15"/>
        <v>0</v>
      </c>
      <c r="T74" s="151">
        <f t="shared" si="16"/>
        <v>0</v>
      </c>
      <c r="U74" s="96"/>
      <c r="V74" s="96"/>
      <c r="W74" s="96"/>
      <c r="X74" s="96"/>
      <c r="Y74" s="96"/>
      <c r="Z74" s="147">
        <f t="shared" si="17"/>
        <v>0</v>
      </c>
    </row>
    <row r="75" spans="1:26" x14ac:dyDescent="0.2">
      <c r="A75" s="157"/>
      <c r="B75" s="531"/>
      <c r="C75" s="532"/>
      <c r="D75" s="532"/>
      <c r="E75" s="533"/>
      <c r="F75" s="177"/>
      <c r="G75" s="126"/>
      <c r="H75" s="536"/>
      <c r="I75" s="536"/>
      <c r="J75" s="96"/>
      <c r="K75" s="132" t="str">
        <f t="shared" si="11"/>
        <v/>
      </c>
      <c r="L75" s="536"/>
      <c r="M75" s="536"/>
      <c r="N75" s="96"/>
      <c r="O75" s="132" t="str">
        <f t="shared" si="12"/>
        <v/>
      </c>
      <c r="P75" s="150"/>
      <c r="Q75" s="151">
        <f t="shared" si="13"/>
        <v>0</v>
      </c>
      <c r="R75" s="151">
        <f t="shared" si="14"/>
        <v>0</v>
      </c>
      <c r="S75" s="151">
        <f t="shared" si="15"/>
        <v>0</v>
      </c>
      <c r="T75" s="151">
        <f t="shared" si="16"/>
        <v>0</v>
      </c>
      <c r="U75" s="96"/>
      <c r="V75" s="96"/>
      <c r="W75" s="96"/>
      <c r="X75" s="96"/>
      <c r="Y75" s="96"/>
      <c r="Z75" s="147">
        <f t="shared" si="17"/>
        <v>0</v>
      </c>
    </row>
    <row r="76" spans="1:26" x14ac:dyDescent="0.2">
      <c r="A76" s="157"/>
      <c r="B76" s="531"/>
      <c r="C76" s="532"/>
      <c r="D76" s="532"/>
      <c r="E76" s="533"/>
      <c r="F76" s="177"/>
      <c r="G76" s="126"/>
      <c r="H76" s="536"/>
      <c r="I76" s="536"/>
      <c r="J76" s="96"/>
      <c r="K76" s="132" t="str">
        <f t="shared" si="11"/>
        <v/>
      </c>
      <c r="L76" s="536"/>
      <c r="M76" s="536"/>
      <c r="N76" s="96"/>
      <c r="O76" s="132" t="str">
        <f t="shared" si="12"/>
        <v/>
      </c>
      <c r="P76" s="150"/>
      <c r="Q76" s="151">
        <f t="shared" si="13"/>
        <v>0</v>
      </c>
      <c r="R76" s="151">
        <f t="shared" si="14"/>
        <v>0</v>
      </c>
      <c r="S76" s="151">
        <f t="shared" si="15"/>
        <v>0</v>
      </c>
      <c r="T76" s="151">
        <f t="shared" si="16"/>
        <v>0</v>
      </c>
      <c r="U76" s="96"/>
      <c r="V76" s="96"/>
      <c r="W76" s="96"/>
      <c r="X76" s="96"/>
      <c r="Y76" s="96"/>
      <c r="Z76" s="147">
        <f t="shared" si="17"/>
        <v>0</v>
      </c>
    </row>
    <row r="77" spans="1:26" x14ac:dyDescent="0.2">
      <c r="A77" s="157"/>
      <c r="B77" s="531"/>
      <c r="C77" s="532"/>
      <c r="D77" s="532"/>
      <c r="E77" s="533"/>
      <c r="F77" s="177"/>
      <c r="G77" s="126"/>
      <c r="H77" s="536"/>
      <c r="I77" s="536"/>
      <c r="J77" s="96"/>
      <c r="K77" s="132" t="str">
        <f t="shared" si="11"/>
        <v/>
      </c>
      <c r="L77" s="536"/>
      <c r="M77" s="536"/>
      <c r="N77" s="96"/>
      <c r="O77" s="132" t="str">
        <f t="shared" si="12"/>
        <v/>
      </c>
      <c r="P77" s="150"/>
      <c r="Q77" s="151">
        <f t="shared" si="13"/>
        <v>0</v>
      </c>
      <c r="R77" s="151">
        <f t="shared" si="14"/>
        <v>0</v>
      </c>
      <c r="S77" s="151">
        <f t="shared" si="15"/>
        <v>0</v>
      </c>
      <c r="T77" s="151">
        <f t="shared" si="16"/>
        <v>0</v>
      </c>
      <c r="U77" s="96"/>
      <c r="V77" s="96"/>
      <c r="W77" s="96"/>
      <c r="X77" s="96"/>
      <c r="Y77" s="96"/>
      <c r="Z77" s="147">
        <f t="shared" si="17"/>
        <v>0</v>
      </c>
    </row>
    <row r="78" spans="1:26" x14ac:dyDescent="0.2">
      <c r="A78" s="157"/>
      <c r="B78" s="531"/>
      <c r="C78" s="532"/>
      <c r="D78" s="532"/>
      <c r="E78" s="533"/>
      <c r="F78" s="177"/>
      <c r="G78" s="126"/>
      <c r="H78" s="536"/>
      <c r="I78" s="536"/>
      <c r="J78" s="96"/>
      <c r="K78" s="132" t="str">
        <f t="shared" si="11"/>
        <v/>
      </c>
      <c r="L78" s="536"/>
      <c r="M78" s="536"/>
      <c r="N78" s="96"/>
      <c r="O78" s="132" t="str">
        <f t="shared" si="12"/>
        <v/>
      </c>
      <c r="P78" s="150"/>
      <c r="Q78" s="151">
        <f t="shared" si="13"/>
        <v>0</v>
      </c>
      <c r="R78" s="151">
        <f t="shared" si="14"/>
        <v>0</v>
      </c>
      <c r="S78" s="151">
        <f t="shared" si="15"/>
        <v>0</v>
      </c>
      <c r="T78" s="151">
        <f t="shared" si="16"/>
        <v>0</v>
      </c>
      <c r="U78" s="96"/>
      <c r="V78" s="96"/>
      <c r="W78" s="96"/>
      <c r="X78" s="96"/>
      <c r="Y78" s="96"/>
      <c r="Z78" s="147">
        <f t="shared" si="17"/>
        <v>0</v>
      </c>
    </row>
    <row r="79" spans="1:26" x14ac:dyDescent="0.2">
      <c r="A79" s="157"/>
      <c r="B79" s="531"/>
      <c r="C79" s="532"/>
      <c r="D79" s="532"/>
      <c r="E79" s="533"/>
      <c r="F79" s="177"/>
      <c r="G79" s="126"/>
      <c r="H79" s="536"/>
      <c r="I79" s="536"/>
      <c r="J79" s="96"/>
      <c r="K79" s="132" t="str">
        <f t="shared" si="11"/>
        <v/>
      </c>
      <c r="L79" s="536"/>
      <c r="M79" s="536"/>
      <c r="N79" s="96"/>
      <c r="O79" s="132" t="str">
        <f t="shared" si="12"/>
        <v/>
      </c>
      <c r="P79" s="150"/>
      <c r="Q79" s="151">
        <f t="shared" si="13"/>
        <v>0</v>
      </c>
      <c r="R79" s="151">
        <f t="shared" si="14"/>
        <v>0</v>
      </c>
      <c r="S79" s="151">
        <f t="shared" si="15"/>
        <v>0</v>
      </c>
      <c r="T79" s="151">
        <f t="shared" si="16"/>
        <v>0</v>
      </c>
      <c r="U79" s="96"/>
      <c r="V79" s="96"/>
      <c r="W79" s="96"/>
      <c r="X79" s="96"/>
      <c r="Y79" s="96"/>
      <c r="Z79" s="147">
        <f t="shared" si="17"/>
        <v>0</v>
      </c>
    </row>
    <row r="80" spans="1:26" x14ac:dyDescent="0.2">
      <c r="A80" s="157"/>
      <c r="B80" s="531"/>
      <c r="C80" s="532"/>
      <c r="D80" s="532"/>
      <c r="E80" s="533"/>
      <c r="F80" s="177"/>
      <c r="G80" s="126"/>
      <c r="H80" s="536"/>
      <c r="I80" s="536"/>
      <c r="J80" s="96"/>
      <c r="K80" s="132" t="str">
        <f t="shared" si="11"/>
        <v/>
      </c>
      <c r="L80" s="536"/>
      <c r="M80" s="536"/>
      <c r="N80" s="96"/>
      <c r="O80" s="132" t="str">
        <f t="shared" si="12"/>
        <v/>
      </c>
      <c r="P80" s="150"/>
      <c r="Q80" s="151">
        <f t="shared" si="13"/>
        <v>0</v>
      </c>
      <c r="R80" s="151">
        <f t="shared" si="14"/>
        <v>0</v>
      </c>
      <c r="S80" s="151">
        <f t="shared" si="15"/>
        <v>0</v>
      </c>
      <c r="T80" s="151">
        <f t="shared" si="16"/>
        <v>0</v>
      </c>
      <c r="U80" s="96"/>
      <c r="V80" s="96"/>
      <c r="W80" s="96"/>
      <c r="X80" s="96"/>
      <c r="Y80" s="96"/>
      <c r="Z80" s="147">
        <f t="shared" si="17"/>
        <v>0</v>
      </c>
    </row>
    <row r="81" spans="1:26" x14ac:dyDescent="0.2">
      <c r="A81" s="157"/>
      <c r="B81" s="531"/>
      <c r="C81" s="532"/>
      <c r="D81" s="532"/>
      <c r="E81" s="533"/>
      <c r="F81" s="177"/>
      <c r="G81" s="126"/>
      <c r="H81" s="536"/>
      <c r="I81" s="536"/>
      <c r="J81" s="96"/>
      <c r="K81" s="132" t="str">
        <f t="shared" si="11"/>
        <v/>
      </c>
      <c r="L81" s="536"/>
      <c r="M81" s="536"/>
      <c r="N81" s="96"/>
      <c r="O81" s="132" t="str">
        <f t="shared" si="12"/>
        <v/>
      </c>
      <c r="P81" s="150"/>
      <c r="Q81" s="151">
        <f t="shared" si="13"/>
        <v>0</v>
      </c>
      <c r="R81" s="151">
        <f t="shared" si="14"/>
        <v>0</v>
      </c>
      <c r="S81" s="151">
        <f t="shared" si="15"/>
        <v>0</v>
      </c>
      <c r="T81" s="151">
        <f t="shared" si="16"/>
        <v>0</v>
      </c>
      <c r="U81" s="96"/>
      <c r="V81" s="96"/>
      <c r="W81" s="96"/>
      <c r="X81" s="96"/>
      <c r="Y81" s="96"/>
      <c r="Z81" s="147">
        <f t="shared" si="17"/>
        <v>0</v>
      </c>
    </row>
    <row r="82" spans="1:26" x14ac:dyDescent="0.2">
      <c r="A82" s="157"/>
      <c r="B82" s="531"/>
      <c r="C82" s="532"/>
      <c r="D82" s="532"/>
      <c r="E82" s="533"/>
      <c r="F82" s="177"/>
      <c r="G82" s="126"/>
      <c r="H82" s="536"/>
      <c r="I82" s="536"/>
      <c r="J82" s="96"/>
      <c r="K82" s="132" t="str">
        <f t="shared" si="11"/>
        <v/>
      </c>
      <c r="L82" s="536"/>
      <c r="M82" s="536"/>
      <c r="N82" s="96"/>
      <c r="O82" s="132" t="str">
        <f t="shared" si="12"/>
        <v/>
      </c>
      <c r="P82" s="150"/>
      <c r="Q82" s="151">
        <f t="shared" si="13"/>
        <v>0</v>
      </c>
      <c r="R82" s="151">
        <f t="shared" si="14"/>
        <v>0</v>
      </c>
      <c r="S82" s="151">
        <f t="shared" si="15"/>
        <v>0</v>
      </c>
      <c r="T82" s="151">
        <f t="shared" si="16"/>
        <v>0</v>
      </c>
      <c r="U82" s="96"/>
      <c r="V82" s="96"/>
      <c r="W82" s="96"/>
      <c r="X82" s="96"/>
      <c r="Y82" s="96"/>
      <c r="Z82" s="147">
        <f t="shared" si="17"/>
        <v>0</v>
      </c>
    </row>
    <row r="83" spans="1:26" x14ac:dyDescent="0.2">
      <c r="A83" s="157"/>
      <c r="B83" s="531"/>
      <c r="C83" s="532"/>
      <c r="D83" s="532"/>
      <c r="E83" s="533"/>
      <c r="F83" s="177"/>
      <c r="G83" s="126"/>
      <c r="H83" s="536"/>
      <c r="I83" s="536"/>
      <c r="J83" s="96"/>
      <c r="K83" s="132" t="str">
        <f t="shared" si="11"/>
        <v/>
      </c>
      <c r="L83" s="536"/>
      <c r="M83" s="536"/>
      <c r="N83" s="96"/>
      <c r="O83" s="132" t="str">
        <f t="shared" si="12"/>
        <v/>
      </c>
      <c r="P83" s="150"/>
      <c r="Q83" s="151">
        <f t="shared" si="13"/>
        <v>0</v>
      </c>
      <c r="R83" s="151">
        <f t="shared" si="14"/>
        <v>0</v>
      </c>
      <c r="S83" s="151">
        <f t="shared" si="15"/>
        <v>0</v>
      </c>
      <c r="T83" s="151">
        <f t="shared" si="16"/>
        <v>0</v>
      </c>
      <c r="U83" s="96"/>
      <c r="V83" s="96"/>
      <c r="W83" s="96"/>
      <c r="X83" s="96"/>
      <c r="Y83" s="96"/>
      <c r="Z83" s="147">
        <f t="shared" si="17"/>
        <v>0</v>
      </c>
    </row>
    <row r="84" spans="1:26" x14ac:dyDescent="0.2">
      <c r="A84" s="157"/>
      <c r="B84" s="531"/>
      <c r="C84" s="532"/>
      <c r="D84" s="532"/>
      <c r="E84" s="533"/>
      <c r="F84" s="177"/>
      <c r="G84" s="126"/>
      <c r="H84" s="536"/>
      <c r="I84" s="536"/>
      <c r="J84" s="96"/>
      <c r="K84" s="132" t="str">
        <f t="shared" si="11"/>
        <v/>
      </c>
      <c r="L84" s="536"/>
      <c r="M84" s="536"/>
      <c r="N84" s="96"/>
      <c r="O84" s="132" t="str">
        <f t="shared" si="12"/>
        <v/>
      </c>
      <c r="P84" s="150"/>
      <c r="Q84" s="151">
        <f t="shared" si="13"/>
        <v>0</v>
      </c>
      <c r="R84" s="151">
        <f t="shared" si="14"/>
        <v>0</v>
      </c>
      <c r="S84" s="151">
        <f t="shared" si="15"/>
        <v>0</v>
      </c>
      <c r="T84" s="151">
        <f t="shared" si="16"/>
        <v>0</v>
      </c>
      <c r="U84" s="96"/>
      <c r="V84" s="96"/>
      <c r="W84" s="96"/>
      <c r="X84" s="96"/>
      <c r="Y84" s="96"/>
      <c r="Z84" s="147">
        <f t="shared" si="17"/>
        <v>0</v>
      </c>
    </row>
    <row r="85" spans="1:26" x14ac:dyDescent="0.2">
      <c r="A85" s="157"/>
      <c r="B85" s="531"/>
      <c r="C85" s="532"/>
      <c r="D85" s="532"/>
      <c r="E85" s="533"/>
      <c r="F85" s="177"/>
      <c r="G85" s="126"/>
      <c r="H85" s="536"/>
      <c r="I85" s="536"/>
      <c r="J85" s="96"/>
      <c r="K85" s="132" t="str">
        <f t="shared" si="11"/>
        <v/>
      </c>
      <c r="L85" s="536"/>
      <c r="M85" s="536"/>
      <c r="N85" s="96"/>
      <c r="O85" s="132" t="str">
        <f t="shared" si="12"/>
        <v/>
      </c>
      <c r="P85" s="150"/>
      <c r="Q85" s="151">
        <f t="shared" si="13"/>
        <v>0</v>
      </c>
      <c r="R85" s="151">
        <f t="shared" si="14"/>
        <v>0</v>
      </c>
      <c r="S85" s="151">
        <f t="shared" si="15"/>
        <v>0</v>
      </c>
      <c r="T85" s="151">
        <f t="shared" si="16"/>
        <v>0</v>
      </c>
      <c r="U85" s="96"/>
      <c r="V85" s="96"/>
      <c r="W85" s="96"/>
      <c r="X85" s="96"/>
      <c r="Y85" s="96"/>
      <c r="Z85" s="147">
        <f t="shared" si="17"/>
        <v>0</v>
      </c>
    </row>
    <row r="86" spans="1:26" x14ac:dyDescent="0.2">
      <c r="A86" s="157"/>
      <c r="B86" s="531"/>
      <c r="C86" s="532"/>
      <c r="D86" s="532"/>
      <c r="E86" s="533"/>
      <c r="F86" s="177"/>
      <c r="G86" s="126"/>
      <c r="H86" s="536"/>
      <c r="I86" s="536"/>
      <c r="J86" s="96"/>
      <c r="K86" s="132" t="str">
        <f t="shared" si="11"/>
        <v/>
      </c>
      <c r="L86" s="536"/>
      <c r="M86" s="536"/>
      <c r="N86" s="96"/>
      <c r="O86" s="132" t="str">
        <f t="shared" si="12"/>
        <v/>
      </c>
      <c r="P86" s="150"/>
      <c r="Q86" s="151">
        <f t="shared" si="13"/>
        <v>0</v>
      </c>
      <c r="R86" s="151">
        <f t="shared" si="14"/>
        <v>0</v>
      </c>
      <c r="S86" s="151">
        <f t="shared" si="15"/>
        <v>0</v>
      </c>
      <c r="T86" s="151">
        <f t="shared" si="16"/>
        <v>0</v>
      </c>
      <c r="U86" s="96"/>
      <c r="V86" s="96"/>
      <c r="W86" s="96"/>
      <c r="X86" s="96"/>
      <c r="Y86" s="96"/>
      <c r="Z86" s="147">
        <f t="shared" si="17"/>
        <v>0</v>
      </c>
    </row>
  </sheetData>
  <mergeCells count="329">
    <mergeCell ref="B27:E27"/>
    <mergeCell ref="H27:I27"/>
    <mergeCell ref="L27:M27"/>
    <mergeCell ref="B28:E28"/>
    <mergeCell ref="H28:I28"/>
    <mergeCell ref="L28:M28"/>
    <mergeCell ref="B29:E29"/>
    <mergeCell ref="H29:I29"/>
    <mergeCell ref="L29:M29"/>
    <mergeCell ref="B22:E22"/>
    <mergeCell ref="H22:I22"/>
    <mergeCell ref="L22:M22"/>
    <mergeCell ref="B20:E20"/>
    <mergeCell ref="H20:I20"/>
    <mergeCell ref="L20:M20"/>
    <mergeCell ref="B26:E26"/>
    <mergeCell ref="H26:I26"/>
    <mergeCell ref="L26:M26"/>
    <mergeCell ref="B23:E23"/>
    <mergeCell ref="H23:I23"/>
    <mergeCell ref="L23:M23"/>
    <mergeCell ref="B24:E24"/>
    <mergeCell ref="H24:I24"/>
    <mergeCell ref="L24:M24"/>
    <mergeCell ref="B25:E25"/>
    <mergeCell ref="H25:I25"/>
    <mergeCell ref="L25:M25"/>
    <mergeCell ref="H19:I19"/>
    <mergeCell ref="L19:M19"/>
    <mergeCell ref="A12:F12"/>
    <mergeCell ref="G12:H12"/>
    <mergeCell ref="I12:J12"/>
    <mergeCell ref="L12:M12"/>
    <mergeCell ref="B21:E21"/>
    <mergeCell ref="H21:I21"/>
    <mergeCell ref="L21:M21"/>
    <mergeCell ref="T12:Y12"/>
    <mergeCell ref="Z12:AA12"/>
    <mergeCell ref="AB12:AC12"/>
    <mergeCell ref="AE12:AF12"/>
    <mergeCell ref="A13:F13"/>
    <mergeCell ref="G13:H13"/>
    <mergeCell ref="I13:J13"/>
    <mergeCell ref="L13:M13"/>
    <mergeCell ref="T13:Y13"/>
    <mergeCell ref="Z13:AA13"/>
    <mergeCell ref="AB13:AC13"/>
    <mergeCell ref="AE13:AF13"/>
    <mergeCell ref="A10:F10"/>
    <mergeCell ref="G10:H10"/>
    <mergeCell ref="I10:J10"/>
    <mergeCell ref="L10:M10"/>
    <mergeCell ref="T10:Y10"/>
    <mergeCell ref="Z10:AA10"/>
    <mergeCell ref="AB10:AC10"/>
    <mergeCell ref="AE10:AF10"/>
    <mergeCell ref="A11:F11"/>
    <mergeCell ref="G11:H11"/>
    <mergeCell ref="I11:J11"/>
    <mergeCell ref="L11:M11"/>
    <mergeCell ref="T11:Y11"/>
    <mergeCell ref="Z11:AA11"/>
    <mergeCell ref="AB11:AC11"/>
    <mergeCell ref="AE11:AF11"/>
    <mergeCell ref="A8:F8"/>
    <mergeCell ref="G8:H8"/>
    <mergeCell ref="I8:J8"/>
    <mergeCell ref="L8:M8"/>
    <mergeCell ref="T8:Y8"/>
    <mergeCell ref="Z8:AA8"/>
    <mergeCell ref="AB8:AC8"/>
    <mergeCell ref="AE8:AF8"/>
    <mergeCell ref="A9:F9"/>
    <mergeCell ref="G9:H9"/>
    <mergeCell ref="I9:J9"/>
    <mergeCell ref="L9:M9"/>
    <mergeCell ref="T9:Y9"/>
    <mergeCell ref="Z9:AA9"/>
    <mergeCell ref="AB9:AC9"/>
    <mergeCell ref="AE9:AF9"/>
    <mergeCell ref="A6:F6"/>
    <mergeCell ref="G6:H6"/>
    <mergeCell ref="I6:J6"/>
    <mergeCell ref="L6:M6"/>
    <mergeCell ref="T6:Y6"/>
    <mergeCell ref="Z6:AA6"/>
    <mergeCell ref="AB6:AC6"/>
    <mergeCell ref="AE6:AF6"/>
    <mergeCell ref="A7:F7"/>
    <mergeCell ref="G7:H7"/>
    <mergeCell ref="I7:J7"/>
    <mergeCell ref="L7:M7"/>
    <mergeCell ref="T7:Y7"/>
    <mergeCell ref="Z7:AA7"/>
    <mergeCell ref="AB7:AC7"/>
    <mergeCell ref="AE7:AF7"/>
    <mergeCell ref="A4:F4"/>
    <mergeCell ref="G4:H4"/>
    <mergeCell ref="I4:J4"/>
    <mergeCell ref="L4:M4"/>
    <mergeCell ref="T4:Y4"/>
    <mergeCell ref="Z4:AA4"/>
    <mergeCell ref="AB4:AC4"/>
    <mergeCell ref="AE4:AF4"/>
    <mergeCell ref="A5:F5"/>
    <mergeCell ref="G5:H5"/>
    <mergeCell ref="I5:J5"/>
    <mergeCell ref="L5:M5"/>
    <mergeCell ref="T5:Y5"/>
    <mergeCell ref="Z5:AA5"/>
    <mergeCell ref="AB5:AC5"/>
    <mergeCell ref="AE5:AF5"/>
    <mergeCell ref="A1:O1"/>
    <mergeCell ref="T1:AH1"/>
    <mergeCell ref="A2:F2"/>
    <mergeCell ref="G2:J2"/>
    <mergeCell ref="L2:N2"/>
    <mergeCell ref="T2:Y2"/>
    <mergeCell ref="Z2:AC2"/>
    <mergeCell ref="AE2:AG2"/>
    <mergeCell ref="A3:F3"/>
    <mergeCell ref="G3:H3"/>
    <mergeCell ref="I3:J3"/>
    <mergeCell ref="L3:M3"/>
    <mergeCell ref="T3:Y3"/>
    <mergeCell ref="Z3:AA3"/>
    <mergeCell ref="AB3:AC3"/>
    <mergeCell ref="AE3:AF3"/>
    <mergeCell ref="B36:E36"/>
    <mergeCell ref="B37:E37"/>
    <mergeCell ref="B38:E38"/>
    <mergeCell ref="B39:E39"/>
    <mergeCell ref="B40:E40"/>
    <mergeCell ref="B41:E41"/>
    <mergeCell ref="B30:E30"/>
    <mergeCell ref="B31:E31"/>
    <mergeCell ref="B32:E32"/>
    <mergeCell ref="B33:E33"/>
    <mergeCell ref="B34:E34"/>
    <mergeCell ref="B35:E35"/>
    <mergeCell ref="B50:E50"/>
    <mergeCell ref="B51:E51"/>
    <mergeCell ref="B52:E52"/>
    <mergeCell ref="B53:E53"/>
    <mergeCell ref="B42:E42"/>
    <mergeCell ref="B43:E43"/>
    <mergeCell ref="B44:E44"/>
    <mergeCell ref="B45:E45"/>
    <mergeCell ref="B46:E46"/>
    <mergeCell ref="B47:E47"/>
    <mergeCell ref="H30:I30"/>
    <mergeCell ref="H31:I31"/>
    <mergeCell ref="H32:I32"/>
    <mergeCell ref="H33:I33"/>
    <mergeCell ref="H34:I34"/>
    <mergeCell ref="H35:I35"/>
    <mergeCell ref="H36:I36"/>
    <mergeCell ref="B78:E78"/>
    <mergeCell ref="B79:E79"/>
    <mergeCell ref="B72:E72"/>
    <mergeCell ref="B73:E73"/>
    <mergeCell ref="B74:E74"/>
    <mergeCell ref="B75:E75"/>
    <mergeCell ref="B76:E76"/>
    <mergeCell ref="B77:E77"/>
    <mergeCell ref="B66:E66"/>
    <mergeCell ref="B67:E67"/>
    <mergeCell ref="B68:E68"/>
    <mergeCell ref="B69:E69"/>
    <mergeCell ref="B70:E70"/>
    <mergeCell ref="B71:E71"/>
    <mergeCell ref="B60:E60"/>
    <mergeCell ref="B61:E61"/>
    <mergeCell ref="B62:E62"/>
    <mergeCell ref="H37:I37"/>
    <mergeCell ref="H38:I38"/>
    <mergeCell ref="H39:I39"/>
    <mergeCell ref="H40:I40"/>
    <mergeCell ref="H41:I41"/>
    <mergeCell ref="H42:I42"/>
    <mergeCell ref="B84:E84"/>
    <mergeCell ref="B85:E85"/>
    <mergeCell ref="B86:E86"/>
    <mergeCell ref="B80:E80"/>
    <mergeCell ref="B81:E81"/>
    <mergeCell ref="B82:E82"/>
    <mergeCell ref="B83:E83"/>
    <mergeCell ref="B63:E63"/>
    <mergeCell ref="B64:E64"/>
    <mergeCell ref="B65:E65"/>
    <mergeCell ref="B54:E54"/>
    <mergeCell ref="B55:E55"/>
    <mergeCell ref="B56:E56"/>
    <mergeCell ref="B57:E57"/>
    <mergeCell ref="B58:E58"/>
    <mergeCell ref="B59:E59"/>
    <mergeCell ref="B48:E48"/>
    <mergeCell ref="B49:E49"/>
    <mergeCell ref="H49:I49"/>
    <mergeCell ref="H50:I50"/>
    <mergeCell ref="H51:I51"/>
    <mergeCell ref="H52:I52"/>
    <mergeCell ref="H53:I53"/>
    <mergeCell ref="H54:I54"/>
    <mergeCell ref="H43:I43"/>
    <mergeCell ref="H44:I44"/>
    <mergeCell ref="H45:I45"/>
    <mergeCell ref="H46:I46"/>
    <mergeCell ref="H47:I47"/>
    <mergeCell ref="H48:I48"/>
    <mergeCell ref="H61:I61"/>
    <mergeCell ref="H62:I62"/>
    <mergeCell ref="H63:I63"/>
    <mergeCell ref="H64:I64"/>
    <mergeCell ref="H65:I65"/>
    <mergeCell ref="H66:I66"/>
    <mergeCell ref="H55:I55"/>
    <mergeCell ref="H56:I56"/>
    <mergeCell ref="H57:I57"/>
    <mergeCell ref="H58:I58"/>
    <mergeCell ref="H59:I59"/>
    <mergeCell ref="H60:I60"/>
    <mergeCell ref="H75:I75"/>
    <mergeCell ref="H76:I76"/>
    <mergeCell ref="H77:I77"/>
    <mergeCell ref="H78:I78"/>
    <mergeCell ref="H67:I67"/>
    <mergeCell ref="H68:I68"/>
    <mergeCell ref="H69:I69"/>
    <mergeCell ref="H70:I70"/>
    <mergeCell ref="H71:I71"/>
    <mergeCell ref="H72:I72"/>
    <mergeCell ref="L38:M38"/>
    <mergeCell ref="L39:M39"/>
    <mergeCell ref="L40:M40"/>
    <mergeCell ref="L41:M41"/>
    <mergeCell ref="L42:M42"/>
    <mergeCell ref="L43:M43"/>
    <mergeCell ref="H85:I85"/>
    <mergeCell ref="H86:I86"/>
    <mergeCell ref="L30:M30"/>
    <mergeCell ref="L31:M31"/>
    <mergeCell ref="L32:M32"/>
    <mergeCell ref="L33:M33"/>
    <mergeCell ref="L34:M34"/>
    <mergeCell ref="L35:M35"/>
    <mergeCell ref="L36:M36"/>
    <mergeCell ref="L37:M37"/>
    <mergeCell ref="H79:I79"/>
    <mergeCell ref="H80:I80"/>
    <mergeCell ref="H81:I81"/>
    <mergeCell ref="H82:I82"/>
    <mergeCell ref="H83:I83"/>
    <mergeCell ref="H84:I84"/>
    <mergeCell ref="H73:I73"/>
    <mergeCell ref="H74:I74"/>
    <mergeCell ref="L50:M50"/>
    <mergeCell ref="L51:M51"/>
    <mergeCell ref="L52:M52"/>
    <mergeCell ref="L53:M53"/>
    <mergeCell ref="L54:M54"/>
    <mergeCell ref="L55:M55"/>
    <mergeCell ref="L44:M44"/>
    <mergeCell ref="L45:M45"/>
    <mergeCell ref="L46:M46"/>
    <mergeCell ref="L47:M47"/>
    <mergeCell ref="L48:M48"/>
    <mergeCell ref="L49:M49"/>
    <mergeCell ref="L73:M73"/>
    <mergeCell ref="L62:M62"/>
    <mergeCell ref="L63:M63"/>
    <mergeCell ref="L64:M64"/>
    <mergeCell ref="L65:M65"/>
    <mergeCell ref="L66:M66"/>
    <mergeCell ref="L67:M67"/>
    <mergeCell ref="L56:M56"/>
    <mergeCell ref="L57:M57"/>
    <mergeCell ref="L58:M58"/>
    <mergeCell ref="L59:M59"/>
    <mergeCell ref="L60:M60"/>
    <mergeCell ref="L61:M61"/>
    <mergeCell ref="AL8:AP8"/>
    <mergeCell ref="AL9:AP9"/>
    <mergeCell ref="AL10:AP10"/>
    <mergeCell ref="AL11:AP11"/>
    <mergeCell ref="AL12:AP12"/>
    <mergeCell ref="AL13:AP13"/>
    <mergeCell ref="L86:M86"/>
    <mergeCell ref="L80:M80"/>
    <mergeCell ref="L81:M81"/>
    <mergeCell ref="L82:M82"/>
    <mergeCell ref="L83:M83"/>
    <mergeCell ref="L84:M84"/>
    <mergeCell ref="L85:M85"/>
    <mergeCell ref="L74:M74"/>
    <mergeCell ref="L75:M75"/>
    <mergeCell ref="L76:M76"/>
    <mergeCell ref="L77:M77"/>
    <mergeCell ref="L78:M78"/>
    <mergeCell ref="L79:M79"/>
    <mergeCell ref="L68:M68"/>
    <mergeCell ref="L69:M69"/>
    <mergeCell ref="L70:M70"/>
    <mergeCell ref="L71:M71"/>
    <mergeCell ref="L72:M72"/>
    <mergeCell ref="AL14:AP14"/>
    <mergeCell ref="AL15:AP15"/>
    <mergeCell ref="AL16:AP16"/>
    <mergeCell ref="AL17:AP17"/>
    <mergeCell ref="AL18:AP18"/>
    <mergeCell ref="AL19:AP19"/>
    <mergeCell ref="A14:F14"/>
    <mergeCell ref="G14:H14"/>
    <mergeCell ref="I14:J14"/>
    <mergeCell ref="L14:M14"/>
    <mergeCell ref="T14:Y14"/>
    <mergeCell ref="Z14:AA14"/>
    <mergeCell ref="AB14:AC14"/>
    <mergeCell ref="AE14:AF14"/>
    <mergeCell ref="B16:E16"/>
    <mergeCell ref="H16:J16"/>
    <mergeCell ref="L16:N16"/>
    <mergeCell ref="B17:E17"/>
    <mergeCell ref="H17:I17"/>
    <mergeCell ref="L17:M17"/>
    <mergeCell ref="B18:E18"/>
    <mergeCell ref="H18:I18"/>
    <mergeCell ref="L18:M18"/>
    <mergeCell ref="B19:E19"/>
  </mergeCells>
  <phoneticPr fontId="23" type="noConversion"/>
  <conditionalFormatting sqref="K4:K13 O18:O86 K18:K86">
    <cfRule type="cellIs" dxfId="166" priority="21" stopIfTrue="1" operator="greaterThan">
      <formula>0</formula>
    </cfRule>
    <cfRule type="cellIs" dxfId="165" priority="22" stopIfTrue="1" operator="lessThan">
      <formula>0</formula>
    </cfRule>
  </conditionalFormatting>
  <conditionalFormatting sqref="K14">
    <cfRule type="cellIs" dxfId="164" priority="19" stopIfTrue="1" operator="greaterThan">
      <formula>0</formula>
    </cfRule>
    <cfRule type="cellIs" dxfId="163" priority="20" stopIfTrue="1" operator="lessThan">
      <formula>0</formula>
    </cfRule>
  </conditionalFormatting>
  <conditionalFormatting sqref="O4:O13">
    <cfRule type="cellIs" dxfId="162" priority="17" stopIfTrue="1" operator="greaterThan">
      <formula>0</formula>
    </cfRule>
    <cfRule type="cellIs" dxfId="161" priority="18" stopIfTrue="1" operator="lessThan">
      <formula>0</formula>
    </cfRule>
  </conditionalFormatting>
  <conditionalFormatting sqref="O14">
    <cfRule type="cellIs" dxfId="160" priority="15" stopIfTrue="1" operator="greaterThan">
      <formula>0</formula>
    </cfRule>
    <cfRule type="cellIs" dxfId="159" priority="16" stopIfTrue="1" operator="lessThan">
      <formula>0</formula>
    </cfRule>
  </conditionalFormatting>
  <conditionalFormatting sqref="AD4:AD13">
    <cfRule type="cellIs" dxfId="158" priority="13" stopIfTrue="1" operator="greaterThan">
      <formula>0</formula>
    </cfRule>
    <cfRule type="cellIs" dxfId="157" priority="14" stopIfTrue="1" operator="lessThan">
      <formula>0</formula>
    </cfRule>
  </conditionalFormatting>
  <conditionalFormatting sqref="AD14">
    <cfRule type="cellIs" dxfId="156" priority="11" stopIfTrue="1" operator="greaterThan">
      <formula>0</formula>
    </cfRule>
    <cfRule type="cellIs" dxfId="155" priority="12" stopIfTrue="1" operator="lessThan">
      <formula>0</formula>
    </cfRule>
  </conditionalFormatting>
  <conditionalFormatting sqref="AH4:AH13">
    <cfRule type="cellIs" dxfId="154" priority="9" stopIfTrue="1" operator="greaterThan">
      <formula>0</formula>
    </cfRule>
    <cfRule type="cellIs" dxfId="153" priority="10" stopIfTrue="1" operator="lessThan">
      <formula>0</formula>
    </cfRule>
  </conditionalFormatting>
  <conditionalFormatting sqref="AH14">
    <cfRule type="cellIs" dxfId="152" priority="7" stopIfTrue="1" operator="greaterThan">
      <formula>0</formula>
    </cfRule>
    <cfRule type="cellIs" dxfId="151" priority="8" stopIfTrue="1" operator="lessThan">
      <formula>0</formula>
    </cfRule>
  </conditionalFormatting>
  <dataValidations count="3">
    <dataValidation type="list" allowBlank="1" showInputMessage="1" showErrorMessage="1" sqref="G18:G86" xr:uid="{00000000-0002-0000-0700-000000000000}">
      <formula1>$AK$9:$AK$19</formula1>
    </dataValidation>
    <dataValidation type="list" allowBlank="1" showInputMessage="1" showErrorMessage="1" sqref="P18:P86" xr:uid="{00000000-0002-0000-0700-000001000000}">
      <formula1>$AT$9:$AT$12</formula1>
    </dataValidation>
    <dataValidation type="list" allowBlank="1" showInputMessage="1" showErrorMessage="1" sqref="F18:F86" xr:uid="{00000000-0002-0000-0700-000002000000}">
      <formula1>$AR$9:$AR$19</formula1>
    </dataValidation>
  </dataValidations>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5"/>
  <dimension ref="A1:AA11"/>
  <sheetViews>
    <sheetView topLeftCell="C1" zoomScale="75" zoomScaleNormal="75" workbookViewId="0">
      <selection activeCell="H2" sqref="H2"/>
    </sheetView>
  </sheetViews>
  <sheetFormatPr defaultColWidth="9.140625" defaultRowHeight="12.75" x14ac:dyDescent="0.2"/>
  <cols>
    <col min="1" max="1" width="3" style="4" bestFit="1" customWidth="1"/>
    <col min="2" max="2" width="19.7109375" style="4" customWidth="1"/>
    <col min="3" max="3" width="17" style="4" customWidth="1"/>
    <col min="4" max="4" width="28" style="4" customWidth="1"/>
    <col min="5" max="5" width="12.5703125" style="4" customWidth="1"/>
    <col min="6" max="6" width="21.5703125" style="4" customWidth="1"/>
    <col min="7" max="7" width="44.7109375" style="4" customWidth="1"/>
    <col min="8" max="8" width="10" style="4" customWidth="1"/>
    <col min="9" max="9" width="16.7109375" style="102" customWidth="1"/>
    <col min="10" max="10" width="15.5703125" style="102" customWidth="1"/>
    <col min="11" max="11" width="15.28515625" style="102" customWidth="1"/>
    <col min="12" max="12" width="16.7109375" style="102" customWidth="1"/>
    <col min="13" max="13" width="17.7109375" style="102" customWidth="1"/>
    <col min="14" max="14" width="16" style="102" customWidth="1"/>
    <col min="15" max="15" width="17.5703125" style="4" customWidth="1"/>
    <col min="16" max="16" width="18.7109375" style="4" customWidth="1"/>
    <col min="17" max="17" width="17.140625" style="54" customWidth="1"/>
    <col min="18" max="18" width="17.85546875" style="54" customWidth="1"/>
    <col min="19" max="26" width="9.140625" style="10"/>
    <col min="27" max="27" width="9.140625" style="51"/>
    <col min="28" max="16384" width="9.140625" style="1"/>
  </cols>
  <sheetData>
    <row r="1" spans="1:26" ht="45.75" thickBot="1" x14ac:dyDescent="0.25">
      <c r="A1" s="32" t="s">
        <v>949</v>
      </c>
      <c r="B1" s="32" t="s">
        <v>950</v>
      </c>
      <c r="C1" s="32" t="s">
        <v>951</v>
      </c>
      <c r="D1" s="113" t="s">
        <v>952</v>
      </c>
      <c r="E1" s="113" t="s">
        <v>953</v>
      </c>
      <c r="F1" s="113" t="s">
        <v>954</v>
      </c>
      <c r="G1" s="113" t="s">
        <v>955</v>
      </c>
      <c r="H1" s="112" t="s">
        <v>956</v>
      </c>
      <c r="I1" s="113" t="s">
        <v>957</v>
      </c>
      <c r="J1" s="113" t="s">
        <v>958</v>
      </c>
      <c r="K1" s="113" t="s">
        <v>959</v>
      </c>
      <c r="L1" s="113" t="s">
        <v>960</v>
      </c>
      <c r="M1" s="113" t="s">
        <v>961</v>
      </c>
      <c r="N1" s="113" t="s">
        <v>962</v>
      </c>
      <c r="O1" s="112" t="s">
        <v>963</v>
      </c>
      <c r="P1" s="112" t="s">
        <v>964</v>
      </c>
    </row>
    <row r="2" spans="1:26" ht="50.25" customHeight="1" x14ac:dyDescent="0.2">
      <c r="A2" s="13">
        <v>1</v>
      </c>
      <c r="B2" s="13" t="s">
        <v>965</v>
      </c>
      <c r="C2" s="13" t="s">
        <v>966</v>
      </c>
      <c r="D2" s="117" t="s">
        <v>967</v>
      </c>
      <c r="E2" s="104" t="s">
        <v>968</v>
      </c>
      <c r="F2" s="104" t="s">
        <v>969</v>
      </c>
      <c r="G2" s="110" t="s">
        <v>970</v>
      </c>
      <c r="H2" s="118" t="s">
        <v>971</v>
      </c>
      <c r="I2" s="114">
        <v>0.1</v>
      </c>
      <c r="J2" s="114">
        <v>0.1</v>
      </c>
      <c r="K2" s="115">
        <v>10</v>
      </c>
      <c r="L2" s="115">
        <v>15</v>
      </c>
      <c r="M2" s="115">
        <v>0</v>
      </c>
      <c r="N2" s="108" t="str">
        <f>IF(S2&lt;&gt;0,IF(U2&lt;&gt;0,(U2-S2)/S2%,"Not Available"),"Not Available")</f>
        <v>Not Available</v>
      </c>
      <c r="O2" s="106"/>
      <c r="P2" s="106"/>
      <c r="Q2" s="55"/>
      <c r="S2" s="10">
        <f>SUMIF('Size, Schedule and Effort'!O3:O496,"Completed",'Size, Schedule and Effort'!H3:H496)</f>
        <v>0</v>
      </c>
      <c r="T2" s="10">
        <f>SUMIF('Size, Schedule and Effort'!O3:O496,"Completed",'Size, Schedule and Effort'!W3:W496)</f>
        <v>0</v>
      </c>
      <c r="U2" s="10">
        <f>SUMIF('Size, Schedule and Effort'!O3:O496,"Completed",'Size, Schedule and Effort'!J3:J496)</f>
        <v>0</v>
      </c>
    </row>
    <row r="3" spans="1:26" ht="52.5" customHeight="1" x14ac:dyDescent="0.2">
      <c r="A3" s="13">
        <v>2</v>
      </c>
      <c r="B3" s="13" t="s">
        <v>965</v>
      </c>
      <c r="C3" s="13" t="s">
        <v>966</v>
      </c>
      <c r="D3" s="117" t="s">
        <v>972</v>
      </c>
      <c r="E3" s="104" t="s">
        <v>968</v>
      </c>
      <c r="F3" s="104" t="s">
        <v>973</v>
      </c>
      <c r="G3" s="110" t="s">
        <v>974</v>
      </c>
      <c r="H3" s="118" t="s">
        <v>975</v>
      </c>
      <c r="I3" s="114">
        <v>0.05</v>
      </c>
      <c r="J3" s="114">
        <v>0.05</v>
      </c>
      <c r="K3" s="115">
        <v>5</v>
      </c>
      <c r="L3" s="115">
        <v>10</v>
      </c>
      <c r="M3" s="115">
        <v>0</v>
      </c>
      <c r="N3" s="108" t="str">
        <f>IF(T2&lt;&gt;0,IF(U2&lt;&gt;0,(U2-T2)/T2%,"Not Available"),"Not Available")</f>
        <v>Not Available</v>
      </c>
      <c r="O3" s="106"/>
      <c r="P3" s="106"/>
      <c r="Q3" s="55"/>
    </row>
    <row r="4" spans="1:26" ht="55.5" customHeight="1" x14ac:dyDescent="0.2">
      <c r="A4" s="13">
        <v>3</v>
      </c>
      <c r="B4" s="13" t="s">
        <v>965</v>
      </c>
      <c r="C4" s="13" t="s">
        <v>966</v>
      </c>
      <c r="D4" s="117" t="s">
        <v>976</v>
      </c>
      <c r="E4" s="104" t="s">
        <v>968</v>
      </c>
      <c r="F4" s="104" t="s">
        <v>829</v>
      </c>
      <c r="G4" s="111" t="s">
        <v>977</v>
      </c>
      <c r="H4" s="118" t="s">
        <v>971</v>
      </c>
      <c r="I4" s="114">
        <v>0.1</v>
      </c>
      <c r="J4" s="114">
        <v>0.1</v>
      </c>
      <c r="K4" s="115">
        <v>10</v>
      </c>
      <c r="L4" s="115">
        <v>15</v>
      </c>
      <c r="M4" s="115">
        <v>0</v>
      </c>
      <c r="N4" s="108" t="str">
        <f t="array" ref="N4">IF(COUNT('Project information1'!D2:D3,'Project information1'!D6:D7)&lt;4,IF(COUNT('Size, Schedule and Effort'!K$3:K$496)&gt;0,MAX(IF('Size, Schedule and Effort'!G$3:G$496 = MAX('Size, Schedule and Effort'!G$3:G$496),'Size, Schedule and Effort'!K$3:K$496,"")),"Not Available"),('Project information1'!D7-'Project information1'!D3)/('Project information1'!D3-'Project information1'!D2+1)*100)</f>
        <v>Not Available</v>
      </c>
      <c r="O4" s="106"/>
      <c r="P4" s="106"/>
      <c r="Q4" s="55"/>
    </row>
    <row r="5" spans="1:26" ht="51" customHeight="1" x14ac:dyDescent="0.2">
      <c r="A5" s="13">
        <v>4</v>
      </c>
      <c r="B5" s="13" t="s">
        <v>965</v>
      </c>
      <c r="C5" s="13" t="s">
        <v>966</v>
      </c>
      <c r="D5" s="117" t="s">
        <v>978</v>
      </c>
      <c r="E5" s="104" t="s">
        <v>968</v>
      </c>
      <c r="F5" s="104" t="s">
        <v>829</v>
      </c>
      <c r="G5" s="111" t="s">
        <v>979</v>
      </c>
      <c r="H5" s="118" t="s">
        <v>975</v>
      </c>
      <c r="I5" s="114">
        <v>0.05</v>
      </c>
      <c r="J5" s="114">
        <v>0.05</v>
      </c>
      <c r="K5" s="115">
        <v>5</v>
      </c>
      <c r="L5" s="115">
        <v>10</v>
      </c>
      <c r="M5" s="115">
        <v>0</v>
      </c>
      <c r="N5" s="108" t="str">
        <f t="array" ref="N5">IF(COUNT('Project information1'!D4:D5,'Project information1'!D6:D7)&lt;4,IF(COUNT('Size, Schedule and Effort'!L$3:L$496)&gt;0,MAX(IF('Size, Schedule and Effort'!G$3:G$496 = MAX('Size, Schedule and Effort'!G$3:G$496),'Size, Schedule and Effort'!L$3:L$496,"")),"Not Available"),('Project information1'!D7-'Project information1'!D5)/('Project information1'!D5-'Project information1'!D4+1)*100)</f>
        <v>Not Available</v>
      </c>
      <c r="O5" s="106"/>
      <c r="P5" s="106"/>
      <c r="Q5" s="55"/>
    </row>
    <row r="6" spans="1:26" ht="53.25" customHeight="1" x14ac:dyDescent="0.2">
      <c r="A6" s="13">
        <v>5</v>
      </c>
      <c r="B6" s="13" t="s">
        <v>980</v>
      </c>
      <c r="C6" s="13" t="s">
        <v>966</v>
      </c>
      <c r="D6" s="117" t="s">
        <v>832</v>
      </c>
      <c r="E6" s="104" t="str">
        <f>'Project information1'!B13 &amp; " / " &amp; 'Project information1'!D11</f>
        <v xml:space="preserve"> / </v>
      </c>
      <c r="F6" s="104" t="s">
        <v>981</v>
      </c>
      <c r="G6" s="110" t="s">
        <v>982</v>
      </c>
      <c r="H6" s="118" t="s">
        <v>975</v>
      </c>
      <c r="I6" s="114">
        <v>0.17</v>
      </c>
      <c r="J6" s="114">
        <v>0.17</v>
      </c>
      <c r="K6" s="114">
        <v>0.16</v>
      </c>
      <c r="L6" s="114">
        <v>0.18</v>
      </c>
      <c r="M6" s="114">
        <v>0.15</v>
      </c>
      <c r="N6" s="109" t="str">
        <f>IF('Project information1'!B16&lt;&gt;"",IF(AND('Project information1'!B150&lt;&gt;"",'Project information1'!D10&lt;&gt;0),'Project information1'!B16/'Project information1'!B15,"NA"),"Not Available")</f>
        <v>Not Available</v>
      </c>
      <c r="O6" s="105"/>
      <c r="P6" s="105"/>
    </row>
    <row r="7" spans="1:26" ht="71.25" customHeight="1" x14ac:dyDescent="0.2">
      <c r="A7" s="13">
        <v>6</v>
      </c>
      <c r="B7" s="13" t="s">
        <v>983</v>
      </c>
      <c r="C7" s="13" t="s">
        <v>966</v>
      </c>
      <c r="D7" s="117" t="s">
        <v>984</v>
      </c>
      <c r="E7" s="104" t="str">
        <f>"Weighted defects / " &amp; 'Project information1'!B13</f>
        <v xml:space="preserve">Weighted defects / </v>
      </c>
      <c r="F7" s="104" t="s">
        <v>985</v>
      </c>
      <c r="G7" s="111" t="s">
        <v>986</v>
      </c>
      <c r="H7" s="118" t="s">
        <v>975</v>
      </c>
      <c r="I7" s="116">
        <v>2E-3</v>
      </c>
      <c r="J7" s="116">
        <v>2E-3</v>
      </c>
      <c r="K7" s="116">
        <v>2E-3</v>
      </c>
      <c r="L7" s="116">
        <v>3.0000000000000001E-3</v>
      </c>
      <c r="M7" s="114">
        <v>0</v>
      </c>
      <c r="N7" s="109" t="e">
        <f>IF(AND(SUM(S7:X7)&gt;0,Y7&lt;&gt;"NA"),((S7+V7)+0.33*(T7+W7)+0.2*(U7+X7))/(Y7),"Not Available")</f>
        <v>#REF!</v>
      </c>
      <c r="O7" s="107"/>
      <c r="P7" s="107"/>
      <c r="Q7" s="56"/>
      <c r="S7" s="10">
        <f>SUM('Verification Summary'!E10:E24)</f>
        <v>0</v>
      </c>
      <c r="T7" s="10">
        <f>SUM('Verification Summary'!F10:F24)</f>
        <v>0</v>
      </c>
      <c r="U7" s="10">
        <f>SUM('Verification Summary'!G10:G24)</f>
        <v>0</v>
      </c>
      <c r="V7" s="10">
        <f>SUM('Verification Summary'!K10:K24)</f>
        <v>0</v>
      </c>
      <c r="W7" s="10">
        <f>SUM('Verification Summary'!L10:L24)</f>
        <v>0</v>
      </c>
      <c r="X7" s="10">
        <f>SUM('Verification Summary'!M10:M24)</f>
        <v>0</v>
      </c>
      <c r="Y7" s="10" t="e">
        <f>IF('Project information1'!B12&lt;&gt;"",'Project information1'!B12,IF('Project information1'!B11&lt;&gt;"",'Project information1'!B11,IF('Project information1'!B10&lt;&gt;"",'Project information1'!B10,"NA")))</f>
        <v>#REF!</v>
      </c>
      <c r="Z7" s="10" t="e">
        <f>IF('Project information1'!B12&lt;&gt;"","A",IF('Project information1'!B11&lt;&gt;"","R",IF('Project information1'!B10&lt;&gt;"","P","NA")))</f>
        <v>#REF!</v>
      </c>
    </row>
    <row r="8" spans="1:26" ht="67.5" customHeight="1" x14ac:dyDescent="0.2">
      <c r="A8" s="13">
        <v>7</v>
      </c>
      <c r="B8" s="13" t="s">
        <v>983</v>
      </c>
      <c r="C8" s="13" t="s">
        <v>966</v>
      </c>
      <c r="D8" s="117" t="s">
        <v>987</v>
      </c>
      <c r="E8" s="104" t="s">
        <v>968</v>
      </c>
      <c r="F8" s="104" t="s">
        <v>988</v>
      </c>
      <c r="G8" s="111" t="s">
        <v>989</v>
      </c>
      <c r="H8" s="118" t="s">
        <v>975</v>
      </c>
      <c r="I8" s="114">
        <v>0.7</v>
      </c>
      <c r="J8" s="114">
        <v>0.7</v>
      </c>
      <c r="K8" s="114">
        <v>0.7</v>
      </c>
      <c r="L8" s="114">
        <v>0.95</v>
      </c>
      <c r="M8" s="114">
        <v>0.6</v>
      </c>
      <c r="N8" s="108" t="str">
        <f>IF(SUM(S7:X7)&gt;0,(1*S7+0.33*T7+0.2*U7)/(1*(S7+V7)+0.33*(T7+W7)+0.2*(U7+X7))%,"Not Available")</f>
        <v>Not Available</v>
      </c>
      <c r="O8" s="106"/>
      <c r="P8" s="106"/>
      <c r="Q8" s="55"/>
    </row>
    <row r="9" spans="1:26" ht="74.25" customHeight="1" x14ac:dyDescent="0.2">
      <c r="A9" s="13">
        <v>8</v>
      </c>
      <c r="B9" s="13" t="s">
        <v>983</v>
      </c>
      <c r="C9" s="13" t="s">
        <v>966</v>
      </c>
      <c r="D9" s="117" t="s">
        <v>990</v>
      </c>
      <c r="E9" s="104" t="s">
        <v>968</v>
      </c>
      <c r="F9" s="104" t="s">
        <v>991</v>
      </c>
      <c r="G9" s="111" t="s">
        <v>992</v>
      </c>
      <c r="H9" s="118" t="s">
        <v>975</v>
      </c>
      <c r="I9" s="114">
        <v>0.9</v>
      </c>
      <c r="J9" s="114">
        <v>0.9</v>
      </c>
      <c r="K9" s="114">
        <v>0.9</v>
      </c>
      <c r="L9" s="114">
        <v>1</v>
      </c>
      <c r="M9" s="114">
        <v>0.8</v>
      </c>
      <c r="N9" s="108" t="str">
        <f>IF(SUM(S7:X7,S9:X9)&gt;0,(1*(S7+V7)+0.33*(T7+W7)+0.2*(U7+X7))/(1*(S7+V7+S9+V9)+0.33*(T7+W7+T9+W9)+0.2*(U7+X7+U9+X9))*100,"Not Available")</f>
        <v>Not Available</v>
      </c>
      <c r="O9" s="106"/>
      <c r="P9" s="106"/>
      <c r="Q9" s="55"/>
      <c r="S9" s="10">
        <f>SUM('Verification Summary'!E29:E43)</f>
        <v>0</v>
      </c>
      <c r="T9" s="10">
        <f>SUM('Verification Summary'!F29:F43)</f>
        <v>0</v>
      </c>
      <c r="U9" s="10">
        <f>SUM('Verification Summary'!G29:G43)</f>
        <v>0</v>
      </c>
      <c r="V9" s="10">
        <f>SUM('Verification Summary'!K29:K43)</f>
        <v>0</v>
      </c>
      <c r="W9" s="10">
        <f>SUM('Verification Summary'!L29:L43)</f>
        <v>0</v>
      </c>
      <c r="X9" s="10">
        <f>SUM('Verification Summary'!M29:M43)</f>
        <v>0</v>
      </c>
    </row>
    <row r="10" spans="1:26" x14ac:dyDescent="0.2">
      <c r="G10" s="29"/>
    </row>
    <row r="11" spans="1:26" x14ac:dyDescent="0.2">
      <c r="G11" s="29"/>
    </row>
  </sheetData>
  <sheetProtection sheet="1" objects="1" scenarios="1"/>
  <phoneticPr fontId="0" type="noConversion"/>
  <conditionalFormatting sqref="N7">
    <cfRule type="expression" dxfId="150" priority="1" stopIfTrue="1">
      <formula>OR($Z$7="P",$Z$7="R")</formula>
    </cfRule>
  </conditionalFormatting>
  <dataValidations count="2">
    <dataValidation type="list" allowBlank="1" showInputMessage="1" showErrorMessage="1" sqref="H2:H65536" xr:uid="{00000000-0002-0000-0800-000000000000}">
      <formula1>"High,Medium,Low"</formula1>
    </dataValidation>
    <dataValidation allowBlank="1" showInputMessage="1" showErrorMessage="1" promptTitle="Guidance" prompt="The productivity is computed based on actual effort and size values entered in the &quot;Project information sheet&quot;." sqref="N6" xr:uid="{00000000-0002-0000-0800-000001000000}"/>
  </dataValidations>
  <pageMargins left="0.75" right="0.75" top="1" bottom="1" header="0.5" footer="0.5"/>
  <pageSetup paperSize="9" scale="95" orientation="landscape" r:id="rId1"/>
  <headerFooter alignWithMargins="0">
    <oddFooter>&amp;R&amp;P of &amp;N</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0000"/>
  </sheetPr>
  <dimension ref="A1:AU3006"/>
  <sheetViews>
    <sheetView zoomScale="85" zoomScaleNormal="85" workbookViewId="0">
      <pane xSplit="5" topLeftCell="F1" activePane="topRight" state="frozen"/>
      <selection pane="topRight" activeCell="D4" sqref="D4"/>
    </sheetView>
  </sheetViews>
  <sheetFormatPr defaultColWidth="9.140625" defaultRowHeight="12.75" customHeight="1" x14ac:dyDescent="0.2"/>
  <cols>
    <col min="1" max="1" width="16.28515625" style="5" customWidth="1"/>
    <col min="2" max="2" width="20.5703125" style="4" customWidth="1"/>
    <col min="3" max="4" width="15.140625" style="4" customWidth="1"/>
    <col min="5" max="5" width="17.85546875" style="4" customWidth="1"/>
    <col min="6" max="6" width="26.42578125" style="4" customWidth="1"/>
    <col min="7" max="7" width="19.85546875" style="4" bestFit="1" customWidth="1"/>
    <col min="8" max="8" width="25.7109375" style="4" bestFit="1" customWidth="1"/>
    <col min="9" max="9" width="13" style="4" customWidth="1"/>
    <col min="10" max="10" width="10.42578125" style="4" customWidth="1"/>
    <col min="11" max="11" width="9" style="4" customWidth="1"/>
    <col min="12" max="15" width="9.140625" style="4"/>
    <col min="16" max="16" width="10.28515625" style="4" customWidth="1"/>
    <col min="17" max="17" width="10.85546875" style="4" customWidth="1"/>
    <col min="18" max="18" width="10.28515625" style="4" customWidth="1"/>
    <col min="19" max="23" width="9.140625" style="4"/>
    <col min="24" max="25" width="10.85546875" style="4" customWidth="1"/>
    <col min="26" max="26" width="15.85546875" style="4" customWidth="1"/>
    <col min="27" max="28" width="10.85546875" style="4" customWidth="1"/>
    <col min="29" max="29" width="10.85546875" style="21" customWidth="1"/>
    <col min="30" max="30" width="9.42578125" style="21" customWidth="1"/>
    <col min="31" max="31" width="22.5703125" style="4" bestFit="1" customWidth="1"/>
    <col min="32" max="33" width="18" style="1" customWidth="1"/>
    <col min="34" max="34" width="20.42578125" style="1" customWidth="1"/>
    <col min="35" max="35" width="17.7109375" style="7" bestFit="1" customWidth="1"/>
    <col min="36" max="36" width="24.28515625" style="1" customWidth="1"/>
    <col min="37" max="37" width="4.140625" style="10" customWidth="1"/>
    <col min="38" max="38" width="10.140625" style="10" bestFit="1" customWidth="1"/>
    <col min="39" max="39" width="8.7109375" style="10" customWidth="1"/>
    <col min="40" max="40" width="6.42578125" style="10" bestFit="1" customWidth="1"/>
    <col min="41" max="41" width="9.140625" style="1"/>
    <col min="42" max="42" width="11.7109375" style="8" bestFit="1" customWidth="1"/>
    <col min="43" max="16384" width="9.140625" style="1"/>
  </cols>
  <sheetData>
    <row r="1" spans="1:47" x14ac:dyDescent="0.2">
      <c r="A1" s="365"/>
      <c r="B1" s="365"/>
      <c r="C1" s="365"/>
      <c r="D1" s="365"/>
      <c r="E1" s="365"/>
      <c r="F1" s="365"/>
      <c r="G1" s="365"/>
      <c r="H1" s="365"/>
      <c r="I1" s="365"/>
      <c r="J1" s="562" t="s">
        <v>880</v>
      </c>
      <c r="K1" s="562"/>
      <c r="L1" s="562"/>
      <c r="M1" s="562"/>
      <c r="N1" s="562"/>
      <c r="O1" s="562"/>
      <c r="P1" s="562"/>
      <c r="Q1" s="562"/>
      <c r="R1" s="563" t="s">
        <v>993</v>
      </c>
      <c r="S1" s="563"/>
      <c r="T1" s="563"/>
      <c r="U1" s="563"/>
      <c r="V1" s="563"/>
      <c r="W1" s="563"/>
      <c r="X1" s="563"/>
      <c r="Y1" s="563"/>
      <c r="Z1" s="365"/>
      <c r="AA1" s="365"/>
      <c r="AB1" s="365"/>
      <c r="AC1" s="366"/>
      <c r="AD1" s="367"/>
      <c r="AE1" s="13"/>
      <c r="AF1" s="13"/>
      <c r="AG1" s="13"/>
      <c r="AH1" s="13"/>
      <c r="AI1" s="368"/>
      <c r="AJ1" s="13"/>
    </row>
    <row r="2" spans="1:47" ht="51" x14ac:dyDescent="0.2">
      <c r="A2" s="365" t="s">
        <v>994</v>
      </c>
      <c r="B2" s="369" t="s">
        <v>995</v>
      </c>
      <c r="C2" s="369" t="s">
        <v>996</v>
      </c>
      <c r="D2" s="369" t="s">
        <v>997</v>
      </c>
      <c r="E2" s="369" t="s">
        <v>998</v>
      </c>
      <c r="F2" s="365" t="s">
        <v>999</v>
      </c>
      <c r="G2" s="365" t="s">
        <v>1000</v>
      </c>
      <c r="H2" s="365" t="s">
        <v>1001</v>
      </c>
      <c r="I2" s="365" t="s">
        <v>1002</v>
      </c>
      <c r="J2" s="370" t="s">
        <v>1003</v>
      </c>
      <c r="K2" s="370" t="s">
        <v>1004</v>
      </c>
      <c r="L2" s="370" t="s">
        <v>1005</v>
      </c>
      <c r="M2" s="370" t="s">
        <v>1006</v>
      </c>
      <c r="N2" s="370" t="s">
        <v>1007</v>
      </c>
      <c r="O2" s="370" t="s">
        <v>1008</v>
      </c>
      <c r="P2" s="370" t="s">
        <v>1009</v>
      </c>
      <c r="Q2" s="370" t="s">
        <v>1010</v>
      </c>
      <c r="R2" s="371" t="s">
        <v>1003</v>
      </c>
      <c r="S2" s="371" t="s">
        <v>1004</v>
      </c>
      <c r="T2" s="371" t="s">
        <v>1005</v>
      </c>
      <c r="U2" s="371" t="s">
        <v>1006</v>
      </c>
      <c r="V2" s="371" t="s">
        <v>1007</v>
      </c>
      <c r="W2" s="371" t="s">
        <v>1008</v>
      </c>
      <c r="X2" s="371" t="s">
        <v>1009</v>
      </c>
      <c r="Y2" s="372" t="s">
        <v>1011</v>
      </c>
      <c r="Z2" s="373" t="s">
        <v>1012</v>
      </c>
      <c r="AA2" s="373" t="s">
        <v>1013</v>
      </c>
      <c r="AB2" s="365" t="s">
        <v>1014</v>
      </c>
      <c r="AC2" s="366" t="s">
        <v>1015</v>
      </c>
      <c r="AD2" s="367" t="s">
        <v>1016</v>
      </c>
      <c r="AE2" s="13" t="s">
        <v>1017</v>
      </c>
      <c r="AF2" s="13" t="s">
        <v>1018</v>
      </c>
      <c r="AG2" s="374" t="s">
        <v>1019</v>
      </c>
      <c r="AH2" s="13" t="s">
        <v>933</v>
      </c>
      <c r="AI2" s="368" t="s">
        <v>1020</v>
      </c>
      <c r="AJ2" s="13" t="s">
        <v>13</v>
      </c>
      <c r="AK2" s="167" t="s">
        <v>1021</v>
      </c>
      <c r="AL2" s="167" t="s">
        <v>1022</v>
      </c>
      <c r="AM2" s="167" t="s">
        <v>1023</v>
      </c>
      <c r="AN2" s="167" t="s">
        <v>1024</v>
      </c>
      <c r="AO2" s="375"/>
      <c r="AP2" s="167"/>
      <c r="AQ2" s="375"/>
      <c r="AR2" s="375"/>
      <c r="AS2" s="375"/>
      <c r="AT2" s="376"/>
      <c r="AU2" s="376"/>
    </row>
    <row r="3" spans="1:47" ht="85.5" customHeight="1" x14ac:dyDescent="0.2">
      <c r="A3" s="420"/>
      <c r="B3" s="420"/>
      <c r="C3" s="168"/>
      <c r="D3" s="168"/>
      <c r="E3" s="168"/>
      <c r="F3" s="168"/>
      <c r="G3" s="168"/>
      <c r="H3" s="168"/>
      <c r="I3" s="168"/>
      <c r="J3" s="96"/>
      <c r="K3" s="96"/>
      <c r="L3" s="96"/>
      <c r="M3" s="96"/>
      <c r="N3" s="96"/>
      <c r="O3" s="96"/>
      <c r="P3" s="6"/>
      <c r="Q3" s="6"/>
      <c r="R3" s="96"/>
      <c r="S3" s="96"/>
      <c r="T3" s="96"/>
      <c r="U3" s="96"/>
      <c r="V3" s="96"/>
      <c r="W3" s="96"/>
      <c r="X3" s="6"/>
      <c r="Y3" s="6"/>
      <c r="Z3" s="408"/>
      <c r="AA3" s="96"/>
      <c r="AB3" s="96"/>
      <c r="AC3" s="377"/>
      <c r="AD3" s="96"/>
      <c r="AE3" s="168"/>
      <c r="AF3" s="96"/>
      <c r="AG3" s="96"/>
      <c r="AH3" s="96"/>
      <c r="AI3" s="420"/>
      <c r="AJ3" s="96"/>
      <c r="AK3" s="375" t="str">
        <f t="shared" ref="AK3:AK49" si="0">IF(R3&lt;&gt;"",R3,IF(J3,J3,""))</f>
        <v/>
      </c>
      <c r="AL3" s="375" t="str">
        <f t="shared" ref="AL3:AM15" si="1">IF(X3&lt;&gt;"",X3,IF(P3=1,P3,""))</f>
        <v/>
      </c>
      <c r="AM3" s="378" t="str">
        <f t="shared" si="1"/>
        <v/>
      </c>
      <c r="AN3" s="375" t="str">
        <f t="shared" ref="AN3:AN49" si="2">IF(COUNT(AK3:AM3)&gt;2,IF(AJ3&lt;&gt;"",IF(ISERROR(SEARCH("open",AJ3,1)),"Closed","Open"),"Open"),"")</f>
        <v/>
      </c>
      <c r="AO3" s="375"/>
      <c r="AP3" s="167" t="str">
        <f ca="1">IF(ISERROR(SMALL(#REF!,ROW()-2)),"",INDIRECT("'Control panel'!A" &amp; SMALL(#REF!,ROW()-2),1))</f>
        <v/>
      </c>
      <c r="AQ3" s="375"/>
      <c r="AR3" s="375"/>
      <c r="AS3" s="375"/>
      <c r="AT3" s="376"/>
      <c r="AU3" s="376"/>
    </row>
    <row r="4" spans="1:47" ht="75.75" customHeight="1" x14ac:dyDescent="0.2">
      <c r="A4" s="420"/>
      <c r="B4" s="420"/>
      <c r="C4" s="168"/>
      <c r="D4" s="168"/>
      <c r="E4" s="168"/>
      <c r="F4" s="168"/>
      <c r="G4" s="168"/>
      <c r="H4" s="168"/>
      <c r="I4" s="168"/>
      <c r="J4" s="96"/>
      <c r="K4" s="96"/>
      <c r="L4" s="96"/>
      <c r="M4" s="96"/>
      <c r="N4" s="96"/>
      <c r="O4" s="96"/>
      <c r="P4" s="6"/>
      <c r="Q4" s="6"/>
      <c r="R4" s="96"/>
      <c r="S4" s="96"/>
      <c r="T4" s="96"/>
      <c r="U4" s="96"/>
      <c r="V4" s="96"/>
      <c r="W4" s="96"/>
      <c r="X4" s="6"/>
      <c r="Y4" s="6"/>
      <c r="Z4" s="408"/>
      <c r="AA4" s="96"/>
      <c r="AB4" s="96"/>
      <c r="AC4" s="377"/>
      <c r="AD4" s="96"/>
      <c r="AE4" s="168"/>
      <c r="AF4" s="96"/>
      <c r="AG4" s="96"/>
      <c r="AH4" s="96"/>
      <c r="AI4" s="420"/>
      <c r="AJ4" s="96"/>
      <c r="AK4" s="375" t="str">
        <f t="shared" si="0"/>
        <v/>
      </c>
      <c r="AL4" s="375" t="str">
        <f t="shared" si="1"/>
        <v/>
      </c>
      <c r="AM4" s="378" t="str">
        <f t="shared" si="1"/>
        <v/>
      </c>
      <c r="AN4" s="375" t="str">
        <f t="shared" si="2"/>
        <v/>
      </c>
      <c r="AO4" s="376"/>
      <c r="AP4" s="379" t="str">
        <f ca="1">IF(ISERROR(SMALL(#REF!,ROW()-2)),"",INDIRECT("'Control panel'!A" &amp; SMALL(#REF!,ROW()-2),1))</f>
        <v/>
      </c>
      <c r="AQ4" s="376"/>
      <c r="AR4" s="376"/>
      <c r="AS4" s="376"/>
      <c r="AT4" s="376"/>
      <c r="AU4" s="376"/>
    </row>
    <row r="5" spans="1:47" ht="137.25" customHeight="1" x14ac:dyDescent="0.2">
      <c r="A5" s="420"/>
      <c r="B5" s="420"/>
      <c r="C5" s="168"/>
      <c r="D5" s="168"/>
      <c r="E5" s="168"/>
      <c r="F5" s="168"/>
      <c r="G5" s="168"/>
      <c r="H5" s="168"/>
      <c r="I5" s="168"/>
      <c r="J5" s="96"/>
      <c r="K5" s="96"/>
      <c r="L5" s="96"/>
      <c r="M5" s="96"/>
      <c r="N5" s="96"/>
      <c r="O5" s="96"/>
      <c r="P5" s="6"/>
      <c r="Q5" s="6"/>
      <c r="R5" s="96"/>
      <c r="S5" s="96"/>
      <c r="T5" s="96"/>
      <c r="U5" s="96"/>
      <c r="V5" s="96"/>
      <c r="W5" s="96"/>
      <c r="X5" s="6"/>
      <c r="Y5" s="6"/>
      <c r="Z5" s="408"/>
      <c r="AA5" s="96"/>
      <c r="AB5" s="96"/>
      <c r="AC5" s="377"/>
      <c r="AD5" s="96"/>
      <c r="AE5" s="168"/>
      <c r="AF5" s="96"/>
      <c r="AG5" s="96"/>
      <c r="AH5" s="96"/>
      <c r="AI5" s="420"/>
      <c r="AJ5" s="96"/>
      <c r="AK5" s="375" t="str">
        <f t="shared" si="0"/>
        <v/>
      </c>
      <c r="AL5" s="375" t="str">
        <f t="shared" si="1"/>
        <v/>
      </c>
      <c r="AM5" s="378" t="str">
        <f t="shared" si="1"/>
        <v/>
      </c>
      <c r="AN5" s="375" t="str">
        <f t="shared" si="2"/>
        <v/>
      </c>
      <c r="AO5" s="376"/>
      <c r="AP5" s="379" t="str">
        <f ca="1">IF(ISERROR(SMALL(#REF!,ROW()-2)),"",INDIRECT("'Control panel'!A" &amp; SMALL(#REF!,ROW()-2),1))</f>
        <v/>
      </c>
      <c r="AQ5" s="376"/>
      <c r="AR5" s="376"/>
      <c r="AS5" s="376"/>
      <c r="AT5" s="376"/>
      <c r="AU5" s="376"/>
    </row>
    <row r="6" spans="1:47" ht="83.25" customHeight="1" x14ac:dyDescent="0.2">
      <c r="A6" s="420"/>
      <c r="B6" s="420"/>
      <c r="C6" s="168"/>
      <c r="D6" s="168"/>
      <c r="E6" s="168"/>
      <c r="F6" s="168"/>
      <c r="G6" s="168"/>
      <c r="H6" s="168"/>
      <c r="I6" s="168"/>
      <c r="J6" s="96"/>
      <c r="K6" s="96"/>
      <c r="L6" s="96"/>
      <c r="M6" s="96"/>
      <c r="N6" s="96"/>
      <c r="O6" s="96"/>
      <c r="P6" s="6"/>
      <c r="Q6" s="6"/>
      <c r="R6" s="96"/>
      <c r="S6" s="96"/>
      <c r="T6" s="96"/>
      <c r="U6" s="96"/>
      <c r="V6" s="96"/>
      <c r="W6" s="96"/>
      <c r="X6" s="6"/>
      <c r="Y6" s="6"/>
      <c r="Z6" s="408"/>
      <c r="AA6" s="96"/>
      <c r="AB6" s="96"/>
      <c r="AC6" s="377"/>
      <c r="AD6" s="96"/>
      <c r="AE6" s="425"/>
      <c r="AF6" s="96"/>
      <c r="AG6" s="96"/>
      <c r="AH6" s="96"/>
      <c r="AI6" s="420"/>
      <c r="AJ6" s="96"/>
      <c r="AK6" s="375" t="str">
        <f t="shared" si="0"/>
        <v/>
      </c>
      <c r="AL6" s="375" t="str">
        <f t="shared" si="1"/>
        <v/>
      </c>
      <c r="AM6" s="378" t="str">
        <f t="shared" si="1"/>
        <v/>
      </c>
      <c r="AN6" s="375" t="str">
        <f t="shared" si="2"/>
        <v/>
      </c>
      <c r="AO6" s="376"/>
      <c r="AP6" s="379" t="str">
        <f ca="1">IF(ISERROR(SMALL(#REF!,ROW()-2)),"",INDIRECT("'Control panel'!A" &amp; SMALL(#REF!,ROW()-2),1))</f>
        <v/>
      </c>
      <c r="AQ6" s="376"/>
      <c r="AR6" s="376"/>
      <c r="AS6" s="376"/>
      <c r="AT6" s="376"/>
      <c r="AU6" s="376"/>
    </row>
    <row r="7" spans="1:47" ht="100.5" customHeight="1" x14ac:dyDescent="0.2">
      <c r="A7" s="420"/>
      <c r="B7" s="168"/>
      <c r="C7" s="168"/>
      <c r="D7" s="168"/>
      <c r="E7" s="168"/>
      <c r="F7" s="168"/>
      <c r="G7" s="168"/>
      <c r="H7" s="168"/>
      <c r="I7" s="168"/>
      <c r="J7" s="96"/>
      <c r="K7" s="96"/>
      <c r="L7" s="96"/>
      <c r="M7" s="96"/>
      <c r="N7" s="96"/>
      <c r="O7" s="96"/>
      <c r="P7" s="6"/>
      <c r="Q7" s="6"/>
      <c r="R7" s="96"/>
      <c r="S7" s="96"/>
      <c r="T7" s="96"/>
      <c r="U7" s="96"/>
      <c r="V7" s="96"/>
      <c r="W7" s="96"/>
      <c r="X7" s="6"/>
      <c r="Y7" s="6"/>
      <c r="Z7" s="408"/>
      <c r="AA7" s="96"/>
      <c r="AB7" s="96"/>
      <c r="AC7" s="377"/>
      <c r="AD7" s="96"/>
      <c r="AE7" s="168"/>
      <c r="AF7" s="96"/>
      <c r="AG7" s="96"/>
      <c r="AH7" s="96"/>
      <c r="AI7" s="420"/>
      <c r="AJ7" s="96"/>
      <c r="AK7" s="375" t="str">
        <f t="shared" si="0"/>
        <v/>
      </c>
      <c r="AL7" s="375" t="str">
        <f t="shared" si="1"/>
        <v/>
      </c>
      <c r="AM7" s="378" t="str">
        <f t="shared" si="1"/>
        <v/>
      </c>
      <c r="AN7" s="375" t="str">
        <f t="shared" si="2"/>
        <v/>
      </c>
      <c r="AO7" s="376"/>
      <c r="AP7" s="379" t="str">
        <f ca="1">IF(ISERROR(SMALL(#REF!,ROW()-2)),"",INDIRECT("'Control panel'!A" &amp; SMALL(#REF!,ROW()-2),1))</f>
        <v/>
      </c>
      <c r="AQ7" s="376"/>
      <c r="AR7" s="376"/>
      <c r="AS7" s="376"/>
      <c r="AT7" s="376"/>
      <c r="AU7" s="376"/>
    </row>
    <row r="8" spans="1:47" ht="107.25" customHeight="1" x14ac:dyDescent="0.2">
      <c r="A8" s="420"/>
      <c r="B8" s="168"/>
      <c r="C8" s="168"/>
      <c r="D8" s="168"/>
      <c r="E8" s="168"/>
      <c r="F8" s="168"/>
      <c r="G8" s="168"/>
      <c r="H8" s="168"/>
      <c r="I8" s="168"/>
      <c r="J8" s="96"/>
      <c r="K8" s="96"/>
      <c r="L8" s="96"/>
      <c r="M8" s="96"/>
      <c r="N8" s="96"/>
      <c r="O8" s="96"/>
      <c r="P8" s="6"/>
      <c r="Q8" s="6"/>
      <c r="R8" s="96"/>
      <c r="S8" s="96"/>
      <c r="T8" s="96"/>
      <c r="U8" s="96"/>
      <c r="V8" s="96"/>
      <c r="W8" s="96"/>
      <c r="X8" s="6"/>
      <c r="Y8" s="6"/>
      <c r="Z8" s="6"/>
      <c r="AA8" s="96"/>
      <c r="AB8" s="96"/>
      <c r="AC8" s="377"/>
      <c r="AD8" s="96"/>
      <c r="AE8" s="168"/>
      <c r="AF8" s="96"/>
      <c r="AG8" s="96"/>
      <c r="AH8" s="96"/>
      <c r="AI8" s="420"/>
      <c r="AJ8" s="96"/>
      <c r="AK8" s="375" t="str">
        <f t="shared" si="0"/>
        <v/>
      </c>
      <c r="AL8" s="375" t="str">
        <f t="shared" si="1"/>
        <v/>
      </c>
      <c r="AM8" s="378" t="str">
        <f t="shared" si="1"/>
        <v/>
      </c>
      <c r="AN8" s="375" t="str">
        <f t="shared" si="2"/>
        <v/>
      </c>
      <c r="AO8" s="376"/>
      <c r="AP8" s="379" t="str">
        <f ca="1">IF(ISERROR(SMALL(#REF!,ROW()-2)),"",INDIRECT("'Control panel'!A" &amp; SMALL(#REF!,ROW()-2),1))</f>
        <v/>
      </c>
      <c r="AQ8" s="376"/>
      <c r="AR8" s="376"/>
      <c r="AS8" s="376"/>
      <c r="AT8" s="376"/>
      <c r="AU8" s="376"/>
    </row>
    <row r="9" spans="1:47" ht="68.25" customHeight="1" x14ac:dyDescent="0.2">
      <c r="A9" s="420"/>
      <c r="B9" s="168"/>
      <c r="C9" s="168"/>
      <c r="D9" s="168"/>
      <c r="E9" s="168"/>
      <c r="F9" s="168"/>
      <c r="G9" s="168"/>
      <c r="H9" s="168"/>
      <c r="I9" s="168"/>
      <c r="J9" s="96"/>
      <c r="K9" s="96"/>
      <c r="L9" s="96"/>
      <c r="M9" s="96"/>
      <c r="N9" s="96"/>
      <c r="O9" s="96"/>
      <c r="P9" s="6"/>
      <c r="Q9" s="6"/>
      <c r="R9" s="96"/>
      <c r="S9" s="96"/>
      <c r="T9" s="96"/>
      <c r="U9" s="96"/>
      <c r="V9" s="96"/>
      <c r="W9" s="96"/>
      <c r="X9" s="6"/>
      <c r="Y9" s="6"/>
      <c r="Z9" s="6"/>
      <c r="AA9" s="96"/>
      <c r="AB9" s="96"/>
      <c r="AC9" s="377"/>
      <c r="AD9" s="96"/>
      <c r="AE9" s="168"/>
      <c r="AF9" s="96"/>
      <c r="AG9" s="96"/>
      <c r="AH9" s="96"/>
      <c r="AI9" s="420"/>
      <c r="AJ9" s="96"/>
      <c r="AK9" s="375" t="str">
        <f t="shared" si="0"/>
        <v/>
      </c>
      <c r="AL9" s="375" t="str">
        <f t="shared" si="1"/>
        <v/>
      </c>
      <c r="AM9" s="378" t="str">
        <f t="shared" si="1"/>
        <v/>
      </c>
      <c r="AN9" s="375" t="str">
        <f t="shared" si="2"/>
        <v/>
      </c>
      <c r="AO9" s="376"/>
      <c r="AP9" s="379" t="str">
        <f ca="1">IF(ISERROR(SMALL(#REF!,ROW()-2)),"",INDIRECT("'Control panel'!A" &amp; SMALL(#REF!,ROW()-2),1))</f>
        <v/>
      </c>
      <c r="AQ9" s="376"/>
      <c r="AR9" s="376"/>
      <c r="AS9" s="376"/>
      <c r="AT9" s="376"/>
      <c r="AU9" s="376"/>
    </row>
    <row r="10" spans="1:47" ht="55.5" customHeight="1" x14ac:dyDescent="0.2">
      <c r="A10" s="420"/>
      <c r="B10" s="168"/>
      <c r="C10" s="168"/>
      <c r="D10" s="168"/>
      <c r="E10" s="168"/>
      <c r="F10" s="168"/>
      <c r="G10" s="168"/>
      <c r="H10" s="168"/>
      <c r="I10" s="168"/>
      <c r="J10" s="96"/>
      <c r="K10" s="96"/>
      <c r="L10" s="96"/>
      <c r="M10" s="96"/>
      <c r="N10" s="96"/>
      <c r="O10" s="96"/>
      <c r="P10" s="6"/>
      <c r="Q10" s="6"/>
      <c r="R10" s="96"/>
      <c r="S10" s="96"/>
      <c r="T10" s="96"/>
      <c r="U10" s="96"/>
      <c r="V10" s="96"/>
      <c r="W10" s="96"/>
      <c r="X10" s="6"/>
      <c r="Y10" s="6"/>
      <c r="Z10" s="382"/>
      <c r="AA10" s="96"/>
      <c r="AB10" s="96"/>
      <c r="AC10" s="377"/>
      <c r="AD10" s="96"/>
      <c r="AE10" s="168"/>
      <c r="AF10" s="96"/>
      <c r="AG10" s="96"/>
      <c r="AH10" s="96"/>
      <c r="AI10" s="420"/>
      <c r="AJ10" s="96"/>
      <c r="AK10" s="375" t="str">
        <f t="shared" si="0"/>
        <v/>
      </c>
      <c r="AL10" s="375" t="str">
        <f t="shared" si="1"/>
        <v/>
      </c>
      <c r="AM10" s="378" t="str">
        <f t="shared" si="1"/>
        <v/>
      </c>
      <c r="AN10" s="375" t="str">
        <f t="shared" si="2"/>
        <v/>
      </c>
      <c r="AO10" s="376"/>
      <c r="AP10" s="379" t="str">
        <f ca="1">IF(ISERROR(SMALL(#REF!,ROW()-2)),"",INDIRECT("'Control panel'!A" &amp; SMALL(#REF!,ROW()-2),1))</f>
        <v/>
      </c>
      <c r="AQ10" s="376"/>
      <c r="AR10" s="376"/>
      <c r="AS10" s="376"/>
      <c r="AT10" s="376"/>
      <c r="AU10" s="376"/>
    </row>
    <row r="11" spans="1:47" ht="128.25" customHeight="1" x14ac:dyDescent="0.2">
      <c r="A11" s="420"/>
      <c r="B11" s="168"/>
      <c r="C11" s="168"/>
      <c r="D11" s="168"/>
      <c r="E11" s="168"/>
      <c r="F11" s="168"/>
      <c r="G11" s="168"/>
      <c r="H11" s="168"/>
      <c r="I11" s="168"/>
      <c r="J11" s="96"/>
      <c r="K11" s="96"/>
      <c r="L11" s="96"/>
      <c r="M11" s="96"/>
      <c r="N11" s="96"/>
      <c r="O11" s="96"/>
      <c r="P11" s="6"/>
      <c r="Q11" s="6"/>
      <c r="R11" s="96"/>
      <c r="S11" s="96"/>
      <c r="T11" s="96"/>
      <c r="U11" s="96"/>
      <c r="V11" s="96"/>
      <c r="W11" s="96"/>
      <c r="X11" s="6"/>
      <c r="Y11" s="6"/>
      <c r="Z11" s="382"/>
      <c r="AA11" s="96"/>
      <c r="AB11" s="96"/>
      <c r="AC11" s="377"/>
      <c r="AD11" s="96"/>
      <c r="AE11" s="168"/>
      <c r="AF11" s="96"/>
      <c r="AG11" s="96"/>
      <c r="AH11" s="96"/>
      <c r="AI11" s="420"/>
      <c r="AJ11" s="96"/>
      <c r="AK11" s="375" t="str">
        <f t="shared" si="0"/>
        <v/>
      </c>
      <c r="AL11" s="375" t="str">
        <f t="shared" si="1"/>
        <v/>
      </c>
      <c r="AM11" s="378" t="str">
        <f t="shared" si="1"/>
        <v/>
      </c>
      <c r="AN11" s="375" t="str">
        <f t="shared" si="2"/>
        <v/>
      </c>
      <c r="AO11" s="376"/>
      <c r="AP11" s="379" t="str">
        <f ca="1">IF(ISERROR(SMALL(#REF!,ROW()-2)),"",INDIRECT("'Control panel'!A" &amp; SMALL(#REF!,ROW()-2),1))</f>
        <v/>
      </c>
      <c r="AQ11" s="376"/>
      <c r="AR11" s="376"/>
      <c r="AS11" s="376"/>
      <c r="AT11" s="376"/>
      <c r="AU11" s="376"/>
    </row>
    <row r="12" spans="1:47" ht="159" customHeight="1" x14ac:dyDescent="0.2">
      <c r="A12" s="420"/>
      <c r="B12" s="168"/>
      <c r="C12" s="168"/>
      <c r="D12" s="168"/>
      <c r="E12" s="168"/>
      <c r="F12" s="168"/>
      <c r="G12" s="168"/>
      <c r="H12" s="168"/>
      <c r="I12" s="168"/>
      <c r="J12" s="96"/>
      <c r="K12" s="96"/>
      <c r="L12" s="96"/>
      <c r="M12" s="96"/>
      <c r="N12" s="96"/>
      <c r="O12" s="96"/>
      <c r="P12" s="6"/>
      <c r="Q12" s="6"/>
      <c r="R12" s="96"/>
      <c r="S12" s="96"/>
      <c r="T12" s="96"/>
      <c r="U12" s="96"/>
      <c r="V12" s="96"/>
      <c r="W12" s="96"/>
      <c r="X12" s="6"/>
      <c r="Y12" s="6"/>
      <c r="Z12" s="382"/>
      <c r="AA12" s="96"/>
      <c r="AB12" s="96"/>
      <c r="AC12" s="377"/>
      <c r="AD12" s="96"/>
      <c r="AE12" s="168"/>
      <c r="AF12" s="96"/>
      <c r="AG12" s="96"/>
      <c r="AH12" s="96"/>
      <c r="AI12" s="420"/>
      <c r="AJ12" s="96"/>
      <c r="AK12" s="375" t="str">
        <f t="shared" si="0"/>
        <v/>
      </c>
      <c r="AL12" s="375" t="str">
        <f t="shared" si="1"/>
        <v/>
      </c>
      <c r="AM12" s="378" t="str">
        <f t="shared" si="1"/>
        <v/>
      </c>
      <c r="AN12" s="375" t="str">
        <f t="shared" si="2"/>
        <v/>
      </c>
      <c r="AO12" s="375"/>
      <c r="AP12" s="167" t="str">
        <f ca="1">IF(ISERROR(SMALL(#REF!,ROW()-2)),"",INDIRECT("'Control panel'!A" &amp; SMALL(#REF!,ROW()-2),1))</f>
        <v/>
      </c>
      <c r="AQ12" s="375"/>
      <c r="AR12" s="375"/>
      <c r="AS12" s="375"/>
      <c r="AT12" s="376"/>
      <c r="AU12" s="376"/>
    </row>
    <row r="13" spans="1:47" ht="73.5" customHeight="1" x14ac:dyDescent="0.2">
      <c r="A13" s="420"/>
      <c r="B13" s="168"/>
      <c r="C13" s="168"/>
      <c r="D13" s="168"/>
      <c r="E13" s="168"/>
      <c r="F13" s="168"/>
      <c r="G13" s="168"/>
      <c r="H13" s="168"/>
      <c r="I13" s="168"/>
      <c r="J13" s="96"/>
      <c r="K13" s="96"/>
      <c r="L13" s="96"/>
      <c r="M13" s="96"/>
      <c r="N13" s="96"/>
      <c r="O13" s="96"/>
      <c r="P13" s="6"/>
      <c r="Q13" s="6"/>
      <c r="R13" s="96"/>
      <c r="S13" s="96"/>
      <c r="T13" s="96"/>
      <c r="U13" s="96"/>
      <c r="V13" s="96"/>
      <c r="W13" s="96"/>
      <c r="X13" s="6"/>
      <c r="Y13" s="6"/>
      <c r="Z13" s="382"/>
      <c r="AA13" s="96"/>
      <c r="AB13" s="96"/>
      <c r="AC13" s="377"/>
      <c r="AD13" s="96"/>
      <c r="AE13" s="96"/>
      <c r="AF13" s="96"/>
      <c r="AG13" s="96"/>
      <c r="AH13" s="96"/>
      <c r="AI13" s="420"/>
      <c r="AJ13" s="96"/>
      <c r="AK13" s="375" t="str">
        <f t="shared" si="0"/>
        <v/>
      </c>
      <c r="AL13" s="375" t="str">
        <f t="shared" si="1"/>
        <v/>
      </c>
      <c r="AM13" s="378" t="str">
        <f t="shared" si="1"/>
        <v/>
      </c>
      <c r="AN13" s="375" t="str">
        <f t="shared" si="2"/>
        <v/>
      </c>
      <c r="AO13" s="376"/>
      <c r="AP13" s="379" t="str">
        <f ca="1">IF(ISERROR(SMALL(#REF!,ROW()-2)),"",INDIRECT("'Control panel'!A" &amp; SMALL(#REF!,ROW()-2),1))</f>
        <v/>
      </c>
      <c r="AQ13" s="376"/>
      <c r="AR13" s="376"/>
      <c r="AS13" s="376"/>
      <c r="AT13" s="376"/>
      <c r="AU13" s="376"/>
    </row>
    <row r="14" spans="1:47" ht="68.25" customHeight="1" x14ac:dyDescent="0.2">
      <c r="A14" s="420"/>
      <c r="B14" s="168"/>
      <c r="C14" s="168"/>
      <c r="D14" s="168"/>
      <c r="E14" s="168"/>
      <c r="F14" s="168"/>
      <c r="G14" s="168"/>
      <c r="H14" s="168"/>
      <c r="I14" s="168"/>
      <c r="J14" s="96"/>
      <c r="K14" s="96"/>
      <c r="L14" s="96"/>
      <c r="M14" s="96"/>
      <c r="N14" s="96"/>
      <c r="O14" s="96"/>
      <c r="P14" s="6"/>
      <c r="Q14" s="6"/>
      <c r="R14" s="96"/>
      <c r="S14" s="96"/>
      <c r="T14" s="96"/>
      <c r="U14" s="96"/>
      <c r="V14" s="96"/>
      <c r="W14" s="96"/>
      <c r="X14" s="6"/>
      <c r="Y14" s="6"/>
      <c r="Z14" s="6"/>
      <c r="AA14" s="96"/>
      <c r="AB14" s="96"/>
      <c r="AC14" s="377"/>
      <c r="AD14" s="96"/>
      <c r="AE14" s="96"/>
      <c r="AF14" s="96"/>
      <c r="AG14" s="96"/>
      <c r="AH14" s="96"/>
      <c r="AI14" s="420"/>
      <c r="AJ14" s="96"/>
      <c r="AK14" s="375" t="str">
        <f t="shared" si="0"/>
        <v/>
      </c>
      <c r="AL14" s="375" t="str">
        <f t="shared" si="1"/>
        <v/>
      </c>
      <c r="AM14" s="378" t="str">
        <f t="shared" si="1"/>
        <v/>
      </c>
      <c r="AN14" s="375" t="str">
        <f t="shared" si="2"/>
        <v/>
      </c>
      <c r="AO14" s="376"/>
      <c r="AP14" s="379" t="str">
        <f ca="1">IF(ISERROR(SMALL(#REF!,ROW()-2)),"",INDIRECT("'Control panel'!A" &amp; SMALL(#REF!,ROW()-2),1))</f>
        <v/>
      </c>
      <c r="AQ14" s="376"/>
      <c r="AR14" s="376"/>
      <c r="AS14" s="376"/>
      <c r="AT14" s="376"/>
      <c r="AU14" s="376"/>
    </row>
    <row r="15" spans="1:47" ht="88.5" customHeight="1" x14ac:dyDescent="0.2">
      <c r="A15" s="420"/>
      <c r="B15" s="168"/>
      <c r="C15" s="168"/>
      <c r="D15" s="168"/>
      <c r="E15" s="168"/>
      <c r="F15" s="427"/>
      <c r="G15" s="427"/>
      <c r="H15" s="427"/>
      <c r="I15" s="426"/>
      <c r="J15" s="96"/>
      <c r="K15" s="96"/>
      <c r="L15" s="96"/>
      <c r="M15" s="96"/>
      <c r="N15" s="96"/>
      <c r="O15" s="96"/>
      <c r="P15" s="6"/>
      <c r="Q15" s="6"/>
      <c r="R15" s="96"/>
      <c r="S15" s="96"/>
      <c r="T15" s="96"/>
      <c r="U15" s="96"/>
      <c r="V15" s="96"/>
      <c r="W15" s="96"/>
      <c r="X15" s="6"/>
      <c r="Y15" s="6"/>
      <c r="Z15" s="6"/>
      <c r="AA15" s="82"/>
      <c r="AB15" s="82"/>
      <c r="AC15" s="377"/>
      <c r="AD15" s="96"/>
      <c r="AE15" s="425"/>
      <c r="AF15" s="85"/>
      <c r="AG15" s="426"/>
      <c r="AH15" s="85"/>
      <c r="AI15" s="420"/>
      <c r="AJ15" s="96"/>
      <c r="AK15" s="375" t="str">
        <f t="shared" si="0"/>
        <v/>
      </c>
      <c r="AL15" s="375" t="str">
        <f t="shared" si="1"/>
        <v/>
      </c>
      <c r="AM15" s="378" t="str">
        <f t="shared" si="1"/>
        <v/>
      </c>
      <c r="AN15" s="375" t="str">
        <f t="shared" si="2"/>
        <v/>
      </c>
      <c r="AO15" s="376"/>
      <c r="AP15" s="379" t="str">
        <f ca="1">IF(ISERROR(SMALL(#REF!,ROW()-2)),"",INDIRECT("'Control panel'!A" &amp; SMALL(#REF!,ROW()-2),1))</f>
        <v/>
      </c>
      <c r="AQ15" s="376"/>
      <c r="AR15" s="376"/>
      <c r="AS15" s="376"/>
      <c r="AT15" s="376"/>
      <c r="AU15" s="376"/>
    </row>
    <row r="16" spans="1:47" ht="132" customHeight="1" x14ac:dyDescent="0.2">
      <c r="A16" s="420"/>
      <c r="B16" s="168"/>
      <c r="C16" s="168"/>
      <c r="D16" s="168"/>
      <c r="E16" s="168"/>
      <c r="F16" s="427"/>
      <c r="G16" s="427"/>
      <c r="H16" s="427"/>
      <c r="I16" s="426"/>
      <c r="J16" s="96"/>
      <c r="K16" s="96"/>
      <c r="L16" s="96"/>
      <c r="M16" s="96"/>
      <c r="N16" s="96"/>
      <c r="O16" s="96"/>
      <c r="P16" s="6"/>
      <c r="Q16" s="6"/>
      <c r="R16" s="96"/>
      <c r="S16" s="96"/>
      <c r="T16" s="96"/>
      <c r="U16" s="96"/>
      <c r="V16" s="96"/>
      <c r="W16" s="96"/>
      <c r="X16" s="6"/>
      <c r="Y16" s="6"/>
      <c r="Z16" s="6"/>
      <c r="AA16" s="82"/>
      <c r="AB16" s="82"/>
      <c r="AC16" s="377"/>
      <c r="AD16" s="96"/>
      <c r="AE16" s="425"/>
      <c r="AF16" s="85"/>
      <c r="AG16" s="426"/>
      <c r="AH16" s="85"/>
      <c r="AI16" s="420"/>
      <c r="AJ16" s="96"/>
      <c r="AK16" s="375" t="str">
        <f t="shared" ref="AK16" si="3">IF(R16&lt;&gt;"",R16,IF(J16,J16,""))</f>
        <v/>
      </c>
      <c r="AL16" s="375" t="str">
        <f t="shared" ref="AL16" si="4">IF(X16&lt;&gt;"",X16,IF(P16=1,P16,""))</f>
        <v/>
      </c>
      <c r="AM16" s="378" t="str">
        <f t="shared" ref="AM16" si="5">IF(Y16&lt;&gt;"",Y16,IF(Q16=1,Q16,""))</f>
        <v/>
      </c>
      <c r="AN16" s="375" t="str">
        <f t="shared" ref="AN16" si="6">IF(COUNT(AK16:AM16)&gt;2,IF(AJ16&lt;&gt;"",IF(ISERROR(SEARCH("open",AJ16,1)),"Closed","Open"),"Open"),"")</f>
        <v/>
      </c>
      <c r="AO16" s="376"/>
      <c r="AP16" s="379" t="str">
        <f ca="1">IF(ISERROR(SMALL(#REF!,ROW()-2)),"",INDIRECT("'Control panel'!A" &amp; SMALL(#REF!,ROW()-2),1))</f>
        <v/>
      </c>
      <c r="AQ16" s="376"/>
      <c r="AR16" s="376"/>
      <c r="AS16" s="376"/>
      <c r="AT16" s="376"/>
      <c r="AU16" s="376"/>
    </row>
    <row r="17" spans="1:47" ht="84" customHeight="1" x14ac:dyDescent="0.2">
      <c r="A17" s="420"/>
      <c r="B17" s="168"/>
      <c r="C17" s="168"/>
      <c r="D17" s="168"/>
      <c r="E17" s="168"/>
      <c r="F17" s="427"/>
      <c r="G17" s="427"/>
      <c r="H17" s="427"/>
      <c r="I17" s="426"/>
      <c r="J17" s="96"/>
      <c r="K17" s="96"/>
      <c r="L17" s="96"/>
      <c r="M17" s="96"/>
      <c r="N17" s="96"/>
      <c r="O17" s="96"/>
      <c r="P17" s="6"/>
      <c r="Q17" s="6"/>
      <c r="R17" s="96"/>
      <c r="S17" s="96"/>
      <c r="T17" s="96"/>
      <c r="U17" s="96"/>
      <c r="V17" s="96"/>
      <c r="W17" s="96"/>
      <c r="X17" s="6"/>
      <c r="Y17" s="6"/>
      <c r="Z17" s="6"/>
      <c r="AA17" s="82"/>
      <c r="AB17" s="82"/>
      <c r="AC17" s="377"/>
      <c r="AD17" s="96"/>
      <c r="AE17" s="425"/>
      <c r="AF17" s="85"/>
      <c r="AG17" s="426"/>
      <c r="AH17" s="85"/>
      <c r="AI17" s="420"/>
      <c r="AJ17" s="96"/>
      <c r="AK17" s="375" t="str">
        <f t="shared" ref="AK17" si="7">IF(R17&lt;&gt;"",R17,IF(J17,J17,""))</f>
        <v/>
      </c>
      <c r="AL17" s="375" t="str">
        <f t="shared" ref="AL17" si="8">IF(X17&lt;&gt;"",X17,IF(P17=1,P17,""))</f>
        <v/>
      </c>
      <c r="AM17" s="378" t="str">
        <f t="shared" ref="AM17" si="9">IF(Y17&lt;&gt;"",Y17,IF(Q17=1,Q17,""))</f>
        <v/>
      </c>
      <c r="AN17" s="375" t="str">
        <f t="shared" ref="AN17" si="10">IF(COUNT(AK17:AM17)&gt;2,IF(AJ17&lt;&gt;"",IF(ISERROR(SEARCH("open",AJ17,1)),"Closed","Open"),"Open"),"")</f>
        <v/>
      </c>
      <c r="AO17" s="376"/>
      <c r="AP17" s="379" t="str">
        <f ca="1">IF(ISERROR(SMALL(#REF!,ROW()-2)),"",INDIRECT("'Control panel'!A" &amp; SMALL(#REF!,ROW()-2),1))</f>
        <v/>
      </c>
      <c r="AQ17" s="376"/>
      <c r="AR17" s="376"/>
      <c r="AS17" s="376"/>
      <c r="AT17" s="376"/>
      <c r="AU17" s="376"/>
    </row>
    <row r="18" spans="1:47" ht="215.25" customHeight="1" x14ac:dyDescent="0.2">
      <c r="A18" s="420"/>
      <c r="B18" s="168"/>
      <c r="C18" s="168"/>
      <c r="D18" s="168"/>
      <c r="E18" s="168"/>
      <c r="F18" s="168"/>
      <c r="G18" s="427"/>
      <c r="H18" s="427"/>
      <c r="I18" s="426"/>
      <c r="J18" s="96"/>
      <c r="K18" s="96"/>
      <c r="L18" s="96"/>
      <c r="M18" s="96"/>
      <c r="N18" s="96"/>
      <c r="O18" s="96"/>
      <c r="P18" s="6"/>
      <c r="Q18" s="6"/>
      <c r="R18" s="96"/>
      <c r="S18" s="96"/>
      <c r="T18" s="96"/>
      <c r="U18" s="96"/>
      <c r="V18" s="96"/>
      <c r="W18" s="96"/>
      <c r="X18" s="6"/>
      <c r="Y18" s="6"/>
      <c r="Z18" s="6"/>
      <c r="AA18" s="82"/>
      <c r="AB18" s="82"/>
      <c r="AC18" s="377"/>
      <c r="AD18" s="96"/>
      <c r="AE18" s="425"/>
      <c r="AF18" s="85"/>
      <c r="AG18" s="426"/>
      <c r="AH18" s="85"/>
      <c r="AI18" s="420"/>
      <c r="AJ18" s="96"/>
      <c r="AK18" s="375" t="str">
        <f t="shared" ref="AK18" si="11">IF(R18&lt;&gt;"",R18,IF(J18,J18,""))</f>
        <v/>
      </c>
      <c r="AL18" s="375" t="str">
        <f t="shared" ref="AL18" si="12">IF(X18&lt;&gt;"",X18,IF(P18=1,P18,""))</f>
        <v/>
      </c>
      <c r="AM18" s="378" t="str">
        <f t="shared" ref="AM18" si="13">IF(Y18&lt;&gt;"",Y18,IF(Q18=1,Q18,""))</f>
        <v/>
      </c>
      <c r="AN18" s="375" t="str">
        <f t="shared" ref="AN18" si="14">IF(COUNT(AK18:AM18)&gt;2,IF(AJ18&lt;&gt;"",IF(ISERROR(SEARCH("open",AJ18,1)),"Closed","Open"),"Open"),"")</f>
        <v/>
      </c>
      <c r="AO18" s="376"/>
      <c r="AP18" s="379" t="str">
        <f ca="1">IF(ISERROR(SMALL(#REF!,ROW()-2)),"",INDIRECT("'Control panel'!A" &amp; SMALL(#REF!,ROW()-2),1))</f>
        <v/>
      </c>
      <c r="AQ18" s="376"/>
      <c r="AR18" s="376"/>
      <c r="AS18" s="376"/>
      <c r="AT18" s="376"/>
      <c r="AU18" s="376"/>
    </row>
    <row r="19" spans="1:47" x14ac:dyDescent="0.2">
      <c r="A19" s="391"/>
      <c r="B19" s="268"/>
      <c r="C19" s="268"/>
      <c r="D19" s="268"/>
      <c r="E19" s="268"/>
      <c r="F19" s="185"/>
      <c r="G19" s="358"/>
      <c r="H19" s="358"/>
      <c r="I19" s="85"/>
      <c r="J19" s="85"/>
      <c r="K19" s="85"/>
      <c r="L19" s="85"/>
      <c r="M19" s="85"/>
      <c r="N19" s="85"/>
      <c r="O19" s="85"/>
      <c r="P19" s="6"/>
      <c r="Q19" s="6"/>
      <c r="R19"/>
      <c r="S19"/>
      <c r="T19"/>
      <c r="U19"/>
      <c r="V19"/>
      <c r="W19"/>
      <c r="X19" s="6"/>
      <c r="Y19" s="6"/>
      <c r="Z19" s="6"/>
      <c r="AA19" s="82"/>
      <c r="AB19" s="82"/>
      <c r="AC19" s="377"/>
      <c r="AD19" s="103"/>
      <c r="AE19" s="268"/>
      <c r="AF19" s="85"/>
      <c r="AG19" s="268"/>
      <c r="AH19" s="268"/>
      <c r="AI19" s="91"/>
      <c r="AJ19" s="392"/>
      <c r="AK19" s="375" t="str">
        <f t="shared" si="0"/>
        <v/>
      </c>
      <c r="AL19" s="375" t="str">
        <f t="shared" ref="AL19:AM33" si="15">IF(X19&lt;&gt;"",X19,IF(P19=1,P19,""))</f>
        <v/>
      </c>
      <c r="AM19" s="378" t="str">
        <f t="shared" si="15"/>
        <v/>
      </c>
      <c r="AN19" s="375" t="str">
        <f t="shared" si="2"/>
        <v/>
      </c>
      <c r="AO19" s="376"/>
      <c r="AP19" s="379" t="str">
        <f ca="1">IF(ISERROR(SMALL(#REF!,ROW()-2)),"",INDIRECT("'Control panel'!A" &amp; SMALL(#REF!,ROW()-2),1))</f>
        <v/>
      </c>
      <c r="AQ19" s="376"/>
      <c r="AR19" s="376"/>
      <c r="AS19" s="376"/>
      <c r="AT19" s="376"/>
      <c r="AU19" s="376"/>
    </row>
    <row r="20" spans="1:47" x14ac:dyDescent="0.2">
      <c r="A20" s="391"/>
      <c r="B20" s="268"/>
      <c r="C20" s="268"/>
      <c r="D20" s="268"/>
      <c r="E20" s="268"/>
      <c r="F20" s="185"/>
      <c r="G20" s="358"/>
      <c r="H20" s="358"/>
      <c r="I20" s="85"/>
      <c r="J20" s="85"/>
      <c r="K20" s="85"/>
      <c r="L20" s="85"/>
      <c r="M20" s="85"/>
      <c r="N20" s="85"/>
      <c r="O20" s="85"/>
      <c r="P20" s="6"/>
      <c r="Q20" s="6"/>
      <c r="R20" s="85"/>
      <c r="S20" s="85"/>
      <c r="T20" s="85"/>
      <c r="U20" s="85"/>
      <c r="V20" s="85"/>
      <c r="W20" s="85"/>
      <c r="X20" s="6"/>
      <c r="Y20" s="6"/>
      <c r="Z20" s="6"/>
      <c r="AA20" s="82"/>
      <c r="AB20" s="82"/>
      <c r="AC20" s="377"/>
      <c r="AD20" s="103"/>
      <c r="AE20" s="268"/>
      <c r="AF20" s="85"/>
      <c r="AG20" s="268"/>
      <c r="AH20" s="85"/>
      <c r="AI20" s="91"/>
      <c r="AJ20" s="392"/>
      <c r="AK20" s="375" t="str">
        <f t="shared" si="0"/>
        <v/>
      </c>
      <c r="AL20" s="375" t="str">
        <f t="shared" si="15"/>
        <v/>
      </c>
      <c r="AM20" s="378" t="str">
        <f t="shared" si="15"/>
        <v/>
      </c>
      <c r="AN20" s="375" t="str">
        <f t="shared" si="2"/>
        <v/>
      </c>
      <c r="AO20" s="376"/>
      <c r="AP20" s="379" t="str">
        <f ca="1">IF(ISERROR(SMALL(#REF!,ROW()-2)),"",INDIRECT("'Control panel'!A" &amp; SMALL(#REF!,ROW()-2),1))</f>
        <v/>
      </c>
      <c r="AQ20" s="376"/>
      <c r="AR20" s="376"/>
      <c r="AS20" s="376"/>
      <c r="AT20" s="376"/>
      <c r="AU20" s="376"/>
    </row>
    <row r="21" spans="1:47" x14ac:dyDescent="0.2">
      <c r="A21" s="391"/>
      <c r="B21" s="268"/>
      <c r="C21" s="268"/>
      <c r="D21" s="268"/>
      <c r="E21" s="268"/>
      <c r="F21" s="185"/>
      <c r="G21" s="358"/>
      <c r="H21" s="358"/>
      <c r="I21" s="85"/>
      <c r="J21" s="85"/>
      <c r="K21" s="85"/>
      <c r="L21" s="85"/>
      <c r="M21" s="85"/>
      <c r="N21" s="85"/>
      <c r="O21" s="85"/>
      <c r="P21" s="6"/>
      <c r="Q21" s="6"/>
      <c r="R21" s="85"/>
      <c r="S21" s="85"/>
      <c r="T21" s="85"/>
      <c r="U21" s="85"/>
      <c r="V21" s="85"/>
      <c r="W21" s="85"/>
      <c r="X21" s="6"/>
      <c r="Y21" s="6"/>
      <c r="Z21" s="6"/>
      <c r="AA21" s="82"/>
      <c r="AB21" s="82"/>
      <c r="AC21" s="377"/>
      <c r="AD21" s="103"/>
      <c r="AE21" s="268"/>
      <c r="AF21" s="85"/>
      <c r="AG21" s="268"/>
      <c r="AH21" s="268"/>
      <c r="AI21" s="91"/>
      <c r="AJ21" s="392"/>
      <c r="AK21" s="375" t="str">
        <f t="shared" si="0"/>
        <v/>
      </c>
      <c r="AL21" s="375" t="str">
        <f t="shared" si="15"/>
        <v/>
      </c>
      <c r="AM21" s="378" t="str">
        <f t="shared" si="15"/>
        <v/>
      </c>
      <c r="AN21" s="375" t="str">
        <f t="shared" si="2"/>
        <v/>
      </c>
      <c r="AO21" s="376"/>
      <c r="AP21" s="379" t="str">
        <f ca="1">IF(ISERROR(SMALL(#REF!,ROW()-2)),"",INDIRECT("'Control panel'!A" &amp; SMALL(#REF!,ROW()-2),1))</f>
        <v/>
      </c>
      <c r="AQ21" s="376"/>
      <c r="AR21" s="376"/>
      <c r="AS21" s="376"/>
      <c r="AT21" s="376"/>
      <c r="AU21" s="376"/>
    </row>
    <row r="22" spans="1:47" x14ac:dyDescent="0.2">
      <c r="A22" s="391"/>
      <c r="B22" s="268"/>
      <c r="C22" s="268"/>
      <c r="D22" s="268"/>
      <c r="E22" s="268"/>
      <c r="F22" s="358"/>
      <c r="G22" s="358"/>
      <c r="H22" s="358"/>
      <c r="I22" s="268"/>
      <c r="J22" s="85"/>
      <c r="K22" s="85"/>
      <c r="L22" s="85"/>
      <c r="M22" s="85"/>
      <c r="N22" s="85"/>
      <c r="O22" s="85"/>
      <c r="P22" s="6"/>
      <c r="Q22" s="6"/>
      <c r="R22" s="85"/>
      <c r="S22" s="85"/>
      <c r="T22" s="85"/>
      <c r="U22" s="85"/>
      <c r="V22" s="85"/>
      <c r="W22" s="85"/>
      <c r="X22" s="6"/>
      <c r="Y22" s="6"/>
      <c r="Z22" s="6"/>
      <c r="AA22" s="82"/>
      <c r="AB22" s="82"/>
      <c r="AC22" s="377"/>
      <c r="AD22" s="103"/>
      <c r="AE22" s="268"/>
      <c r="AF22" s="85"/>
      <c r="AG22" s="268"/>
      <c r="AH22" s="85"/>
      <c r="AI22" s="91"/>
      <c r="AJ22" s="38"/>
      <c r="AK22" s="375" t="str">
        <f t="shared" si="0"/>
        <v/>
      </c>
      <c r="AL22" s="375" t="str">
        <f t="shared" si="15"/>
        <v/>
      </c>
      <c r="AM22" s="378" t="str">
        <f t="shared" si="15"/>
        <v/>
      </c>
      <c r="AN22" s="375" t="str">
        <f t="shared" si="2"/>
        <v/>
      </c>
      <c r="AO22" s="376"/>
      <c r="AP22" s="379" t="str">
        <f ca="1">IF(ISERROR(SMALL(#REF!,ROW()-2)),"",INDIRECT("'Control panel'!A" &amp; SMALL(#REF!,ROW()-2),1))</f>
        <v/>
      </c>
      <c r="AQ22" s="376"/>
      <c r="AR22" s="376"/>
      <c r="AS22" s="376"/>
      <c r="AT22" s="376"/>
      <c r="AU22" s="376"/>
    </row>
    <row r="23" spans="1:47" x14ac:dyDescent="0.2">
      <c r="A23" s="391"/>
      <c r="B23" s="268"/>
      <c r="C23" s="268"/>
      <c r="D23" s="268"/>
      <c r="E23" s="268"/>
      <c r="F23" s="358"/>
      <c r="G23" s="358"/>
      <c r="H23" s="358"/>
      <c r="I23" s="268"/>
      <c r="J23" s="85"/>
      <c r="K23" s="85"/>
      <c r="L23" s="85"/>
      <c r="M23" s="85"/>
      <c r="N23" s="85"/>
      <c r="O23" s="85"/>
      <c r="P23" s="6"/>
      <c r="Q23" s="6"/>
      <c r="R23" s="85"/>
      <c r="S23" s="85"/>
      <c r="T23" s="85"/>
      <c r="U23" s="85"/>
      <c r="V23" s="85"/>
      <c r="W23" s="85"/>
      <c r="X23" s="6"/>
      <c r="Y23" s="6"/>
      <c r="Z23" s="6"/>
      <c r="AA23" s="82"/>
      <c r="AB23" s="82"/>
      <c r="AC23" s="377"/>
      <c r="AD23" s="103"/>
      <c r="AE23" s="268"/>
      <c r="AF23" s="85"/>
      <c r="AG23" s="268"/>
      <c r="AH23" s="268"/>
      <c r="AI23" s="91"/>
      <c r="AJ23" s="38"/>
      <c r="AK23" s="375" t="str">
        <f t="shared" si="0"/>
        <v/>
      </c>
      <c r="AL23" s="375" t="str">
        <f t="shared" si="15"/>
        <v/>
      </c>
      <c r="AM23" s="378" t="str">
        <f t="shared" si="15"/>
        <v/>
      </c>
      <c r="AN23" s="375" t="str">
        <f t="shared" si="2"/>
        <v/>
      </c>
      <c r="AO23" s="376"/>
      <c r="AP23" s="379" t="str">
        <f ca="1">IF(ISERROR(SMALL(#REF!,ROW()-2)),"",INDIRECT("'Control panel'!A" &amp; SMALL(#REF!,ROW()-2),1))</f>
        <v/>
      </c>
      <c r="AQ23" s="376"/>
      <c r="AR23" s="376"/>
      <c r="AS23" s="376"/>
      <c r="AT23" s="376"/>
      <c r="AU23" s="376"/>
    </row>
    <row r="24" spans="1:47" x14ac:dyDescent="0.2">
      <c r="A24" s="391"/>
      <c r="B24" s="268"/>
      <c r="C24" s="268"/>
      <c r="D24" s="268"/>
      <c r="E24" s="268"/>
      <c r="F24" s="358"/>
      <c r="G24" s="358"/>
      <c r="H24" s="358"/>
      <c r="I24" s="268"/>
      <c r="J24" s="85"/>
      <c r="K24" s="85"/>
      <c r="L24" s="85"/>
      <c r="M24" s="85"/>
      <c r="N24" s="85"/>
      <c r="O24" s="85"/>
      <c r="P24" s="6"/>
      <c r="Q24" s="6"/>
      <c r="R24" s="85"/>
      <c r="S24" s="85"/>
      <c r="T24" s="85"/>
      <c r="U24" s="85"/>
      <c r="V24" s="85"/>
      <c r="W24" s="85"/>
      <c r="X24" s="6"/>
      <c r="Y24" s="6"/>
      <c r="Z24" s="6"/>
      <c r="AA24" s="82"/>
      <c r="AB24" s="82"/>
      <c r="AC24" s="377"/>
      <c r="AD24" s="103"/>
      <c r="AE24" s="268"/>
      <c r="AF24" s="85"/>
      <c r="AG24" s="268"/>
      <c r="AH24" s="268"/>
      <c r="AI24" s="91"/>
      <c r="AJ24" s="38"/>
      <c r="AK24" s="375" t="str">
        <f t="shared" si="0"/>
        <v/>
      </c>
      <c r="AL24" s="375" t="str">
        <f t="shared" si="15"/>
        <v/>
      </c>
      <c r="AM24" s="378" t="str">
        <f t="shared" si="15"/>
        <v/>
      </c>
      <c r="AN24" s="375" t="str">
        <f>IF(COUNT(AK24:AM24)&gt;2,IF(AJ24&lt;&gt;"",IF(ISERROR(SEARCH("open",AJ24,1)),"Closed","Open"),"Open"),"")</f>
        <v/>
      </c>
      <c r="AO24" s="376"/>
      <c r="AP24" s="379" t="str">
        <f ca="1">IF(ISERROR(SMALL(#REF!,ROW()-2)),"",INDIRECT("'Control panel'!A" &amp; SMALL(#REF!,ROW()-2),1))</f>
        <v/>
      </c>
      <c r="AQ24" s="376"/>
      <c r="AR24" s="376"/>
      <c r="AS24" s="376"/>
      <c r="AT24" s="376"/>
      <c r="AU24" s="376"/>
    </row>
    <row r="25" spans="1:47" x14ac:dyDescent="0.2">
      <c r="A25" s="391"/>
      <c r="B25" s="268"/>
      <c r="C25" s="268"/>
      <c r="D25" s="268"/>
      <c r="E25" s="268"/>
      <c r="F25" s="358"/>
      <c r="G25" s="358"/>
      <c r="H25" s="358"/>
      <c r="I25" s="268"/>
      <c r="J25" s="85"/>
      <c r="K25" s="85"/>
      <c r="L25" s="85"/>
      <c r="M25" s="85"/>
      <c r="N25" s="85"/>
      <c r="O25" s="85"/>
      <c r="P25" s="6"/>
      <c r="Q25" s="6"/>
      <c r="R25" s="85"/>
      <c r="S25" s="85"/>
      <c r="T25" s="85"/>
      <c r="U25" s="85"/>
      <c r="V25" s="85"/>
      <c r="W25" s="85"/>
      <c r="X25" s="6"/>
      <c r="Y25" s="6"/>
      <c r="Z25" s="6"/>
      <c r="AA25" s="82"/>
      <c r="AB25" s="82"/>
      <c r="AC25" s="377"/>
      <c r="AD25" s="103"/>
      <c r="AE25" s="268"/>
      <c r="AF25" s="85"/>
      <c r="AG25" s="268"/>
      <c r="AH25" s="85"/>
      <c r="AI25" s="91"/>
      <c r="AJ25" s="392"/>
      <c r="AK25" s="375" t="str">
        <f t="shared" si="0"/>
        <v/>
      </c>
      <c r="AL25" s="375" t="str">
        <f t="shared" si="15"/>
        <v/>
      </c>
      <c r="AM25" s="378" t="str">
        <f t="shared" si="15"/>
        <v/>
      </c>
      <c r="AN25" s="375" t="str">
        <f t="shared" si="2"/>
        <v/>
      </c>
      <c r="AO25" s="376"/>
      <c r="AP25" s="379" t="str">
        <f ca="1">IF(ISERROR(SMALL(#REF!,ROW()-2)),"",INDIRECT("'Control panel'!A" &amp; SMALL(#REF!,ROW()-2),1))</f>
        <v/>
      </c>
      <c r="AQ25" s="376"/>
      <c r="AR25" s="376"/>
      <c r="AS25" s="376"/>
      <c r="AT25" s="376"/>
      <c r="AU25" s="376"/>
    </row>
    <row r="26" spans="1:47" x14ac:dyDescent="0.2">
      <c r="A26" s="391"/>
      <c r="B26" s="268"/>
      <c r="C26" s="268"/>
      <c r="D26" s="268"/>
      <c r="E26" s="268"/>
      <c r="F26" s="358"/>
      <c r="G26" s="358"/>
      <c r="H26" s="358"/>
      <c r="I26" s="268"/>
      <c r="J26" s="85"/>
      <c r="K26" s="85"/>
      <c r="L26" s="85"/>
      <c r="M26" s="85"/>
      <c r="N26" s="85"/>
      <c r="O26" s="85"/>
      <c r="P26" s="6"/>
      <c r="Q26" s="6"/>
      <c r="R26" s="85"/>
      <c r="S26" s="85"/>
      <c r="T26" s="85"/>
      <c r="U26" s="85"/>
      <c r="V26" s="85"/>
      <c r="W26" s="85"/>
      <c r="X26" s="6"/>
      <c r="Y26" s="6"/>
      <c r="Z26" s="6"/>
      <c r="AA26" s="82"/>
      <c r="AB26" s="82"/>
      <c r="AC26" s="377"/>
      <c r="AD26" s="103"/>
      <c r="AE26" s="268"/>
      <c r="AF26" s="268"/>
      <c r="AG26" s="268"/>
      <c r="AH26" s="85"/>
      <c r="AI26" s="91"/>
      <c r="AJ26" s="38"/>
      <c r="AK26" s="375" t="str">
        <f t="shared" si="0"/>
        <v/>
      </c>
      <c r="AL26" s="375" t="str">
        <f>IF(X26&lt;&gt;"",X26,IF(P26=1,P26,""))</f>
        <v/>
      </c>
      <c r="AM26" s="378" t="str">
        <f t="shared" si="15"/>
        <v/>
      </c>
      <c r="AN26" s="375" t="str">
        <f t="shared" si="2"/>
        <v/>
      </c>
      <c r="AO26" s="375"/>
      <c r="AP26" s="167" t="str">
        <f ca="1">IF(ISERROR(SMALL(#REF!,ROW()-2)),"",INDIRECT("'Control panel'!A" &amp; SMALL(#REF!,ROW()-2),1))</f>
        <v/>
      </c>
      <c r="AQ26" s="375"/>
      <c r="AR26" s="375"/>
      <c r="AS26" s="375"/>
      <c r="AT26" s="376"/>
      <c r="AU26" s="376"/>
    </row>
    <row r="27" spans="1:47" x14ac:dyDescent="0.2">
      <c r="A27" s="391"/>
      <c r="B27" s="268"/>
      <c r="C27" s="268"/>
      <c r="D27" s="268"/>
      <c r="E27" s="268"/>
      <c r="F27" s="358"/>
      <c r="G27" s="358"/>
      <c r="H27" s="358"/>
      <c r="I27" s="85"/>
      <c r="J27" s="85"/>
      <c r="K27" s="85"/>
      <c r="L27" s="85"/>
      <c r="M27" s="85"/>
      <c r="N27" s="85"/>
      <c r="O27" s="85"/>
      <c r="P27" s="6"/>
      <c r="Q27" s="6"/>
      <c r="R27" s="85"/>
      <c r="S27" s="85"/>
      <c r="T27" s="85"/>
      <c r="U27" s="85"/>
      <c r="V27" s="85"/>
      <c r="W27" s="85"/>
      <c r="X27" s="6"/>
      <c r="Y27" s="6"/>
      <c r="Z27" s="6"/>
      <c r="AA27" s="82"/>
      <c r="AB27" s="82"/>
      <c r="AC27" s="377"/>
      <c r="AD27" s="103"/>
      <c r="AE27" s="268"/>
      <c r="AF27" s="85"/>
      <c r="AG27" s="268"/>
      <c r="AH27" s="268"/>
      <c r="AI27" s="91"/>
      <c r="AJ27" s="392"/>
      <c r="AK27" s="375" t="str">
        <f t="shared" si="0"/>
        <v/>
      </c>
      <c r="AL27" s="375" t="str">
        <f t="shared" ref="AL27:AM42" si="16">IF(X27&lt;&gt;"",X27,IF(P27=1,P27,""))</f>
        <v/>
      </c>
      <c r="AM27" s="378" t="str">
        <f t="shared" si="15"/>
        <v/>
      </c>
      <c r="AN27" s="375" t="str">
        <f t="shared" si="2"/>
        <v/>
      </c>
      <c r="AO27" s="376"/>
      <c r="AP27" s="379" t="str">
        <f ca="1">IF(ISERROR(SMALL(#REF!,ROW()-2)),"",INDIRECT("'Control panel'!A" &amp; SMALL(#REF!,ROW()-2),1))</f>
        <v/>
      </c>
      <c r="AQ27" s="376"/>
      <c r="AR27" s="376"/>
      <c r="AS27" s="376"/>
      <c r="AT27" s="376"/>
      <c r="AU27" s="376"/>
    </row>
    <row r="28" spans="1:47" x14ac:dyDescent="0.2">
      <c r="A28" s="391"/>
      <c r="B28" s="268"/>
      <c r="C28" s="268"/>
      <c r="D28" s="268"/>
      <c r="E28" s="268"/>
      <c r="F28" s="358"/>
      <c r="G28" s="358"/>
      <c r="H28" s="358"/>
      <c r="I28" s="85"/>
      <c r="J28" s="85"/>
      <c r="K28" s="85"/>
      <c r="L28" s="85"/>
      <c r="M28" s="85"/>
      <c r="N28" s="85"/>
      <c r="O28" s="85"/>
      <c r="P28" s="6"/>
      <c r="Q28" s="6"/>
      <c r="R28" s="85"/>
      <c r="S28" s="85"/>
      <c r="T28" s="85"/>
      <c r="U28" s="85"/>
      <c r="V28" s="85"/>
      <c r="W28" s="85"/>
      <c r="X28" s="6"/>
      <c r="Y28" s="6"/>
      <c r="Z28" s="6"/>
      <c r="AA28" s="82"/>
      <c r="AB28" s="82"/>
      <c r="AC28" s="377"/>
      <c r="AD28" s="103"/>
      <c r="AE28" s="268"/>
      <c r="AF28" s="85"/>
      <c r="AG28" s="268"/>
      <c r="AH28" s="268"/>
      <c r="AI28" s="91"/>
      <c r="AJ28" s="392"/>
      <c r="AK28" s="375" t="str">
        <f>IF(R28&lt;&gt;"",R28,IF(J28,J28,""))</f>
        <v/>
      </c>
      <c r="AL28" s="375" t="str">
        <f t="shared" si="16"/>
        <v/>
      </c>
      <c r="AM28" s="378" t="str">
        <f t="shared" si="16"/>
        <v/>
      </c>
      <c r="AN28" s="375" t="str">
        <f>IF(COUNT(AK28:AM28)&gt;2,IF(AJ28&lt;&gt;"",IF(ISERROR(SEARCH("open",AJ28,1)),"Closed","Open"),"Open"),"")</f>
        <v/>
      </c>
      <c r="AO28" s="376"/>
      <c r="AP28" s="379" t="str">
        <f ca="1">IF(ISERROR(SMALL(#REF!,ROW()-2)),"",INDIRECT("'Control panel'!A" &amp; SMALL(#REF!,ROW()-2),1))</f>
        <v/>
      </c>
      <c r="AQ28" s="376"/>
      <c r="AR28" s="376"/>
      <c r="AS28" s="376"/>
      <c r="AT28" s="376"/>
      <c r="AU28" s="376"/>
    </row>
    <row r="29" spans="1:47" x14ac:dyDescent="0.2">
      <c r="A29" s="391"/>
      <c r="B29" s="268"/>
      <c r="C29" s="268"/>
      <c r="D29" s="268"/>
      <c r="E29" s="268"/>
      <c r="F29" s="358"/>
      <c r="G29" s="358"/>
      <c r="H29" s="358"/>
      <c r="I29" s="85"/>
      <c r="J29" s="85"/>
      <c r="K29" s="85"/>
      <c r="L29" s="85"/>
      <c r="M29" s="85"/>
      <c r="N29" s="85"/>
      <c r="O29" s="85"/>
      <c r="P29" s="6"/>
      <c r="Q29" s="6"/>
      <c r="R29" s="85"/>
      <c r="S29" s="85"/>
      <c r="T29" s="85"/>
      <c r="U29" s="85"/>
      <c r="V29" s="85"/>
      <c r="W29" s="85"/>
      <c r="X29" s="6"/>
      <c r="Y29" s="6"/>
      <c r="Z29" s="6"/>
      <c r="AA29" s="82"/>
      <c r="AB29" s="82"/>
      <c r="AC29" s="377"/>
      <c r="AD29" s="103"/>
      <c r="AE29" s="268"/>
      <c r="AF29" s="85"/>
      <c r="AG29" s="268"/>
      <c r="AH29" s="268"/>
      <c r="AI29" s="91"/>
      <c r="AJ29" s="392"/>
      <c r="AK29" s="375" t="str">
        <f>IF(R29&lt;&gt;"",R29,IF(J29,J29,""))</f>
        <v/>
      </c>
      <c r="AL29" s="375" t="str">
        <f t="shared" si="16"/>
        <v/>
      </c>
      <c r="AM29" s="378" t="str">
        <f t="shared" si="16"/>
        <v/>
      </c>
      <c r="AN29" s="375" t="str">
        <f>IF(COUNT(AK29:AM29)&gt;2,IF(AJ29&lt;&gt;"",IF(ISERROR(SEARCH("open",AJ29,1)),"Closed","Open"),"Open"),"")</f>
        <v/>
      </c>
      <c r="AO29" s="376"/>
      <c r="AP29" s="379" t="str">
        <f ca="1">IF(ISERROR(SMALL(#REF!,ROW()-2)),"",INDIRECT("'Control panel'!A" &amp; SMALL(#REF!,ROW()-2),1))</f>
        <v/>
      </c>
      <c r="AQ29" s="376"/>
      <c r="AR29" s="376"/>
      <c r="AS29" s="376"/>
      <c r="AT29" s="376"/>
      <c r="AU29" s="376"/>
    </row>
    <row r="30" spans="1:47" x14ac:dyDescent="0.2">
      <c r="A30" s="391"/>
      <c r="B30" s="268"/>
      <c r="C30" s="268"/>
      <c r="D30" s="268"/>
      <c r="E30" s="268"/>
      <c r="F30" s="358"/>
      <c r="G30" s="358"/>
      <c r="H30" s="358"/>
      <c r="I30" s="85"/>
      <c r="J30" s="85"/>
      <c r="K30" s="85"/>
      <c r="L30" s="85"/>
      <c r="M30" s="85"/>
      <c r="N30" s="85"/>
      <c r="O30" s="85"/>
      <c r="P30" s="6"/>
      <c r="Q30" s="6"/>
      <c r="R30" s="85"/>
      <c r="S30" s="85"/>
      <c r="T30" s="85"/>
      <c r="U30" s="85"/>
      <c r="V30" s="85"/>
      <c r="W30" s="85"/>
      <c r="X30" s="6"/>
      <c r="Y30" s="6"/>
      <c r="Z30" s="6"/>
      <c r="AA30" s="82"/>
      <c r="AB30" s="82"/>
      <c r="AC30" s="377"/>
      <c r="AD30" s="103"/>
      <c r="AE30" s="268"/>
      <c r="AF30" s="85"/>
      <c r="AG30" s="268"/>
      <c r="AH30" s="268"/>
      <c r="AI30" s="91"/>
      <c r="AJ30" s="392"/>
      <c r="AK30" s="375" t="str">
        <f>IF(R30&lt;&gt;"",R30,IF(J30,J30,""))</f>
        <v/>
      </c>
      <c r="AL30" s="375" t="str">
        <f t="shared" si="16"/>
        <v/>
      </c>
      <c r="AM30" s="378" t="str">
        <f t="shared" si="16"/>
        <v/>
      </c>
      <c r="AN30" s="375" t="str">
        <f>IF(COUNT(AK30:AM30)&gt;2,IF(AJ30&lt;&gt;"",IF(ISERROR(SEARCH("open",AJ30,1)),"Closed","Open"),"Open"),"")</f>
        <v/>
      </c>
      <c r="AO30" s="376"/>
      <c r="AP30" s="379" t="str">
        <f ca="1">IF(ISERROR(SMALL(#REF!,ROW()-2)),"",INDIRECT("'Control panel'!A" &amp; SMALL(#REF!,ROW()-2),1))</f>
        <v/>
      </c>
      <c r="AQ30" s="376"/>
      <c r="AR30" s="376"/>
      <c r="AS30" s="376"/>
      <c r="AT30" s="376"/>
      <c r="AU30" s="376"/>
    </row>
    <row r="31" spans="1:47" x14ac:dyDescent="0.2">
      <c r="A31" s="391"/>
      <c r="B31" s="268"/>
      <c r="C31" s="268"/>
      <c r="D31" s="268"/>
      <c r="E31" s="268"/>
      <c r="F31" s="358"/>
      <c r="G31" s="358"/>
      <c r="H31" s="358"/>
      <c r="I31" s="85"/>
      <c r="J31" s="85"/>
      <c r="K31" s="85"/>
      <c r="L31" s="85"/>
      <c r="M31" s="85"/>
      <c r="N31" s="85"/>
      <c r="O31" s="85"/>
      <c r="P31" s="6"/>
      <c r="Q31" s="6"/>
      <c r="R31" s="85"/>
      <c r="S31" s="85"/>
      <c r="T31" s="85"/>
      <c r="U31" s="85"/>
      <c r="V31" s="85"/>
      <c r="W31" s="85"/>
      <c r="X31" s="6"/>
      <c r="Y31" s="6"/>
      <c r="Z31" s="6"/>
      <c r="AA31" s="82"/>
      <c r="AB31" s="82"/>
      <c r="AC31" s="377"/>
      <c r="AD31" s="103"/>
      <c r="AE31" s="268"/>
      <c r="AF31" s="85"/>
      <c r="AG31" s="268"/>
      <c r="AH31" s="268"/>
      <c r="AI31" s="91"/>
      <c r="AJ31" s="392"/>
      <c r="AK31" s="375" t="str">
        <f t="shared" si="0"/>
        <v/>
      </c>
      <c r="AL31" s="375" t="str">
        <f t="shared" si="16"/>
        <v/>
      </c>
      <c r="AM31" s="378" t="str">
        <f t="shared" si="15"/>
        <v/>
      </c>
      <c r="AN31" s="375" t="str">
        <f t="shared" si="2"/>
        <v/>
      </c>
      <c r="AO31" s="376"/>
      <c r="AP31" s="379" t="str">
        <f ca="1">IF(ISERROR(SMALL(#REF!,ROW()-2)),"",INDIRECT("'Control panel'!A" &amp; SMALL(#REF!,ROW()-2),1))</f>
        <v/>
      </c>
      <c r="AQ31" s="376"/>
      <c r="AR31" s="376"/>
      <c r="AS31" s="376"/>
      <c r="AT31" s="376"/>
      <c r="AU31" s="376"/>
    </row>
    <row r="32" spans="1:47" x14ac:dyDescent="0.2">
      <c r="A32" s="391"/>
      <c r="B32" s="268"/>
      <c r="C32" s="268"/>
      <c r="D32" s="268"/>
      <c r="E32" s="268"/>
      <c r="F32" s="358"/>
      <c r="G32" s="358"/>
      <c r="H32" s="358"/>
      <c r="I32" s="85"/>
      <c r="J32" s="85"/>
      <c r="K32" s="85"/>
      <c r="L32" s="85"/>
      <c r="M32" s="85"/>
      <c r="N32" s="85"/>
      <c r="O32" s="85"/>
      <c r="P32" s="6"/>
      <c r="Q32" s="6"/>
      <c r="R32" s="85"/>
      <c r="S32" s="85"/>
      <c r="T32" s="85"/>
      <c r="U32" s="85"/>
      <c r="V32" s="85"/>
      <c r="W32" s="85"/>
      <c r="X32" s="6"/>
      <c r="Y32" s="6"/>
      <c r="Z32" s="6"/>
      <c r="AA32" s="82"/>
      <c r="AB32" s="82"/>
      <c r="AC32" s="377"/>
      <c r="AD32" s="103"/>
      <c r="AE32" s="268"/>
      <c r="AF32" s="85"/>
      <c r="AG32" s="268"/>
      <c r="AH32" s="268"/>
      <c r="AI32" s="91"/>
      <c r="AJ32" s="392"/>
      <c r="AK32" s="375" t="str">
        <f t="shared" si="0"/>
        <v/>
      </c>
      <c r="AL32" s="375" t="str">
        <f t="shared" si="16"/>
        <v/>
      </c>
      <c r="AM32" s="378" t="str">
        <f t="shared" si="15"/>
        <v/>
      </c>
      <c r="AN32" s="375" t="str">
        <f t="shared" si="2"/>
        <v/>
      </c>
      <c r="AO32" s="376"/>
      <c r="AP32" s="379" t="str">
        <f ca="1">IF(ISERROR(SMALL(#REF!,ROW()-2)),"",INDIRECT("'Control panel'!A" &amp; SMALL(#REF!,ROW()-2),1))</f>
        <v/>
      </c>
      <c r="AQ32" s="376"/>
      <c r="AR32" s="376"/>
      <c r="AS32" s="376"/>
      <c r="AT32" s="376"/>
      <c r="AU32" s="376"/>
    </row>
    <row r="33" spans="1:47" x14ac:dyDescent="0.2">
      <c r="A33" s="391"/>
      <c r="B33" s="268"/>
      <c r="C33" s="268"/>
      <c r="D33" s="268"/>
      <c r="E33" s="268"/>
      <c r="F33" s="358"/>
      <c r="G33" s="358"/>
      <c r="H33" s="358"/>
      <c r="I33" s="268"/>
      <c r="J33" s="85"/>
      <c r="K33" s="85"/>
      <c r="L33" s="85"/>
      <c r="M33" s="85"/>
      <c r="N33" s="85"/>
      <c r="O33" s="85"/>
      <c r="P33" s="6"/>
      <c r="Q33" s="6"/>
      <c r="R33" s="85"/>
      <c r="S33" s="85"/>
      <c r="T33" s="85"/>
      <c r="U33" s="85"/>
      <c r="V33" s="85"/>
      <c r="W33" s="85"/>
      <c r="X33" s="6"/>
      <c r="Y33" s="6"/>
      <c r="Z33" s="6"/>
      <c r="AA33" s="82"/>
      <c r="AB33" s="82"/>
      <c r="AC33" s="377"/>
      <c r="AD33" s="103"/>
      <c r="AE33" s="268"/>
      <c r="AF33" s="85"/>
      <c r="AG33" s="268"/>
      <c r="AH33" s="268"/>
      <c r="AI33" s="91"/>
      <c r="AJ33" s="392"/>
      <c r="AK33" s="375" t="str">
        <f t="shared" si="0"/>
        <v/>
      </c>
      <c r="AL33" s="375" t="str">
        <f t="shared" si="16"/>
        <v/>
      </c>
      <c r="AM33" s="378" t="str">
        <f t="shared" si="15"/>
        <v/>
      </c>
      <c r="AN33" s="375" t="str">
        <f t="shared" si="2"/>
        <v/>
      </c>
      <c r="AO33" s="376"/>
      <c r="AP33" s="379" t="str">
        <f ca="1">IF(ISERROR(SMALL(#REF!,ROW()-2)),"",INDIRECT("'Control panel'!A" &amp; SMALL(#REF!,ROW()-2),1))</f>
        <v/>
      </c>
      <c r="AQ33" s="376"/>
      <c r="AR33" s="376"/>
      <c r="AS33" s="376"/>
      <c r="AT33" s="376"/>
      <c r="AU33" s="376"/>
    </row>
    <row r="34" spans="1:47" x14ac:dyDescent="0.2">
      <c r="A34" s="391"/>
      <c r="B34" s="268"/>
      <c r="C34" s="268"/>
      <c r="D34" s="268"/>
      <c r="E34" s="268"/>
      <c r="F34" s="358"/>
      <c r="G34" s="358"/>
      <c r="H34" s="358"/>
      <c r="I34" s="268"/>
      <c r="J34" s="85"/>
      <c r="K34" s="85"/>
      <c r="L34" s="85"/>
      <c r="M34" s="85"/>
      <c r="N34" s="85"/>
      <c r="O34" s="85"/>
      <c r="P34" s="6"/>
      <c r="Q34" s="6"/>
      <c r="R34" s="85"/>
      <c r="S34" s="85"/>
      <c r="T34" s="85"/>
      <c r="U34" s="85"/>
      <c r="V34" s="85"/>
      <c r="W34" s="85"/>
      <c r="X34" s="6"/>
      <c r="Y34" s="6"/>
      <c r="Z34" s="6"/>
      <c r="AA34" s="82"/>
      <c r="AB34" s="82"/>
      <c r="AC34" s="377"/>
      <c r="AD34" s="103"/>
      <c r="AE34" s="268"/>
      <c r="AF34" s="85"/>
      <c r="AG34" s="268"/>
      <c r="AH34" s="268"/>
      <c r="AI34" s="91"/>
      <c r="AJ34" s="38"/>
      <c r="AK34" s="375" t="str">
        <f>IF(R34&lt;&gt;"",R34,IF(J34,J34,""))</f>
        <v/>
      </c>
      <c r="AL34" s="375" t="str">
        <f>IF(X34&lt;&gt;"",X34,IF(P34=1,P34,""))</f>
        <v/>
      </c>
      <c r="AM34" s="378" t="str">
        <f>IF(Y34&lt;&gt;"",Y34,IF(Q34=1,Q34,""))</f>
        <v/>
      </c>
      <c r="AN34" s="375" t="str">
        <f>IF(COUNT(AK34:AM34)&gt;2,IF(AJ34&lt;&gt;"",IF(ISERROR(SEARCH("open",AJ34,1)),"Closed","Open"),"Open"),"")</f>
        <v/>
      </c>
      <c r="AO34" s="376"/>
      <c r="AP34" s="379" t="str">
        <f ca="1">IF(ISERROR(SMALL(#REF!,ROW()-2)),"",INDIRECT("'Control panel'!A" &amp; SMALL(#REF!,ROW()-2),1))</f>
        <v/>
      </c>
      <c r="AQ34" s="376"/>
      <c r="AR34" s="376"/>
      <c r="AS34" s="376"/>
      <c r="AT34" s="376"/>
      <c r="AU34" s="376"/>
    </row>
    <row r="35" spans="1:47" x14ac:dyDescent="0.2">
      <c r="A35" s="391"/>
      <c r="B35" s="268"/>
      <c r="C35" s="268"/>
      <c r="D35" s="268"/>
      <c r="E35" s="268"/>
      <c r="F35" s="358"/>
      <c r="G35" s="358"/>
      <c r="H35" s="358"/>
      <c r="I35" s="268"/>
      <c r="J35" s="85"/>
      <c r="K35" s="85"/>
      <c r="L35" s="85"/>
      <c r="M35" s="85"/>
      <c r="N35" s="85"/>
      <c r="O35" s="85"/>
      <c r="P35" s="6"/>
      <c r="Q35" s="6"/>
      <c r="R35" s="85"/>
      <c r="S35" s="85"/>
      <c r="T35" s="85"/>
      <c r="U35" s="85"/>
      <c r="V35" s="85"/>
      <c r="W35" s="85"/>
      <c r="X35" s="6"/>
      <c r="Y35" s="6"/>
      <c r="Z35" s="6"/>
      <c r="AA35" s="82"/>
      <c r="AB35" s="82"/>
      <c r="AC35" s="377"/>
      <c r="AD35" s="103"/>
      <c r="AE35" s="268"/>
      <c r="AF35" s="85"/>
      <c r="AG35" s="268"/>
      <c r="AH35" s="268"/>
      <c r="AI35" s="91"/>
      <c r="AJ35" s="38"/>
      <c r="AK35" s="375" t="str">
        <f>IF(R35&lt;&gt;"",R35,IF(J35,J35,""))</f>
        <v/>
      </c>
      <c r="AL35" s="375" t="str">
        <f>IF(X35&lt;&gt;"",X35,IF(P35=1,P35,""))</f>
        <v/>
      </c>
      <c r="AM35" s="378" t="str">
        <f>IF(Y35&lt;&gt;"",Y35,IF(Q35=1,Q35,""))</f>
        <v/>
      </c>
      <c r="AN35" s="375" t="str">
        <f>IF(COUNT(AK35:AM35)&gt;2,IF(AJ35&lt;&gt;"",IF(ISERROR(SEARCH("open",AJ35,1)),"Closed","Open"),"Open"),"")</f>
        <v/>
      </c>
      <c r="AO35" s="376"/>
      <c r="AP35" s="379" t="str">
        <f ca="1">IF(ISERROR(SMALL(#REF!,ROW()-2)),"",INDIRECT("'Control panel'!A" &amp; SMALL(#REF!,ROW()-2),1))</f>
        <v/>
      </c>
      <c r="AQ35" s="376"/>
      <c r="AR35" s="376"/>
      <c r="AS35" s="376"/>
      <c r="AT35" s="376"/>
      <c r="AU35" s="376"/>
    </row>
    <row r="36" spans="1:47" x14ac:dyDescent="0.2">
      <c r="A36" s="391"/>
      <c r="B36" s="268"/>
      <c r="C36" s="268"/>
      <c r="D36" s="268"/>
      <c r="E36" s="268"/>
      <c r="F36" s="358"/>
      <c r="G36" s="358"/>
      <c r="H36" s="358"/>
      <c r="I36" s="85"/>
      <c r="J36" s="85"/>
      <c r="K36" s="85"/>
      <c r="L36" s="85"/>
      <c r="M36" s="85"/>
      <c r="N36" s="85"/>
      <c r="O36" s="85"/>
      <c r="P36" s="6"/>
      <c r="Q36" s="6"/>
      <c r="R36" s="85"/>
      <c r="S36" s="85"/>
      <c r="T36" s="85"/>
      <c r="U36" s="85"/>
      <c r="V36" s="85"/>
      <c r="W36" s="85"/>
      <c r="X36" s="6"/>
      <c r="Y36" s="6"/>
      <c r="Z36" s="6"/>
      <c r="AA36" s="82"/>
      <c r="AB36" s="82"/>
      <c r="AC36" s="377"/>
      <c r="AD36" s="103"/>
      <c r="AE36" s="268"/>
      <c r="AF36" s="85"/>
      <c r="AG36" s="268"/>
      <c r="AH36" s="268"/>
      <c r="AI36" s="91"/>
      <c r="AJ36" s="392"/>
      <c r="AK36" s="375" t="str">
        <f t="shared" si="0"/>
        <v/>
      </c>
      <c r="AL36" s="375" t="str">
        <f t="shared" si="16"/>
        <v/>
      </c>
      <c r="AM36" s="378" t="str">
        <f t="shared" si="16"/>
        <v/>
      </c>
      <c r="AN36" s="375" t="str">
        <f t="shared" si="2"/>
        <v/>
      </c>
      <c r="AO36" s="376"/>
      <c r="AP36" s="379" t="str">
        <f ca="1">IF(ISERROR(SMALL(#REF!,ROW()-2)),"",INDIRECT("'Control panel'!A" &amp; SMALL(#REF!,ROW()-2),1))</f>
        <v/>
      </c>
      <c r="AQ36" s="376"/>
      <c r="AR36" s="376"/>
      <c r="AS36" s="376"/>
      <c r="AT36" s="376"/>
      <c r="AU36" s="376"/>
    </row>
    <row r="37" spans="1:47" x14ac:dyDescent="0.2">
      <c r="A37" s="391"/>
      <c r="B37" s="268"/>
      <c r="C37" s="268"/>
      <c r="D37" s="268"/>
      <c r="E37" s="268"/>
      <c r="F37" s="358"/>
      <c r="G37" s="358"/>
      <c r="H37" s="358"/>
      <c r="I37" s="268"/>
      <c r="J37" s="85"/>
      <c r="K37" s="85"/>
      <c r="L37" s="85"/>
      <c r="M37" s="85"/>
      <c r="N37" s="85"/>
      <c r="O37" s="85"/>
      <c r="P37" s="6"/>
      <c r="Q37" s="6"/>
      <c r="R37" s="85"/>
      <c r="S37" s="85"/>
      <c r="T37" s="85"/>
      <c r="U37" s="85"/>
      <c r="V37" s="85"/>
      <c r="W37" s="85"/>
      <c r="X37" s="6"/>
      <c r="Y37" s="6"/>
      <c r="Z37" s="6"/>
      <c r="AA37" s="82"/>
      <c r="AB37" s="82"/>
      <c r="AC37" s="377"/>
      <c r="AD37" s="103"/>
      <c r="AE37" s="268"/>
      <c r="AF37" s="85"/>
      <c r="AG37" s="268"/>
      <c r="AH37" s="268"/>
      <c r="AI37" s="91"/>
      <c r="AJ37" s="392"/>
      <c r="AK37" s="375" t="str">
        <f t="shared" si="0"/>
        <v/>
      </c>
      <c r="AL37" s="375" t="str">
        <f t="shared" si="16"/>
        <v/>
      </c>
      <c r="AM37" s="378" t="str">
        <f t="shared" si="16"/>
        <v/>
      </c>
      <c r="AN37" s="375" t="str">
        <f t="shared" si="2"/>
        <v/>
      </c>
      <c r="AO37" s="376"/>
      <c r="AP37" s="379" t="str">
        <f ca="1">IF(ISERROR(SMALL(#REF!,ROW()-2)),"",INDIRECT("'Control panel'!A" &amp; SMALL(#REF!,ROW()-2),1))</f>
        <v/>
      </c>
      <c r="AQ37" s="376"/>
      <c r="AR37" s="376"/>
      <c r="AS37" s="376"/>
      <c r="AT37" s="376"/>
      <c r="AU37" s="376"/>
    </row>
    <row r="38" spans="1:47" x14ac:dyDescent="0.2">
      <c r="A38" s="391"/>
      <c r="B38" s="268"/>
      <c r="C38" s="268"/>
      <c r="D38" s="268"/>
      <c r="E38" s="268"/>
      <c r="F38" s="358"/>
      <c r="G38" s="358"/>
      <c r="H38" s="358"/>
      <c r="I38" s="268"/>
      <c r="J38" s="85"/>
      <c r="K38" s="85"/>
      <c r="L38" s="85"/>
      <c r="M38" s="85"/>
      <c r="N38" s="85"/>
      <c r="O38" s="85"/>
      <c r="P38" s="6"/>
      <c r="Q38" s="6"/>
      <c r="R38" s="85"/>
      <c r="S38" s="85"/>
      <c r="T38" s="85"/>
      <c r="U38" s="85"/>
      <c r="V38" s="85"/>
      <c r="W38" s="85"/>
      <c r="X38" s="6"/>
      <c r="Y38" s="6"/>
      <c r="Z38" s="6"/>
      <c r="AA38" s="82"/>
      <c r="AB38" s="82"/>
      <c r="AC38" s="377"/>
      <c r="AD38" s="103"/>
      <c r="AE38" s="268"/>
      <c r="AF38" s="85"/>
      <c r="AG38" s="268"/>
      <c r="AH38" s="268"/>
      <c r="AI38" s="91"/>
      <c r="AJ38" s="38"/>
      <c r="AK38" s="375" t="str">
        <f t="shared" si="0"/>
        <v/>
      </c>
      <c r="AL38" s="375" t="str">
        <f t="shared" si="16"/>
        <v/>
      </c>
      <c r="AM38" s="378" t="str">
        <f t="shared" si="16"/>
        <v/>
      </c>
      <c r="AN38" s="375" t="str">
        <f t="shared" si="2"/>
        <v/>
      </c>
      <c r="AO38" s="376"/>
      <c r="AP38" s="379" t="str">
        <f ca="1">IF(ISERROR(SMALL(#REF!,ROW()-2)),"",INDIRECT("'Control panel'!A" &amp; SMALL(#REF!,ROW()-2),1))</f>
        <v/>
      </c>
      <c r="AQ38" s="376"/>
      <c r="AR38" s="376"/>
      <c r="AS38" s="376"/>
      <c r="AT38" s="376"/>
      <c r="AU38" s="376"/>
    </row>
    <row r="39" spans="1:47" x14ac:dyDescent="0.2">
      <c r="A39" s="391"/>
      <c r="B39" s="268"/>
      <c r="C39" s="268"/>
      <c r="D39" s="268"/>
      <c r="E39" s="268"/>
      <c r="F39" s="358"/>
      <c r="G39" s="358"/>
      <c r="H39" s="358"/>
      <c r="I39" s="268"/>
      <c r="J39" s="85"/>
      <c r="K39" s="85"/>
      <c r="L39" s="85"/>
      <c r="M39" s="85"/>
      <c r="N39" s="85"/>
      <c r="O39" s="85"/>
      <c r="P39" s="6"/>
      <c r="Q39" s="6"/>
      <c r="R39" s="85"/>
      <c r="S39" s="85"/>
      <c r="T39" s="85"/>
      <c r="U39" s="85"/>
      <c r="V39" s="85"/>
      <c r="W39" s="85"/>
      <c r="X39" s="6"/>
      <c r="Y39" s="6"/>
      <c r="Z39" s="6"/>
      <c r="AA39" s="82"/>
      <c r="AB39" s="82"/>
      <c r="AC39" s="377"/>
      <c r="AD39" s="103"/>
      <c r="AE39" s="268"/>
      <c r="AF39" s="85"/>
      <c r="AG39" s="268"/>
      <c r="AH39" s="268"/>
      <c r="AI39" s="91"/>
      <c r="AJ39" s="392"/>
      <c r="AK39" s="375" t="str">
        <f t="shared" si="0"/>
        <v/>
      </c>
      <c r="AL39" s="375" t="str">
        <f t="shared" si="16"/>
        <v/>
      </c>
      <c r="AM39" s="378" t="str">
        <f t="shared" si="16"/>
        <v/>
      </c>
      <c r="AN39" s="375" t="str">
        <f t="shared" si="2"/>
        <v/>
      </c>
      <c r="AO39" s="376"/>
      <c r="AP39" s="379" t="str">
        <f ca="1">IF(ISERROR(SMALL(#REF!,ROW()-2)),"",INDIRECT("'Control panel'!A" &amp; SMALL(#REF!,ROW()-2),1))</f>
        <v/>
      </c>
      <c r="AQ39" s="376"/>
      <c r="AR39" s="376"/>
      <c r="AS39" s="376"/>
      <c r="AT39" s="376"/>
      <c r="AU39" s="376"/>
    </row>
    <row r="40" spans="1:47" x14ac:dyDescent="0.2">
      <c r="A40" s="391"/>
      <c r="B40" s="268"/>
      <c r="C40" s="268"/>
      <c r="D40" s="268"/>
      <c r="E40" s="268"/>
      <c r="F40" s="358"/>
      <c r="G40" s="358"/>
      <c r="H40" s="358"/>
      <c r="I40" s="268"/>
      <c r="J40" s="85"/>
      <c r="K40" s="85"/>
      <c r="L40" s="85"/>
      <c r="M40" s="85"/>
      <c r="N40" s="85"/>
      <c r="O40" s="85"/>
      <c r="P40" s="6"/>
      <c r="Q40" s="6"/>
      <c r="R40" s="85"/>
      <c r="S40" s="85"/>
      <c r="T40" s="85"/>
      <c r="U40" s="85"/>
      <c r="V40" s="85"/>
      <c r="W40" s="85"/>
      <c r="X40" s="6"/>
      <c r="Y40" s="6"/>
      <c r="Z40" s="6"/>
      <c r="AA40" s="82"/>
      <c r="AB40" s="82"/>
      <c r="AC40" s="377"/>
      <c r="AD40" s="103"/>
      <c r="AE40" s="268"/>
      <c r="AF40" s="85"/>
      <c r="AG40" s="268"/>
      <c r="AH40" s="268"/>
      <c r="AI40" s="91"/>
      <c r="AJ40" s="38"/>
      <c r="AK40" s="375" t="str">
        <f t="shared" si="0"/>
        <v/>
      </c>
      <c r="AL40" s="375" t="str">
        <f t="shared" si="16"/>
        <v/>
      </c>
      <c r="AM40" s="378" t="str">
        <f t="shared" si="16"/>
        <v/>
      </c>
      <c r="AN40" s="375" t="str">
        <f t="shared" si="2"/>
        <v/>
      </c>
      <c r="AO40" s="376"/>
      <c r="AP40" s="379" t="str">
        <f ca="1">IF(ISERROR(SMALL(#REF!,ROW()-2)),"",INDIRECT("'Control panel'!A" &amp; SMALL(#REF!,ROW()-2),1))</f>
        <v/>
      </c>
      <c r="AQ40" s="376"/>
      <c r="AR40" s="376"/>
      <c r="AS40" s="376"/>
      <c r="AT40" s="376"/>
      <c r="AU40" s="376"/>
    </row>
    <row r="41" spans="1:47" x14ac:dyDescent="0.2">
      <c r="A41" s="391"/>
      <c r="B41" s="268"/>
      <c r="C41" s="268"/>
      <c r="D41" s="268"/>
      <c r="E41" s="268"/>
      <c r="F41" s="358"/>
      <c r="G41" s="358"/>
      <c r="H41" s="358"/>
      <c r="I41" s="268"/>
      <c r="J41" s="85"/>
      <c r="K41" s="85"/>
      <c r="L41" s="85"/>
      <c r="M41" s="85"/>
      <c r="N41" s="85"/>
      <c r="O41" s="85"/>
      <c r="P41" s="6"/>
      <c r="Q41" s="6"/>
      <c r="R41" s="85"/>
      <c r="S41" s="85"/>
      <c r="T41" s="85"/>
      <c r="U41" s="85"/>
      <c r="V41" s="85"/>
      <c r="W41" s="85"/>
      <c r="X41" s="6"/>
      <c r="Y41" s="6"/>
      <c r="Z41" s="6"/>
      <c r="AA41" s="82"/>
      <c r="AB41" s="82"/>
      <c r="AC41" s="377"/>
      <c r="AD41" s="103"/>
      <c r="AE41" s="268"/>
      <c r="AF41" s="85"/>
      <c r="AG41" s="268"/>
      <c r="AH41" s="268"/>
      <c r="AI41" s="91"/>
      <c r="AJ41" s="38"/>
      <c r="AK41" s="375" t="str">
        <f t="shared" si="0"/>
        <v/>
      </c>
      <c r="AL41" s="375" t="str">
        <f t="shared" si="16"/>
        <v/>
      </c>
      <c r="AM41" s="378" t="str">
        <f t="shared" si="16"/>
        <v/>
      </c>
      <c r="AN41" s="375" t="str">
        <f t="shared" si="2"/>
        <v/>
      </c>
      <c r="AO41" s="376"/>
      <c r="AP41" s="379" t="str">
        <f ca="1">IF(ISERROR(SMALL(#REF!,ROW()-2)),"",INDIRECT("'Control panel'!A" &amp; SMALL(#REF!,ROW()-2),1))</f>
        <v/>
      </c>
      <c r="AQ41" s="376"/>
      <c r="AR41" s="376"/>
      <c r="AS41" s="376"/>
      <c r="AT41" s="376"/>
      <c r="AU41" s="376"/>
    </row>
    <row r="42" spans="1:47" x14ac:dyDescent="0.2">
      <c r="A42" s="391"/>
      <c r="B42" s="268"/>
      <c r="C42" s="268"/>
      <c r="D42" s="268"/>
      <c r="E42" s="268"/>
      <c r="F42" s="358"/>
      <c r="G42" s="358"/>
      <c r="H42" s="358"/>
      <c r="I42" s="85"/>
      <c r="J42" s="85"/>
      <c r="K42" s="85"/>
      <c r="L42" s="85"/>
      <c r="M42" s="85"/>
      <c r="N42" s="85"/>
      <c r="O42" s="85"/>
      <c r="P42" s="6"/>
      <c r="Q42" s="6"/>
      <c r="R42" s="85"/>
      <c r="S42" s="85"/>
      <c r="T42" s="85"/>
      <c r="U42" s="85"/>
      <c r="V42" s="85"/>
      <c r="W42" s="85"/>
      <c r="X42" s="6"/>
      <c r="Y42" s="6"/>
      <c r="Z42" s="6"/>
      <c r="AA42" s="82"/>
      <c r="AB42" s="82"/>
      <c r="AC42" s="377"/>
      <c r="AD42" s="103"/>
      <c r="AE42" s="268"/>
      <c r="AF42" s="85"/>
      <c r="AG42" s="268"/>
      <c r="AH42" s="268"/>
      <c r="AI42" s="91"/>
      <c r="AJ42" s="392"/>
      <c r="AK42" s="375" t="str">
        <f>IF(R42&lt;&gt;"",R42,IF(J42,J42,""))</f>
        <v/>
      </c>
      <c r="AL42" s="375" t="str">
        <f t="shared" si="16"/>
        <v/>
      </c>
      <c r="AM42" s="378" t="str">
        <f t="shared" si="16"/>
        <v/>
      </c>
      <c r="AN42" s="375" t="str">
        <f>IF(COUNT(AK42:AM42)&gt;2,IF(AJ42&lt;&gt;"",IF(ISERROR(SEARCH("open",AJ42,1)),"Closed","Open"),"Open"),"")</f>
        <v/>
      </c>
      <c r="AO42" s="376"/>
      <c r="AP42" s="379" t="str">
        <f ca="1">IF(ISERROR(SMALL(#REF!,ROW()-2)),"",INDIRECT("'Control panel'!A" &amp; SMALL(#REF!,ROW()-2),1))</f>
        <v/>
      </c>
      <c r="AQ42" s="376"/>
      <c r="AR42" s="376"/>
      <c r="AS42" s="376"/>
      <c r="AT42" s="376"/>
      <c r="AU42" s="376"/>
    </row>
    <row r="43" spans="1:47" x14ac:dyDescent="0.2">
      <c r="A43" s="391"/>
      <c r="B43" s="268"/>
      <c r="C43" s="268"/>
      <c r="D43" s="268"/>
      <c r="E43" s="268"/>
      <c r="F43" s="358"/>
      <c r="G43" s="358"/>
      <c r="H43" s="358"/>
      <c r="I43" s="268"/>
      <c r="J43" s="85"/>
      <c r="K43" s="85"/>
      <c r="L43" s="85"/>
      <c r="M43" s="85"/>
      <c r="N43" s="85"/>
      <c r="O43" s="85"/>
      <c r="P43" s="6"/>
      <c r="Q43" s="6"/>
      <c r="R43" s="85"/>
      <c r="S43" s="85"/>
      <c r="T43" s="85"/>
      <c r="U43" s="85"/>
      <c r="V43" s="85"/>
      <c r="W43" s="85"/>
      <c r="X43" s="6"/>
      <c r="Y43" s="6"/>
      <c r="Z43" s="6"/>
      <c r="AA43" s="82"/>
      <c r="AB43" s="82"/>
      <c r="AC43" s="377"/>
      <c r="AD43" s="103"/>
      <c r="AE43" s="268"/>
      <c r="AF43" s="85"/>
      <c r="AG43" s="268"/>
      <c r="AH43" s="268"/>
      <c r="AI43" s="91"/>
      <c r="AJ43" s="38"/>
      <c r="AK43" s="375" t="str">
        <f t="shared" si="0"/>
        <v/>
      </c>
      <c r="AL43" s="375" t="str">
        <f t="shared" ref="AL43:AM49" si="17">IF(X43&lt;&gt;"",X43,IF(P43=1,P43,""))</f>
        <v/>
      </c>
      <c r="AM43" s="378" t="str">
        <f t="shared" si="17"/>
        <v/>
      </c>
      <c r="AN43" s="375" t="str">
        <f t="shared" si="2"/>
        <v/>
      </c>
      <c r="AO43" s="376"/>
      <c r="AP43" s="379" t="str">
        <f ca="1">IF(ISERROR(SMALL(#REF!,ROW()-2)),"",INDIRECT("'Control panel'!A" &amp; SMALL(#REF!,ROW()-2),1))</f>
        <v/>
      </c>
      <c r="AQ43" s="376"/>
      <c r="AR43" s="376"/>
      <c r="AS43" s="376"/>
      <c r="AT43" s="376"/>
      <c r="AU43" s="376"/>
    </row>
    <row r="44" spans="1:47" x14ac:dyDescent="0.2">
      <c r="A44" s="391"/>
      <c r="B44" s="268"/>
      <c r="C44" s="268"/>
      <c r="D44" s="268"/>
      <c r="E44" s="268"/>
      <c r="F44" s="185"/>
      <c r="G44" s="358"/>
      <c r="H44" s="358"/>
      <c r="I44" s="85"/>
      <c r="J44" s="85"/>
      <c r="K44" s="85"/>
      <c r="L44" s="85"/>
      <c r="M44" s="85"/>
      <c r="N44" s="85"/>
      <c r="O44" s="85"/>
      <c r="P44" s="6"/>
      <c r="Q44" s="6"/>
      <c r="R44" s="85"/>
      <c r="S44" s="85"/>
      <c r="T44" s="85"/>
      <c r="U44" s="85"/>
      <c r="V44" s="85"/>
      <c r="W44" s="85"/>
      <c r="X44" s="6"/>
      <c r="Y44" s="6"/>
      <c r="Z44" s="6"/>
      <c r="AA44" s="82"/>
      <c r="AB44" s="82"/>
      <c r="AC44" s="377"/>
      <c r="AD44" s="103"/>
      <c r="AE44" s="85"/>
      <c r="AF44" s="268"/>
      <c r="AG44" s="268"/>
      <c r="AH44" s="85"/>
      <c r="AI44" s="91"/>
      <c r="AJ44" s="392"/>
      <c r="AK44" s="10" t="str">
        <f t="shared" si="0"/>
        <v/>
      </c>
      <c r="AL44" s="10" t="str">
        <f t="shared" si="17"/>
        <v/>
      </c>
      <c r="AM44" s="35" t="str">
        <f t="shared" si="17"/>
        <v/>
      </c>
      <c r="AN44" s="10" t="str">
        <f t="shared" si="2"/>
        <v/>
      </c>
      <c r="AP44" s="8" t="str">
        <f ca="1">IF(ISERROR(SMALL(#REF!,ROW()-2)),"",INDIRECT("'Control panel'!A" &amp; SMALL(#REF!,ROW()-2),1))</f>
        <v/>
      </c>
    </row>
    <row r="45" spans="1:47" x14ac:dyDescent="0.2">
      <c r="A45" s="391"/>
      <c r="B45" s="268"/>
      <c r="C45" s="268"/>
      <c r="D45" s="268"/>
      <c r="E45" s="268"/>
      <c r="F45" s="358"/>
      <c r="G45" s="358"/>
      <c r="H45" s="358"/>
      <c r="I45" s="85"/>
      <c r="J45" s="85"/>
      <c r="K45" s="85"/>
      <c r="L45" s="85"/>
      <c r="M45" s="85"/>
      <c r="N45" s="85"/>
      <c r="O45" s="85"/>
      <c r="P45" s="6"/>
      <c r="Q45" s="6"/>
      <c r="R45" s="85"/>
      <c r="S45" s="85"/>
      <c r="T45" s="85"/>
      <c r="U45" s="85"/>
      <c r="V45" s="85"/>
      <c r="W45" s="85"/>
      <c r="X45" s="6"/>
      <c r="Y45" s="6"/>
      <c r="Z45" s="6"/>
      <c r="AA45" s="82"/>
      <c r="AB45" s="82"/>
      <c r="AC45" s="377"/>
      <c r="AD45" s="103"/>
      <c r="AE45" s="268"/>
      <c r="AF45" s="85"/>
      <c r="AG45" s="268"/>
      <c r="AH45" s="85"/>
      <c r="AI45" s="91"/>
      <c r="AJ45" s="392"/>
      <c r="AK45" s="10" t="str">
        <f t="shared" si="0"/>
        <v/>
      </c>
      <c r="AL45" s="10" t="str">
        <f t="shared" si="17"/>
        <v/>
      </c>
      <c r="AM45" s="35" t="str">
        <f t="shared" si="17"/>
        <v/>
      </c>
      <c r="AN45" s="10" t="str">
        <f t="shared" si="2"/>
        <v/>
      </c>
      <c r="AP45" s="8" t="str">
        <f ca="1">IF(ISERROR(SMALL(#REF!,ROW()-2)),"",INDIRECT("'Control panel'!A" &amp; SMALL(#REF!,ROW()-2),1))</f>
        <v/>
      </c>
    </row>
    <row r="46" spans="1:47" ht="147" customHeight="1" x14ac:dyDescent="0.2">
      <c r="A46" s="391"/>
      <c r="B46" s="268"/>
      <c r="C46" s="268"/>
      <c r="D46" s="268"/>
      <c r="E46" s="268"/>
      <c r="F46" s="358"/>
      <c r="G46" s="358"/>
      <c r="H46" s="358"/>
      <c r="I46" s="85"/>
      <c r="J46" s="85"/>
      <c r="K46" s="85"/>
      <c r="L46" s="85"/>
      <c r="M46" s="85"/>
      <c r="N46" s="85"/>
      <c r="O46" s="85"/>
      <c r="P46" s="6" t="str">
        <f t="shared" ref="P4:P67" si="18">IF(COUNT(K46:O46)&gt;0,AVERAGE(K46:O46),"")</f>
        <v/>
      </c>
      <c r="Q46" s="6" t="str">
        <f t="shared" ref="Q46:Q61" si="19">IF(P46&lt;&gt;"",IF(J46&lt;&gt;"",P46*J46,"Probability?"),"")</f>
        <v/>
      </c>
      <c r="R46" s="85"/>
      <c r="S46" s="85"/>
      <c r="T46" s="85"/>
      <c r="U46" s="85"/>
      <c r="V46" s="85"/>
      <c r="W46" s="85"/>
      <c r="X46" s="6" t="str">
        <f t="shared" ref="X4:X67" si="20">IF(COUNT(S46:W46)&gt;0,AVERAGE(S46:W46),"")</f>
        <v/>
      </c>
      <c r="Y46" s="6" t="str">
        <f t="shared" ref="Y46:Y72" si="21">IF(X46&lt;&gt;"",IF(R46&lt;&gt;"",X46*R46,"Probability?"),"")</f>
        <v/>
      </c>
      <c r="Z46" s="6"/>
      <c r="AA46" s="82"/>
      <c r="AB46" s="82"/>
      <c r="AC46" s="377" t="str">
        <f t="shared" ref="AC46" si="22">IF(AA46&lt;&gt;"",IF(AB46&lt;&gt;"",AB46/AA46,""),"")</f>
        <v/>
      </c>
      <c r="AD46" s="103"/>
      <c r="AE46" s="268"/>
      <c r="AF46" s="268"/>
      <c r="AG46" s="268"/>
      <c r="AH46" s="85"/>
      <c r="AI46" s="91"/>
      <c r="AJ46" s="38"/>
      <c r="AK46" s="10" t="str">
        <f t="shared" si="0"/>
        <v/>
      </c>
      <c r="AL46" s="10" t="str">
        <f t="shared" si="17"/>
        <v/>
      </c>
      <c r="AM46" s="35" t="str">
        <f t="shared" si="17"/>
        <v/>
      </c>
      <c r="AN46" s="10" t="str">
        <f t="shared" si="2"/>
        <v/>
      </c>
      <c r="AP46" s="8" t="str">
        <f ca="1">IF(ISERROR(SMALL(#REF!,ROW()-2)),"",INDIRECT("'Control panel'!A" &amp; SMALL(#REF!,ROW()-2),1))</f>
        <v/>
      </c>
    </row>
    <row r="47" spans="1:47" ht="147" customHeight="1" x14ac:dyDescent="0.2">
      <c r="A47" s="391"/>
      <c r="B47" s="268"/>
      <c r="C47" s="268"/>
      <c r="D47" s="268"/>
      <c r="E47" s="268"/>
      <c r="F47" s="358"/>
      <c r="G47" s="358"/>
      <c r="H47" s="358"/>
      <c r="I47" s="268"/>
      <c r="J47" s="85"/>
      <c r="K47" s="85"/>
      <c r="L47" s="85"/>
      <c r="M47" s="85"/>
      <c r="N47" s="85"/>
      <c r="O47" s="85"/>
      <c r="P47" s="6" t="str">
        <f t="shared" si="18"/>
        <v/>
      </c>
      <c r="Q47" s="6" t="str">
        <f t="shared" si="19"/>
        <v/>
      </c>
      <c r="R47" s="85"/>
      <c r="S47" s="85"/>
      <c r="T47" s="85"/>
      <c r="U47" s="85"/>
      <c r="V47" s="85"/>
      <c r="W47" s="85"/>
      <c r="X47" s="6" t="str">
        <f t="shared" si="20"/>
        <v/>
      </c>
      <c r="Y47" s="6" t="str">
        <f t="shared" si="21"/>
        <v/>
      </c>
      <c r="Z47" s="6"/>
      <c r="AA47" s="82"/>
      <c r="AB47" s="82"/>
      <c r="AC47" s="377"/>
      <c r="AD47" s="103"/>
      <c r="AE47" s="268"/>
      <c r="AF47" s="268"/>
      <c r="AG47" s="268"/>
      <c r="AH47" s="268"/>
      <c r="AI47" s="91"/>
      <c r="AJ47" s="38"/>
      <c r="AK47" s="10" t="str">
        <f t="shared" si="0"/>
        <v/>
      </c>
      <c r="AL47" s="10" t="str">
        <f t="shared" si="17"/>
        <v/>
      </c>
      <c r="AM47" s="35" t="str">
        <f t="shared" si="17"/>
        <v/>
      </c>
      <c r="AN47" s="10" t="str">
        <f t="shared" si="2"/>
        <v/>
      </c>
    </row>
    <row r="48" spans="1:47" ht="145.5" customHeight="1" x14ac:dyDescent="0.2">
      <c r="A48" s="391"/>
      <c r="B48" s="268"/>
      <c r="C48" s="268"/>
      <c r="D48" s="268"/>
      <c r="E48" s="268"/>
      <c r="F48" s="380"/>
      <c r="G48" s="358"/>
      <c r="H48" s="358"/>
      <c r="I48" s="85"/>
      <c r="J48" s="85"/>
      <c r="K48" s="85"/>
      <c r="L48" s="85"/>
      <c r="M48" s="85"/>
      <c r="N48" s="85"/>
      <c r="O48" s="85"/>
      <c r="P48" s="6" t="str">
        <f t="shared" si="18"/>
        <v/>
      </c>
      <c r="Q48" s="6" t="str">
        <f t="shared" si="19"/>
        <v/>
      </c>
      <c r="R48" s="85"/>
      <c r="S48" s="85"/>
      <c r="T48" s="85"/>
      <c r="U48" s="85"/>
      <c r="V48" s="85"/>
      <c r="W48" s="85"/>
      <c r="X48" s="6" t="str">
        <f t="shared" si="20"/>
        <v/>
      </c>
      <c r="Y48" s="6" t="str">
        <f t="shared" si="21"/>
        <v/>
      </c>
      <c r="Z48" s="6"/>
      <c r="AA48" s="82"/>
      <c r="AB48" s="82"/>
      <c r="AC48" s="377"/>
      <c r="AD48" s="103"/>
      <c r="AE48" s="268"/>
      <c r="AF48" s="268"/>
      <c r="AG48" s="268"/>
      <c r="AH48" s="85"/>
      <c r="AI48" s="91"/>
      <c r="AJ48" s="38"/>
      <c r="AK48" s="10" t="str">
        <f t="shared" si="0"/>
        <v/>
      </c>
      <c r="AL48" s="10" t="str">
        <f t="shared" si="17"/>
        <v/>
      </c>
      <c r="AM48" s="35" t="str">
        <f t="shared" si="17"/>
        <v/>
      </c>
      <c r="AN48" s="10" t="str">
        <f t="shared" si="2"/>
        <v/>
      </c>
      <c r="AP48" s="8" t="str">
        <f ca="1">IF(ISERROR(SMALL(#REF!,ROW()-2)),"",INDIRECT("'Control panel'!A" &amp; SMALL(#REF!,ROW()-2),1))</f>
        <v/>
      </c>
    </row>
    <row r="49" spans="1:40" ht="150" customHeight="1" x14ac:dyDescent="0.2">
      <c r="A49" s="391"/>
      <c r="B49" s="268"/>
      <c r="C49" s="268"/>
      <c r="D49" s="268"/>
      <c r="E49" s="268"/>
      <c r="F49" s="380"/>
      <c r="G49" s="358"/>
      <c r="H49" s="358"/>
      <c r="I49" s="85"/>
      <c r="J49" s="85"/>
      <c r="K49" s="85"/>
      <c r="L49" s="85"/>
      <c r="M49" s="85"/>
      <c r="N49" s="85"/>
      <c r="O49" s="85"/>
      <c r="P49" s="6" t="str">
        <f t="shared" si="18"/>
        <v/>
      </c>
      <c r="Q49" s="6" t="str">
        <f t="shared" si="19"/>
        <v/>
      </c>
      <c r="R49" s="85"/>
      <c r="S49" s="85"/>
      <c r="T49" s="85"/>
      <c r="U49" s="85"/>
      <c r="V49" s="85"/>
      <c r="W49" s="85"/>
      <c r="X49" s="6" t="str">
        <f t="shared" si="20"/>
        <v/>
      </c>
      <c r="Y49" s="6" t="str">
        <f t="shared" si="21"/>
        <v/>
      </c>
      <c r="Z49" s="6"/>
      <c r="AA49" s="82"/>
      <c r="AB49" s="82"/>
      <c r="AC49" s="377"/>
      <c r="AD49" s="103"/>
      <c r="AE49" s="268"/>
      <c r="AF49" s="268"/>
      <c r="AG49" s="268"/>
      <c r="AH49" s="85"/>
      <c r="AI49" s="91"/>
      <c r="AJ49" s="38"/>
      <c r="AK49" s="10" t="str">
        <f t="shared" si="0"/>
        <v/>
      </c>
      <c r="AL49" s="10" t="str">
        <f t="shared" si="17"/>
        <v/>
      </c>
      <c r="AM49" s="35" t="str">
        <f t="shared" si="17"/>
        <v/>
      </c>
      <c r="AN49" s="10" t="str">
        <f t="shared" si="2"/>
        <v/>
      </c>
    </row>
    <row r="50" spans="1:40" x14ac:dyDescent="0.2">
      <c r="A50" s="391"/>
      <c r="B50" s="168"/>
      <c r="C50" s="85"/>
      <c r="D50" s="85"/>
      <c r="E50" s="268"/>
      <c r="F50" s="268"/>
      <c r="G50" s="405"/>
      <c r="H50" s="405"/>
      <c r="I50" s="85"/>
      <c r="J50" s="85"/>
      <c r="K50" s="85"/>
      <c r="L50" s="85"/>
      <c r="M50" s="85"/>
      <c r="N50" s="85"/>
      <c r="O50" s="85"/>
      <c r="P50" s="6" t="str">
        <f t="shared" si="18"/>
        <v/>
      </c>
      <c r="Q50" s="6" t="str">
        <f t="shared" si="19"/>
        <v/>
      </c>
      <c r="R50" s="85"/>
      <c r="S50" s="85"/>
      <c r="T50" s="85"/>
      <c r="U50" s="85"/>
      <c r="V50" s="85"/>
      <c r="W50" s="85"/>
      <c r="X50" s="6" t="str">
        <f t="shared" si="20"/>
        <v/>
      </c>
      <c r="Y50" s="6" t="str">
        <f t="shared" si="21"/>
        <v/>
      </c>
      <c r="Z50" s="6"/>
      <c r="AA50" s="85"/>
      <c r="AB50" s="85"/>
      <c r="AC50" s="377"/>
      <c r="AD50" s="103"/>
      <c r="AE50" s="85"/>
      <c r="AF50" s="6"/>
      <c r="AG50" s="6"/>
      <c r="AH50" s="6"/>
      <c r="AI50" s="383"/>
      <c r="AJ50" s="26"/>
    </row>
    <row r="51" spans="1:40" ht="63.75" customHeight="1" x14ac:dyDescent="0.2">
      <c r="A51" s="391"/>
      <c r="B51" s="384"/>
      <c r="C51" s="409"/>
      <c r="D51" s="409"/>
      <c r="E51" s="274"/>
      <c r="F51" s="268"/>
      <c r="G51" s="405"/>
      <c r="H51" s="405"/>
      <c r="I51" s="85"/>
      <c r="J51" s="85"/>
      <c r="K51" s="85"/>
      <c r="L51" s="85"/>
      <c r="M51" s="85"/>
      <c r="N51" s="85"/>
      <c r="O51" s="85"/>
      <c r="P51" s="6" t="str">
        <f t="shared" si="18"/>
        <v/>
      </c>
      <c r="Q51" s="6" t="str">
        <f t="shared" si="19"/>
        <v/>
      </c>
      <c r="R51" s="85"/>
      <c r="S51" s="85"/>
      <c r="T51" s="85"/>
      <c r="U51" s="85"/>
      <c r="V51" s="85"/>
      <c r="W51" s="85"/>
      <c r="X51" s="6" t="str">
        <f t="shared" si="20"/>
        <v/>
      </c>
      <c r="Y51" s="6" t="str">
        <f t="shared" si="21"/>
        <v/>
      </c>
      <c r="Z51" s="6"/>
      <c r="AA51" s="85"/>
      <c r="AB51" s="85"/>
      <c r="AC51" s="377"/>
      <c r="AD51" s="103"/>
      <c r="AE51" s="85"/>
      <c r="AF51" s="6"/>
      <c r="AG51" s="6"/>
      <c r="AH51" s="6"/>
      <c r="AI51" s="383"/>
      <c r="AJ51" s="26"/>
    </row>
    <row r="52" spans="1:40" x14ac:dyDescent="0.2">
      <c r="A52" s="391"/>
      <c r="B52" s="384"/>
      <c r="C52" s="409"/>
      <c r="D52" s="409"/>
      <c r="E52" s="274"/>
      <c r="F52" s="6"/>
      <c r="G52" s="405"/>
      <c r="H52" s="405"/>
      <c r="I52" s="85"/>
      <c r="J52" s="85"/>
      <c r="K52" s="85"/>
      <c r="L52" s="85"/>
      <c r="M52" s="85"/>
      <c r="N52" s="85"/>
      <c r="O52" s="85"/>
      <c r="P52" s="6" t="str">
        <f t="shared" si="18"/>
        <v/>
      </c>
      <c r="Q52" s="6" t="str">
        <f t="shared" si="19"/>
        <v/>
      </c>
      <c r="R52" s="85"/>
      <c r="S52" s="85"/>
      <c r="T52" s="85"/>
      <c r="U52" s="85"/>
      <c r="V52" s="85"/>
      <c r="W52" s="85"/>
      <c r="X52" s="6" t="str">
        <f t="shared" si="20"/>
        <v/>
      </c>
      <c r="Y52" s="6" t="str">
        <f t="shared" si="21"/>
        <v/>
      </c>
      <c r="Z52" s="6"/>
      <c r="AA52" s="85"/>
      <c r="AB52" s="85"/>
      <c r="AC52" s="377"/>
      <c r="AD52" s="103"/>
      <c r="AE52" s="85"/>
      <c r="AF52" s="6"/>
      <c r="AG52" s="6"/>
      <c r="AH52" s="6"/>
      <c r="AI52" s="383"/>
      <c r="AJ52" s="26"/>
    </row>
    <row r="53" spans="1:40" x14ac:dyDescent="0.2">
      <c r="A53" s="385"/>
      <c r="B53" s="168"/>
      <c r="C53" s="85"/>
      <c r="D53" s="560"/>
      <c r="E53" s="560"/>
      <c r="F53" s="268"/>
      <c r="G53" s="405"/>
      <c r="H53" s="405"/>
      <c r="I53" s="85"/>
      <c r="J53" s="85"/>
      <c r="K53" s="85"/>
      <c r="L53" s="85"/>
      <c r="M53" s="85"/>
      <c r="N53" s="85"/>
      <c r="O53" s="85"/>
      <c r="P53" s="6" t="str">
        <f t="shared" si="18"/>
        <v/>
      </c>
      <c r="Q53" s="6" t="str">
        <f t="shared" si="19"/>
        <v/>
      </c>
      <c r="R53" s="85"/>
      <c r="S53" s="85"/>
      <c r="T53" s="85"/>
      <c r="U53" s="85"/>
      <c r="V53" s="85"/>
      <c r="W53" s="85"/>
      <c r="X53" s="6" t="str">
        <f t="shared" si="20"/>
        <v/>
      </c>
      <c r="Y53" s="6" t="str">
        <f t="shared" si="21"/>
        <v/>
      </c>
      <c r="Z53" s="6"/>
      <c r="AA53" s="85"/>
      <c r="AB53" s="85"/>
      <c r="AC53" s="377"/>
      <c r="AD53" s="103"/>
      <c r="AE53" s="85"/>
      <c r="AF53" s="6"/>
      <c r="AG53" s="6"/>
      <c r="AH53" s="6"/>
      <c r="AI53" s="383"/>
      <c r="AJ53" s="26"/>
    </row>
    <row r="54" spans="1:40" x14ac:dyDescent="0.2">
      <c r="A54" s="385"/>
      <c r="B54" s="168"/>
      <c r="C54" s="268"/>
      <c r="D54" s="561"/>
      <c r="E54" s="561"/>
      <c r="F54" s="268"/>
      <c r="G54" s="405"/>
      <c r="H54" s="405"/>
      <c r="I54" s="85"/>
      <c r="J54" s="85"/>
      <c r="K54" s="85"/>
      <c r="L54" s="85"/>
      <c r="M54" s="85"/>
      <c r="N54" s="85"/>
      <c r="O54" s="85"/>
      <c r="P54" s="6" t="str">
        <f t="shared" si="18"/>
        <v/>
      </c>
      <c r="Q54" s="6" t="str">
        <f t="shared" si="19"/>
        <v/>
      </c>
      <c r="R54" s="85"/>
      <c r="S54" s="85"/>
      <c r="T54" s="85"/>
      <c r="U54" s="85"/>
      <c r="V54" s="85"/>
      <c r="W54" s="85"/>
      <c r="X54" s="6" t="str">
        <f t="shared" si="20"/>
        <v/>
      </c>
      <c r="Y54" s="6" t="str">
        <f t="shared" si="21"/>
        <v/>
      </c>
      <c r="Z54" s="6"/>
      <c r="AA54" s="85"/>
      <c r="AB54" s="85"/>
      <c r="AC54" s="377"/>
      <c r="AD54" s="103"/>
      <c r="AE54" s="85"/>
      <c r="AF54" s="6"/>
      <c r="AG54" s="6"/>
      <c r="AH54" s="6"/>
      <c r="AI54" s="383"/>
      <c r="AJ54" s="26"/>
    </row>
    <row r="55" spans="1:40" x14ac:dyDescent="0.2">
      <c r="A55" s="391"/>
      <c r="B55" s="168"/>
      <c r="C55" s="274"/>
      <c r="D55" s="274"/>
      <c r="E55" s="274"/>
      <c r="F55" s="6"/>
      <c r="G55" s="405"/>
      <c r="H55" s="405"/>
      <c r="I55" s="85"/>
      <c r="J55" s="85"/>
      <c r="K55" s="85"/>
      <c r="L55" s="85"/>
      <c r="M55" s="85"/>
      <c r="N55" s="85"/>
      <c r="O55" s="85"/>
      <c r="P55" s="6" t="str">
        <f t="shared" si="18"/>
        <v/>
      </c>
      <c r="Q55" s="6" t="str">
        <f t="shared" si="19"/>
        <v/>
      </c>
      <c r="R55" s="85"/>
      <c r="S55" s="85"/>
      <c r="T55" s="85"/>
      <c r="U55" s="85"/>
      <c r="V55" s="85"/>
      <c r="W55" s="85"/>
      <c r="X55" s="6" t="str">
        <f t="shared" si="20"/>
        <v/>
      </c>
      <c r="Y55" s="6" t="str">
        <f t="shared" si="21"/>
        <v/>
      </c>
      <c r="Z55" s="6"/>
      <c r="AA55" s="85"/>
      <c r="AB55" s="85"/>
      <c r="AC55" s="377"/>
      <c r="AD55" s="103"/>
      <c r="AE55" s="85"/>
      <c r="AF55" s="6"/>
      <c r="AG55" s="6"/>
      <c r="AH55" s="6"/>
      <c r="AI55" s="383"/>
      <c r="AJ55" s="26"/>
    </row>
    <row r="56" spans="1:40" x14ac:dyDescent="0.2">
      <c r="A56" s="391"/>
      <c r="B56" s="168"/>
      <c r="C56" s="85"/>
      <c r="D56" s="85"/>
      <c r="E56" s="85"/>
      <c r="F56" s="268"/>
      <c r="G56" s="405"/>
      <c r="H56" s="405"/>
      <c r="I56" s="268"/>
      <c r="J56" s="85"/>
      <c r="K56" s="85"/>
      <c r="L56" s="85"/>
      <c r="M56" s="85"/>
      <c r="N56" s="85"/>
      <c r="O56" s="85"/>
      <c r="P56" s="6" t="str">
        <f t="shared" si="18"/>
        <v/>
      </c>
      <c r="Q56" s="6" t="str">
        <f t="shared" si="19"/>
        <v/>
      </c>
      <c r="R56" s="85"/>
      <c r="S56" s="85"/>
      <c r="T56" s="85"/>
      <c r="U56" s="85"/>
      <c r="V56" s="85"/>
      <c r="W56" s="85"/>
      <c r="X56" s="6" t="str">
        <f t="shared" si="20"/>
        <v/>
      </c>
      <c r="Y56" s="6" t="str">
        <f t="shared" si="21"/>
        <v/>
      </c>
      <c r="Z56" s="6"/>
      <c r="AA56" s="85"/>
      <c r="AB56" s="85"/>
      <c r="AC56" s="377"/>
      <c r="AD56" s="103"/>
      <c r="AE56" s="268"/>
      <c r="AF56" s="6"/>
      <c r="AG56" s="6"/>
      <c r="AH56" s="6"/>
      <c r="AI56" s="383"/>
      <c r="AJ56" s="26"/>
    </row>
    <row r="57" spans="1:40" x14ac:dyDescent="0.2">
      <c r="A57" s="391"/>
      <c r="B57" s="168"/>
      <c r="C57" s="85"/>
      <c r="D57" s="85"/>
      <c r="E57" s="85"/>
      <c r="F57" s="268"/>
      <c r="G57" s="405"/>
      <c r="H57" s="405"/>
      <c r="I57" s="268"/>
      <c r="J57" s="85"/>
      <c r="K57" s="85"/>
      <c r="L57" s="85"/>
      <c r="M57" s="85"/>
      <c r="N57" s="85"/>
      <c r="O57" s="85"/>
      <c r="P57" s="6" t="str">
        <f t="shared" si="18"/>
        <v/>
      </c>
      <c r="Q57" s="6" t="str">
        <f t="shared" si="19"/>
        <v/>
      </c>
      <c r="R57" s="85"/>
      <c r="S57" s="85"/>
      <c r="T57" s="85"/>
      <c r="U57" s="85"/>
      <c r="V57" s="85"/>
      <c r="W57" s="85"/>
      <c r="X57" s="6" t="str">
        <f t="shared" si="20"/>
        <v/>
      </c>
      <c r="Y57" s="6" t="str">
        <f t="shared" si="21"/>
        <v/>
      </c>
      <c r="Z57" s="6"/>
      <c r="AA57" s="85"/>
      <c r="AB57" s="85"/>
      <c r="AC57" s="377"/>
      <c r="AD57" s="103"/>
      <c r="AE57" s="85"/>
      <c r="AF57" s="6"/>
      <c r="AG57" s="6"/>
      <c r="AH57" s="6"/>
      <c r="AI57" s="383"/>
      <c r="AJ57" s="26"/>
    </row>
    <row r="58" spans="1:40" x14ac:dyDescent="0.2">
      <c r="A58" s="391"/>
      <c r="B58" s="168"/>
      <c r="C58" s="85"/>
      <c r="D58" s="85"/>
      <c r="E58" s="85"/>
      <c r="F58" s="268"/>
      <c r="G58" s="405"/>
      <c r="H58" s="405"/>
      <c r="I58" s="268"/>
      <c r="J58" s="85"/>
      <c r="K58" s="85"/>
      <c r="L58" s="85"/>
      <c r="M58" s="85"/>
      <c r="N58" s="85"/>
      <c r="O58" s="85"/>
      <c r="P58" s="6" t="str">
        <f t="shared" si="18"/>
        <v/>
      </c>
      <c r="Q58" s="6" t="str">
        <f t="shared" si="19"/>
        <v/>
      </c>
      <c r="R58" s="85"/>
      <c r="S58" s="85"/>
      <c r="T58" s="85"/>
      <c r="U58" s="85"/>
      <c r="V58" s="85"/>
      <c r="W58" s="85"/>
      <c r="X58" s="6" t="str">
        <f t="shared" si="20"/>
        <v/>
      </c>
      <c r="Y58" s="6" t="str">
        <f t="shared" si="21"/>
        <v/>
      </c>
      <c r="Z58" s="6"/>
      <c r="AA58" s="85"/>
      <c r="AB58" s="85"/>
      <c r="AC58" s="377"/>
      <c r="AD58" s="103"/>
      <c r="AE58" s="85"/>
      <c r="AF58" s="6"/>
      <c r="AG58" s="6"/>
      <c r="AH58" s="6"/>
      <c r="AI58" s="383"/>
      <c r="AJ58" s="26"/>
    </row>
    <row r="59" spans="1:40" x14ac:dyDescent="0.2">
      <c r="A59" s="391"/>
      <c r="B59" s="168"/>
      <c r="C59" s="85"/>
      <c r="D59" s="85"/>
      <c r="E59" s="85"/>
      <c r="F59" s="268"/>
      <c r="G59" s="405"/>
      <c r="H59" s="405"/>
      <c r="I59" s="268"/>
      <c r="J59" s="85"/>
      <c r="K59" s="85"/>
      <c r="L59" s="85"/>
      <c r="M59" s="85"/>
      <c r="N59" s="85"/>
      <c r="O59" s="85"/>
      <c r="P59" s="6" t="str">
        <f t="shared" si="18"/>
        <v/>
      </c>
      <c r="Q59" s="6" t="str">
        <f t="shared" si="19"/>
        <v/>
      </c>
      <c r="R59" s="85"/>
      <c r="S59" s="85"/>
      <c r="T59" s="85"/>
      <c r="U59" s="85"/>
      <c r="V59" s="85"/>
      <c r="W59" s="85"/>
      <c r="X59" s="6" t="str">
        <f t="shared" si="20"/>
        <v/>
      </c>
      <c r="Y59" s="6" t="str">
        <f t="shared" si="21"/>
        <v/>
      </c>
      <c r="Z59" s="6"/>
      <c r="AA59" s="85"/>
      <c r="AB59" s="85"/>
      <c r="AC59" s="377"/>
      <c r="AD59" s="103"/>
      <c r="AE59" s="85"/>
      <c r="AF59" s="6"/>
      <c r="AG59" s="6"/>
      <c r="AH59" s="6"/>
      <c r="AI59" s="383"/>
      <c r="AJ59" s="26"/>
    </row>
    <row r="60" spans="1:40" x14ac:dyDescent="0.2">
      <c r="A60" s="391"/>
      <c r="B60" s="356"/>
      <c r="C60" s="268"/>
      <c r="D60" s="268"/>
      <c r="E60" s="268"/>
      <c r="F60" s="268"/>
      <c r="G60" s="405"/>
      <c r="H60" s="405"/>
      <c r="I60" s="268"/>
      <c r="J60" s="85"/>
      <c r="K60" s="85"/>
      <c r="L60" s="85"/>
      <c r="M60" s="85"/>
      <c r="N60" s="85"/>
      <c r="O60" s="85"/>
      <c r="P60" s="6" t="str">
        <f t="shared" si="18"/>
        <v/>
      </c>
      <c r="Q60" s="6" t="str">
        <f t="shared" si="19"/>
        <v/>
      </c>
      <c r="R60" s="85"/>
      <c r="S60" s="85"/>
      <c r="T60" s="85"/>
      <c r="U60" s="85"/>
      <c r="V60" s="85"/>
      <c r="W60" s="85"/>
      <c r="X60" s="6" t="str">
        <f t="shared" si="20"/>
        <v/>
      </c>
      <c r="Y60" s="6" t="str">
        <f t="shared" si="21"/>
        <v/>
      </c>
      <c r="Z60" s="6"/>
      <c r="AA60" s="85"/>
      <c r="AB60" s="85"/>
      <c r="AC60" s="377"/>
      <c r="AD60" s="103"/>
      <c r="AE60" s="356"/>
      <c r="AF60" s="6"/>
      <c r="AG60" s="382"/>
      <c r="AH60" s="6"/>
      <c r="AI60" s="383"/>
      <c r="AJ60" s="26"/>
    </row>
    <row r="61" spans="1:40" x14ac:dyDescent="0.2">
      <c r="A61" s="391"/>
      <c r="B61" s="168"/>
      <c r="C61" s="268"/>
      <c r="D61" s="268"/>
      <c r="E61" s="268"/>
      <c r="F61" s="268"/>
      <c r="G61" s="405"/>
      <c r="H61" s="405"/>
      <c r="I61" s="268"/>
      <c r="J61" s="85"/>
      <c r="K61" s="85"/>
      <c r="L61" s="85"/>
      <c r="M61" s="85"/>
      <c r="N61" s="85"/>
      <c r="O61" s="85"/>
      <c r="P61" s="6" t="str">
        <f t="shared" si="18"/>
        <v/>
      </c>
      <c r="Q61" s="6" t="str">
        <f t="shared" si="19"/>
        <v/>
      </c>
      <c r="R61" s="85"/>
      <c r="S61" s="85"/>
      <c r="T61" s="85"/>
      <c r="U61" s="85"/>
      <c r="V61" s="85"/>
      <c r="W61" s="85"/>
      <c r="X61" s="6" t="str">
        <f t="shared" si="20"/>
        <v/>
      </c>
      <c r="Y61" s="6" t="str">
        <f t="shared" si="21"/>
        <v/>
      </c>
      <c r="Z61" s="6"/>
      <c r="AA61" s="85"/>
      <c r="AB61" s="85"/>
      <c r="AC61" s="377"/>
      <c r="AD61" s="103"/>
      <c r="AE61" s="268"/>
      <c r="AF61" s="382"/>
      <c r="AG61" s="382"/>
      <c r="AH61" s="6"/>
      <c r="AI61" s="383"/>
      <c r="AJ61" s="26"/>
    </row>
    <row r="62" spans="1:40" s="386" customFormat="1" ht="63" customHeight="1" x14ac:dyDescent="0.2">
      <c r="A62" s="393"/>
      <c r="B62" s="394"/>
      <c r="C62" s="394"/>
      <c r="D62" s="394"/>
      <c r="E62" s="394"/>
      <c r="F62" s="394"/>
      <c r="G62" s="406"/>
      <c r="H62" s="406"/>
      <c r="I62" s="258"/>
      <c r="J62" s="85"/>
      <c r="K62" s="85"/>
      <c r="L62" s="85"/>
      <c r="M62" s="85"/>
      <c r="N62" s="85"/>
      <c r="O62" s="85"/>
      <c r="P62" s="6" t="str">
        <f t="shared" si="18"/>
        <v/>
      </c>
      <c r="Q62" s="6"/>
      <c r="R62" s="395"/>
      <c r="S62" s="395"/>
      <c r="T62" s="396"/>
      <c r="U62" s="396"/>
      <c r="V62" s="396"/>
      <c r="W62" s="396"/>
      <c r="X62" s="6" t="str">
        <f t="shared" si="20"/>
        <v/>
      </c>
      <c r="Y62" s="6" t="str">
        <f t="shared" si="21"/>
        <v/>
      </c>
      <c r="Z62" s="6"/>
      <c r="AA62" s="395"/>
      <c r="AB62" s="395"/>
      <c r="AC62" s="377"/>
      <c r="AD62" s="103"/>
      <c r="AE62" s="394"/>
      <c r="AF62" s="394"/>
      <c r="AG62" s="258"/>
      <c r="AH62" s="396"/>
      <c r="AI62" s="397"/>
      <c r="AJ62" s="398"/>
    </row>
    <row r="63" spans="1:40" s="386" customFormat="1" ht="63" customHeight="1" x14ac:dyDescent="0.2">
      <c r="A63" s="393"/>
      <c r="B63" s="394"/>
      <c r="C63" s="394"/>
      <c r="D63" s="394"/>
      <c r="E63" s="394"/>
      <c r="F63" s="394"/>
      <c r="G63" s="406"/>
      <c r="H63" s="406"/>
      <c r="I63" s="387"/>
      <c r="J63" s="85"/>
      <c r="K63" s="85"/>
      <c r="L63" s="85"/>
      <c r="M63" s="85"/>
      <c r="N63" s="85"/>
      <c r="O63" s="85"/>
      <c r="P63" s="6" t="str">
        <f t="shared" si="18"/>
        <v/>
      </c>
      <c r="Q63" s="6"/>
      <c r="R63" s="395"/>
      <c r="S63" s="395"/>
      <c r="T63" s="396"/>
      <c r="U63" s="396"/>
      <c r="V63" s="396"/>
      <c r="W63" s="396"/>
      <c r="X63" s="6" t="str">
        <f t="shared" si="20"/>
        <v/>
      </c>
      <c r="Y63" s="6" t="str">
        <f t="shared" si="21"/>
        <v/>
      </c>
      <c r="Z63" s="6"/>
      <c r="AA63" s="395"/>
      <c r="AB63" s="395"/>
      <c r="AC63" s="377"/>
      <c r="AD63" s="103"/>
      <c r="AE63" s="394"/>
      <c r="AF63" s="394"/>
      <c r="AG63" s="258"/>
      <c r="AH63" s="387"/>
      <c r="AI63" s="387"/>
      <c r="AJ63" s="388"/>
    </row>
    <row r="64" spans="1:40" s="386" customFormat="1" ht="63" customHeight="1" x14ac:dyDescent="0.2">
      <c r="A64" s="393"/>
      <c r="B64" s="394"/>
      <c r="C64" s="394"/>
      <c r="D64" s="394"/>
      <c r="E64" s="394"/>
      <c r="F64" s="394"/>
      <c r="G64" s="406"/>
      <c r="H64" s="406"/>
      <c r="I64" s="258"/>
      <c r="J64" s="85"/>
      <c r="K64" s="85"/>
      <c r="L64" s="85"/>
      <c r="M64" s="85"/>
      <c r="N64" s="85"/>
      <c r="O64" s="85"/>
      <c r="P64" s="6" t="str">
        <f t="shared" si="18"/>
        <v/>
      </c>
      <c r="Q64" s="6"/>
      <c r="R64" s="395"/>
      <c r="S64" s="395"/>
      <c r="T64" s="396"/>
      <c r="U64" s="396"/>
      <c r="V64" s="396"/>
      <c r="W64" s="396"/>
      <c r="X64" s="6" t="str">
        <f t="shared" si="20"/>
        <v/>
      </c>
      <c r="Y64" s="6" t="str">
        <f t="shared" si="21"/>
        <v/>
      </c>
      <c r="Z64" s="6"/>
      <c r="AA64" s="395"/>
      <c r="AB64" s="395"/>
      <c r="AC64" s="377"/>
      <c r="AD64" s="103"/>
      <c r="AE64" s="394"/>
      <c r="AF64" s="394"/>
      <c r="AG64" s="258"/>
      <c r="AH64" s="387"/>
      <c r="AI64" s="387"/>
      <c r="AJ64" s="388"/>
    </row>
    <row r="65" spans="1:36" s="386" customFormat="1" ht="63" customHeight="1" x14ac:dyDescent="0.2">
      <c r="A65" s="393"/>
      <c r="B65" s="394"/>
      <c r="C65" s="394"/>
      <c r="D65" s="394"/>
      <c r="E65" s="394"/>
      <c r="F65" s="394"/>
      <c r="G65" s="406"/>
      <c r="H65" s="406"/>
      <c r="I65" s="258"/>
      <c r="J65" s="85"/>
      <c r="K65" s="85"/>
      <c r="L65" s="85"/>
      <c r="M65" s="85"/>
      <c r="N65" s="85"/>
      <c r="O65" s="85"/>
      <c r="P65" s="6" t="str">
        <f t="shared" si="18"/>
        <v/>
      </c>
      <c r="Q65" s="6"/>
      <c r="R65" s="395"/>
      <c r="S65" s="395"/>
      <c r="T65" s="396"/>
      <c r="U65" s="396"/>
      <c r="V65" s="396"/>
      <c r="W65" s="396"/>
      <c r="X65" s="6" t="str">
        <f t="shared" si="20"/>
        <v/>
      </c>
      <c r="Y65" s="6" t="str">
        <f t="shared" si="21"/>
        <v/>
      </c>
      <c r="Z65" s="6"/>
      <c r="AA65" s="395"/>
      <c r="AB65" s="395"/>
      <c r="AC65" s="377"/>
      <c r="AD65" s="103"/>
      <c r="AE65" s="394"/>
      <c r="AF65" s="394"/>
      <c r="AG65" s="258"/>
      <c r="AH65" s="387"/>
      <c r="AI65" s="387"/>
      <c r="AJ65" s="388"/>
    </row>
    <row r="66" spans="1:36" s="386" customFormat="1" ht="63" customHeight="1" x14ac:dyDescent="0.2">
      <c r="A66" s="393"/>
      <c r="B66" s="394"/>
      <c r="C66" s="394"/>
      <c r="D66" s="394"/>
      <c r="E66" s="394"/>
      <c r="F66" s="394"/>
      <c r="G66" s="406"/>
      <c r="H66" s="406"/>
      <c r="I66" s="258"/>
      <c r="J66" s="85"/>
      <c r="K66" s="85"/>
      <c r="L66" s="85"/>
      <c r="M66" s="85"/>
      <c r="N66" s="85"/>
      <c r="O66" s="85"/>
      <c r="P66" s="6" t="str">
        <f t="shared" si="18"/>
        <v/>
      </c>
      <c r="Q66" s="6"/>
      <c r="R66" s="395"/>
      <c r="S66" s="395"/>
      <c r="T66" s="396"/>
      <c r="U66" s="396"/>
      <c r="V66" s="396"/>
      <c r="W66" s="396"/>
      <c r="X66" s="6" t="str">
        <f t="shared" si="20"/>
        <v/>
      </c>
      <c r="Y66" s="6" t="str">
        <f t="shared" si="21"/>
        <v/>
      </c>
      <c r="Z66" s="6"/>
      <c r="AA66" s="395"/>
      <c r="AB66" s="395"/>
      <c r="AC66" s="377"/>
      <c r="AD66" s="103"/>
      <c r="AE66" s="394"/>
      <c r="AF66" s="394"/>
      <c r="AG66" s="258"/>
      <c r="AH66" s="387"/>
      <c r="AI66" s="387"/>
      <c r="AJ66" s="388"/>
    </row>
    <row r="67" spans="1:36" s="386" customFormat="1" ht="63" customHeight="1" x14ac:dyDescent="0.2">
      <c r="A67" s="393"/>
      <c r="B67" s="394"/>
      <c r="C67" s="394"/>
      <c r="D67" s="394"/>
      <c r="E67" s="394"/>
      <c r="F67" s="394"/>
      <c r="G67" s="406"/>
      <c r="H67" s="406"/>
      <c r="I67" s="258"/>
      <c r="J67" s="85"/>
      <c r="K67" s="85"/>
      <c r="L67" s="85"/>
      <c r="M67" s="85"/>
      <c r="N67" s="85"/>
      <c r="O67" s="85"/>
      <c r="P67" s="6" t="str">
        <f t="shared" si="18"/>
        <v/>
      </c>
      <c r="Q67" s="6"/>
      <c r="R67" s="395"/>
      <c r="S67" s="395"/>
      <c r="T67" s="396"/>
      <c r="U67" s="396"/>
      <c r="V67" s="396"/>
      <c r="W67" s="396"/>
      <c r="X67" s="6" t="str">
        <f t="shared" si="20"/>
        <v/>
      </c>
      <c r="Y67" s="6" t="str">
        <f t="shared" si="21"/>
        <v/>
      </c>
      <c r="Z67" s="6"/>
      <c r="AA67" s="395"/>
      <c r="AB67" s="395"/>
      <c r="AC67" s="377"/>
      <c r="AD67" s="103"/>
      <c r="AE67" s="394"/>
      <c r="AF67" s="394"/>
      <c r="AG67" s="258"/>
      <c r="AH67" s="387"/>
      <c r="AI67" s="387"/>
      <c r="AJ67" s="388"/>
    </row>
    <row r="68" spans="1:36" s="386" customFormat="1" ht="63" customHeight="1" thickBot="1" x14ac:dyDescent="0.25">
      <c r="A68" s="399"/>
      <c r="B68" s="400"/>
      <c r="C68" s="400"/>
      <c r="D68" s="400"/>
      <c r="E68" s="400"/>
      <c r="F68" s="400"/>
      <c r="G68" s="407"/>
      <c r="H68" s="407"/>
      <c r="I68" s="401"/>
      <c r="J68" s="402"/>
      <c r="K68" s="402"/>
      <c r="L68" s="402"/>
      <c r="M68" s="402"/>
      <c r="N68" s="402"/>
      <c r="O68" s="402"/>
      <c r="P68" s="6" t="str">
        <f t="shared" ref="P68:P72" si="23">IF(COUNT(K68:O68)&gt;0,AVERAGE(K68:O68),"")</f>
        <v/>
      </c>
      <c r="Q68" s="24"/>
      <c r="R68" s="403"/>
      <c r="S68" s="403"/>
      <c r="T68" s="404"/>
      <c r="U68" s="404"/>
      <c r="V68" s="404"/>
      <c r="W68" s="404"/>
      <c r="X68" s="6" t="str">
        <f t="shared" ref="X68:X72" si="24">IF(COUNT(S68:W68)&gt;0,AVERAGE(S68:W68),"")</f>
        <v/>
      </c>
      <c r="Y68" s="6" t="str">
        <f t="shared" si="21"/>
        <v/>
      </c>
      <c r="Z68" s="6"/>
      <c r="AA68" s="403"/>
      <c r="AB68" s="403"/>
      <c r="AC68" s="377"/>
      <c r="AD68" s="103"/>
      <c r="AE68" s="400"/>
      <c r="AF68" s="400"/>
      <c r="AG68" s="401"/>
      <c r="AH68" s="389"/>
      <c r="AI68" s="389"/>
      <c r="AJ68" s="390"/>
    </row>
    <row r="69" spans="1:36" ht="14.25" x14ac:dyDescent="0.2">
      <c r="A69" s="397"/>
      <c r="B69" s="394"/>
      <c r="C69" s="394"/>
      <c r="D69" s="394"/>
      <c r="E69" s="394"/>
      <c r="F69" s="387"/>
      <c r="G69" s="394"/>
      <c r="H69" s="394"/>
      <c r="I69" s="387"/>
      <c r="J69" s="85"/>
      <c r="K69" s="85"/>
      <c r="L69" s="85"/>
      <c r="M69" s="85"/>
      <c r="N69" s="85"/>
      <c r="O69" s="85"/>
      <c r="P69" s="6" t="str">
        <f t="shared" si="23"/>
        <v/>
      </c>
      <c r="Q69" s="6"/>
      <c r="R69" s="395"/>
      <c r="S69" s="395"/>
      <c r="T69" s="396"/>
      <c r="U69" s="396"/>
      <c r="V69" s="396"/>
      <c r="W69" s="396"/>
      <c r="X69" s="6" t="str">
        <f t="shared" si="24"/>
        <v/>
      </c>
      <c r="Y69" s="6" t="str">
        <f t="shared" si="21"/>
        <v/>
      </c>
      <c r="Z69" s="6"/>
      <c r="AA69" s="395"/>
      <c r="AB69" s="395"/>
      <c r="AC69" s="377"/>
      <c r="AD69" s="103"/>
      <c r="AE69" s="387"/>
      <c r="AF69" s="387"/>
      <c r="AG69" s="258"/>
      <c r="AH69" s="387"/>
      <c r="AI69" s="387"/>
      <c r="AJ69" s="388"/>
    </row>
    <row r="70" spans="1:36" ht="14.25" x14ac:dyDescent="0.2">
      <c r="A70" s="397"/>
      <c r="B70" s="394"/>
      <c r="C70" s="394"/>
      <c r="D70" s="394"/>
      <c r="E70" s="394"/>
      <c r="F70" s="394"/>
      <c r="G70" s="394"/>
      <c r="H70" s="394"/>
      <c r="I70" s="387"/>
      <c r="J70" s="85"/>
      <c r="K70" s="85"/>
      <c r="L70" s="85"/>
      <c r="M70" s="85"/>
      <c r="N70" s="85"/>
      <c r="O70" s="85"/>
      <c r="P70" s="6" t="str">
        <f t="shared" si="23"/>
        <v/>
      </c>
      <c r="Q70" s="6"/>
      <c r="R70" s="395"/>
      <c r="S70" s="395"/>
      <c r="T70" s="396"/>
      <c r="U70" s="396"/>
      <c r="V70" s="396"/>
      <c r="W70" s="396"/>
      <c r="X70" s="6" t="str">
        <f t="shared" si="24"/>
        <v/>
      </c>
      <c r="Y70" s="6" t="str">
        <f t="shared" si="21"/>
        <v/>
      </c>
      <c r="Z70" s="6"/>
      <c r="AA70" s="395"/>
      <c r="AB70" s="395"/>
      <c r="AC70" s="377"/>
      <c r="AD70" s="103"/>
      <c r="AE70" s="394"/>
      <c r="AF70" s="394"/>
      <c r="AG70" s="258"/>
      <c r="AH70" s="387"/>
      <c r="AI70" s="387"/>
      <c r="AJ70" s="388"/>
    </row>
    <row r="71" spans="1:36" ht="14.25" x14ac:dyDescent="0.2">
      <c r="A71" s="397"/>
      <c r="B71" s="394"/>
      <c r="C71" s="394"/>
      <c r="D71" s="394"/>
      <c r="E71" s="394"/>
      <c r="F71" s="394"/>
      <c r="G71" s="394"/>
      <c r="H71" s="394"/>
      <c r="I71" s="387"/>
      <c r="J71" s="85"/>
      <c r="K71" s="85"/>
      <c r="L71" s="85"/>
      <c r="M71" s="85"/>
      <c r="N71" s="85"/>
      <c r="O71" s="85"/>
      <c r="P71" s="6" t="str">
        <f t="shared" si="23"/>
        <v/>
      </c>
      <c r="Q71" s="6"/>
      <c r="R71" s="395"/>
      <c r="S71" s="395"/>
      <c r="T71" s="396"/>
      <c r="U71" s="396"/>
      <c r="V71" s="396"/>
      <c r="W71" s="396"/>
      <c r="X71" s="6" t="str">
        <f t="shared" si="24"/>
        <v/>
      </c>
      <c r="Y71" s="6" t="str">
        <f t="shared" si="21"/>
        <v/>
      </c>
      <c r="Z71" s="6"/>
      <c r="AA71" s="395"/>
      <c r="AB71" s="395"/>
      <c r="AC71" s="377"/>
      <c r="AD71" s="103"/>
      <c r="AE71" s="394"/>
      <c r="AF71" s="394"/>
      <c r="AG71" s="258"/>
      <c r="AH71" s="387"/>
      <c r="AI71" s="387"/>
      <c r="AJ71" s="388"/>
    </row>
    <row r="72" spans="1:36" ht="14.25" x14ac:dyDescent="0.2">
      <c r="A72" s="397"/>
      <c r="B72" s="394"/>
      <c r="C72" s="394"/>
      <c r="D72" s="394"/>
      <c r="E72" s="394"/>
      <c r="F72" s="394"/>
      <c r="G72" s="394"/>
      <c r="H72" s="394"/>
      <c r="I72" s="387"/>
      <c r="J72" s="85"/>
      <c r="K72" s="85"/>
      <c r="L72" s="85"/>
      <c r="M72" s="85"/>
      <c r="N72" s="85"/>
      <c r="O72" s="85"/>
      <c r="P72" s="6" t="str">
        <f t="shared" si="23"/>
        <v/>
      </c>
      <c r="Q72" s="6"/>
      <c r="R72" s="395"/>
      <c r="S72" s="395"/>
      <c r="T72" s="396"/>
      <c r="U72" s="396"/>
      <c r="V72" s="396"/>
      <c r="W72" s="396"/>
      <c r="X72" s="6" t="str">
        <f t="shared" si="24"/>
        <v/>
      </c>
      <c r="Y72" s="6" t="str">
        <f t="shared" si="21"/>
        <v/>
      </c>
      <c r="Z72" s="6"/>
      <c r="AA72" s="395"/>
      <c r="AB72" s="395"/>
      <c r="AC72" s="377"/>
      <c r="AD72" s="103"/>
      <c r="AE72" s="394"/>
      <c r="AF72" s="394"/>
      <c r="AG72" s="258"/>
      <c r="AH72" s="387"/>
      <c r="AI72" s="387"/>
      <c r="AJ72" s="388"/>
    </row>
    <row r="73" spans="1:36" x14ac:dyDescent="0.2">
      <c r="B73" s="381"/>
    </row>
    <row r="74" spans="1:36" x14ac:dyDescent="0.2">
      <c r="B74" s="381"/>
    </row>
    <row r="75" spans="1:36" x14ac:dyDescent="0.2">
      <c r="B75" s="381"/>
    </row>
    <row r="76" spans="1:36" x14ac:dyDescent="0.2">
      <c r="B76" s="381"/>
    </row>
    <row r="77" spans="1:36" x14ac:dyDescent="0.2">
      <c r="B77" s="381"/>
    </row>
    <row r="78" spans="1:36" x14ac:dyDescent="0.2">
      <c r="B78" s="381"/>
    </row>
    <row r="79" spans="1:36" x14ac:dyDescent="0.2">
      <c r="B79" s="381"/>
    </row>
    <row r="80" spans="1:36" x14ac:dyDescent="0.2">
      <c r="B80" s="381"/>
    </row>
    <row r="81" spans="2:2" x14ac:dyDescent="0.2">
      <c r="B81" s="381"/>
    </row>
    <row r="82" spans="2:2" x14ac:dyDescent="0.2">
      <c r="B82" s="381"/>
    </row>
    <row r="83" spans="2:2" x14ac:dyDescent="0.2">
      <c r="B83" s="381"/>
    </row>
    <row r="84" spans="2:2" x14ac:dyDescent="0.2">
      <c r="B84" s="381"/>
    </row>
    <row r="85" spans="2:2" x14ac:dyDescent="0.2">
      <c r="B85" s="381"/>
    </row>
    <row r="86" spans="2:2" x14ac:dyDescent="0.2">
      <c r="B86" s="381"/>
    </row>
    <row r="87" spans="2:2" x14ac:dyDescent="0.2">
      <c r="B87" s="381"/>
    </row>
    <row r="88" spans="2:2" x14ac:dyDescent="0.2">
      <c r="B88" s="381"/>
    </row>
    <row r="89" spans="2:2" x14ac:dyDescent="0.2">
      <c r="B89" s="381"/>
    </row>
    <row r="90" spans="2:2" x14ac:dyDescent="0.2">
      <c r="B90" s="381"/>
    </row>
    <row r="91" spans="2:2" x14ac:dyDescent="0.2">
      <c r="B91" s="381"/>
    </row>
    <row r="92" spans="2:2" x14ac:dyDescent="0.2">
      <c r="B92" s="381"/>
    </row>
    <row r="93" spans="2:2" x14ac:dyDescent="0.2">
      <c r="B93" s="381"/>
    </row>
    <row r="94" spans="2:2" x14ac:dyDescent="0.2">
      <c r="B94" s="381"/>
    </row>
    <row r="95" spans="2:2" x14ac:dyDescent="0.2">
      <c r="B95" s="381"/>
    </row>
    <row r="96" spans="2:2" x14ac:dyDescent="0.2">
      <c r="B96" s="381"/>
    </row>
    <row r="97" spans="2:2" x14ac:dyDescent="0.2">
      <c r="B97" s="381"/>
    </row>
    <row r="98" spans="2:2" x14ac:dyDescent="0.2">
      <c r="B98" s="381"/>
    </row>
    <row r="99" spans="2:2" x14ac:dyDescent="0.2">
      <c r="B99" s="381"/>
    </row>
    <row r="100" spans="2:2" x14ac:dyDescent="0.2">
      <c r="B100" s="381"/>
    </row>
    <row r="101" spans="2:2" x14ac:dyDescent="0.2">
      <c r="B101" s="381"/>
    </row>
    <row r="102" spans="2:2" x14ac:dyDescent="0.2">
      <c r="B102" s="381"/>
    </row>
    <row r="103" spans="2:2" x14ac:dyDescent="0.2">
      <c r="B103" s="381"/>
    </row>
    <row r="104" spans="2:2" x14ac:dyDescent="0.2">
      <c r="B104" s="381"/>
    </row>
    <row r="105" spans="2:2" x14ac:dyDescent="0.2">
      <c r="B105" s="381"/>
    </row>
    <row r="106" spans="2:2" x14ac:dyDescent="0.2">
      <c r="B106" s="381"/>
    </row>
    <row r="107" spans="2:2" x14ac:dyDescent="0.2">
      <c r="B107" s="381"/>
    </row>
    <row r="108" spans="2:2" x14ac:dyDescent="0.2">
      <c r="B108" s="381"/>
    </row>
    <row r="109" spans="2:2" x14ac:dyDescent="0.2">
      <c r="B109" s="381"/>
    </row>
    <row r="110" spans="2:2" x14ac:dyDescent="0.2">
      <c r="B110" s="381"/>
    </row>
    <row r="111" spans="2:2" x14ac:dyDescent="0.2">
      <c r="B111" s="381"/>
    </row>
    <row r="112" spans="2:2" x14ac:dyDescent="0.2">
      <c r="B112" s="381"/>
    </row>
    <row r="113" spans="2:2" x14ac:dyDescent="0.2">
      <c r="B113" s="381"/>
    </row>
    <row r="114" spans="2:2" x14ac:dyDescent="0.2">
      <c r="B114" s="381"/>
    </row>
    <row r="115" spans="2:2" x14ac:dyDescent="0.2">
      <c r="B115" s="381"/>
    </row>
    <row r="116" spans="2:2" x14ac:dyDescent="0.2">
      <c r="B116" s="381"/>
    </row>
    <row r="117" spans="2:2" x14ac:dyDescent="0.2">
      <c r="B117" s="381"/>
    </row>
    <row r="118" spans="2:2" x14ac:dyDescent="0.2">
      <c r="B118" s="381"/>
    </row>
    <row r="119" spans="2:2" x14ac:dyDescent="0.2">
      <c r="B119" s="381"/>
    </row>
    <row r="120" spans="2:2" x14ac:dyDescent="0.2">
      <c r="B120" s="381"/>
    </row>
    <row r="121" spans="2:2" x14ac:dyDescent="0.2">
      <c r="B121" s="381"/>
    </row>
    <row r="122" spans="2:2" x14ac:dyDescent="0.2">
      <c r="B122" s="381"/>
    </row>
    <row r="123" spans="2:2" x14ac:dyDescent="0.2">
      <c r="B123" s="381"/>
    </row>
    <row r="124" spans="2:2" x14ac:dyDescent="0.2">
      <c r="B124" s="381"/>
    </row>
    <row r="125" spans="2:2" x14ac:dyDescent="0.2">
      <c r="B125" s="381"/>
    </row>
    <row r="126" spans="2:2" x14ac:dyDescent="0.2">
      <c r="B126" s="381"/>
    </row>
    <row r="127" spans="2:2" x14ac:dyDescent="0.2">
      <c r="B127" s="381"/>
    </row>
    <row r="128" spans="2:2" x14ac:dyDescent="0.2">
      <c r="B128" s="381"/>
    </row>
    <row r="129" spans="2:2" x14ac:dyDescent="0.2">
      <c r="B129" s="381"/>
    </row>
    <row r="130" spans="2:2" x14ac:dyDescent="0.2">
      <c r="B130" s="381"/>
    </row>
    <row r="131" spans="2:2" x14ac:dyDescent="0.2">
      <c r="B131" s="381"/>
    </row>
    <row r="132" spans="2:2" x14ac:dyDescent="0.2">
      <c r="B132" s="381"/>
    </row>
    <row r="133" spans="2:2" x14ac:dyDescent="0.2">
      <c r="B133" s="381"/>
    </row>
    <row r="134" spans="2:2" x14ac:dyDescent="0.2">
      <c r="B134" s="381"/>
    </row>
    <row r="135" spans="2:2" x14ac:dyDescent="0.2">
      <c r="B135" s="381"/>
    </row>
    <row r="136" spans="2:2" x14ac:dyDescent="0.2">
      <c r="B136" s="381"/>
    </row>
    <row r="137" spans="2:2" x14ac:dyDescent="0.2">
      <c r="B137" s="381"/>
    </row>
    <row r="138" spans="2:2" x14ac:dyDescent="0.2">
      <c r="B138" s="381"/>
    </row>
    <row r="139" spans="2:2" x14ac:dyDescent="0.2">
      <c r="B139" s="381"/>
    </row>
    <row r="140" spans="2:2" x14ac:dyDescent="0.2">
      <c r="B140" s="381"/>
    </row>
    <row r="141" spans="2:2" x14ac:dyDescent="0.2">
      <c r="B141" s="381"/>
    </row>
    <row r="142" spans="2:2" x14ac:dyDescent="0.2">
      <c r="B142" s="381"/>
    </row>
    <row r="143" spans="2:2" x14ac:dyDescent="0.2">
      <c r="B143" s="381"/>
    </row>
    <row r="144" spans="2:2" x14ac:dyDescent="0.2">
      <c r="B144" s="381"/>
    </row>
    <row r="145" spans="2:2" x14ac:dyDescent="0.2">
      <c r="B145" s="381"/>
    </row>
    <row r="146" spans="2:2" x14ac:dyDescent="0.2">
      <c r="B146" s="381"/>
    </row>
    <row r="147" spans="2:2" x14ac:dyDescent="0.2">
      <c r="B147" s="381"/>
    </row>
    <row r="148" spans="2:2" x14ac:dyDescent="0.2">
      <c r="B148" s="381"/>
    </row>
    <row r="149" spans="2:2" x14ac:dyDescent="0.2">
      <c r="B149" s="381"/>
    </row>
    <row r="150" spans="2:2" x14ac:dyDescent="0.2">
      <c r="B150" s="381"/>
    </row>
    <row r="151" spans="2:2" x14ac:dyDescent="0.2">
      <c r="B151" s="381"/>
    </row>
    <row r="152" spans="2:2" x14ac:dyDescent="0.2">
      <c r="B152" s="381"/>
    </row>
    <row r="153" spans="2:2" x14ac:dyDescent="0.2">
      <c r="B153" s="381"/>
    </row>
    <row r="154" spans="2:2" x14ac:dyDescent="0.2">
      <c r="B154" s="381"/>
    </row>
    <row r="155" spans="2:2" x14ac:dyDescent="0.2">
      <c r="B155" s="381"/>
    </row>
    <row r="156" spans="2:2" x14ac:dyDescent="0.2">
      <c r="B156" s="381"/>
    </row>
    <row r="157" spans="2:2" x14ac:dyDescent="0.2">
      <c r="B157" s="381"/>
    </row>
    <row r="158" spans="2:2" x14ac:dyDescent="0.2">
      <c r="B158" s="381"/>
    </row>
    <row r="159" spans="2:2" x14ac:dyDescent="0.2">
      <c r="B159" s="381"/>
    </row>
    <row r="160" spans="2:2" x14ac:dyDescent="0.2">
      <c r="B160" s="381"/>
    </row>
    <row r="161" spans="2:8" x14ac:dyDescent="0.2">
      <c r="B161" s="381"/>
    </row>
    <row r="162" spans="2:8" x14ac:dyDescent="0.2">
      <c r="B162" s="381"/>
    </row>
    <row r="163" spans="2:8" x14ac:dyDescent="0.2">
      <c r="B163" s="381"/>
    </row>
    <row r="164" spans="2:8" x14ac:dyDescent="0.2">
      <c r="B164" s="381"/>
    </row>
    <row r="165" spans="2:8" x14ac:dyDescent="0.2">
      <c r="B165" s="381"/>
    </row>
    <row r="166" spans="2:8" x14ac:dyDescent="0.2">
      <c r="B166" s="381"/>
    </row>
    <row r="167" spans="2:8" x14ac:dyDescent="0.2">
      <c r="B167" s="381"/>
    </row>
    <row r="168" spans="2:8" x14ac:dyDescent="0.2">
      <c r="B168" s="381"/>
    </row>
    <row r="169" spans="2:8" x14ac:dyDescent="0.2">
      <c r="B169" s="381"/>
    </row>
    <row r="170" spans="2:8" x14ac:dyDescent="0.2">
      <c r="B170" s="381"/>
    </row>
    <row r="171" spans="2:8" x14ac:dyDescent="0.2">
      <c r="B171" s="381"/>
    </row>
    <row r="172" spans="2:8" x14ac:dyDescent="0.2">
      <c r="B172" s="381"/>
    </row>
    <row r="173" spans="2:8" x14ac:dyDescent="0.2">
      <c r="B173" s="381"/>
    </row>
    <row r="174" spans="2:8" x14ac:dyDescent="0.2">
      <c r="B174" s="381"/>
    </row>
    <row r="175" spans="2:8" x14ac:dyDescent="0.2">
      <c r="B175" s="381"/>
    </row>
    <row r="176" spans="2:8" x14ac:dyDescent="0.2">
      <c r="B176" s="381"/>
      <c r="F176" s="168"/>
      <c r="G176" s="381"/>
      <c r="H176" s="381"/>
    </row>
    <row r="177" spans="2:2" x14ac:dyDescent="0.2">
      <c r="B177" s="381"/>
    </row>
    <row r="178" spans="2:2" x14ac:dyDescent="0.2">
      <c r="B178" s="381"/>
    </row>
    <row r="179" spans="2:2" x14ac:dyDescent="0.2">
      <c r="B179" s="381"/>
    </row>
    <row r="180" spans="2:2" x14ac:dyDescent="0.2">
      <c r="B180" s="381"/>
    </row>
    <row r="181" spans="2:2" x14ac:dyDescent="0.2">
      <c r="B181" s="381"/>
    </row>
    <row r="182" spans="2:2" x14ac:dyDescent="0.2">
      <c r="B182" s="381"/>
    </row>
    <row r="183" spans="2:2" x14ac:dyDescent="0.2">
      <c r="B183" s="381"/>
    </row>
    <row r="184" spans="2:2" x14ac:dyDescent="0.2">
      <c r="B184" s="381"/>
    </row>
    <row r="185" spans="2:2" x14ac:dyDescent="0.2">
      <c r="B185" s="381"/>
    </row>
    <row r="186" spans="2:2" x14ac:dyDescent="0.2">
      <c r="B186" s="381"/>
    </row>
    <row r="187" spans="2:2" x14ac:dyDescent="0.2">
      <c r="B187" s="381"/>
    </row>
    <row r="188" spans="2:2" x14ac:dyDescent="0.2">
      <c r="B188" s="381"/>
    </row>
    <row r="189" spans="2:2" x14ac:dyDescent="0.2">
      <c r="B189" s="381"/>
    </row>
    <row r="190" spans="2:2" x14ac:dyDescent="0.2">
      <c r="B190" s="381"/>
    </row>
    <row r="191" spans="2:2" x14ac:dyDescent="0.2">
      <c r="B191" s="381"/>
    </row>
    <row r="192" spans="2:2" x14ac:dyDescent="0.2">
      <c r="B192" s="381"/>
    </row>
    <row r="193" spans="2:2" x14ac:dyDescent="0.2">
      <c r="B193" s="381"/>
    </row>
    <row r="194" spans="2:2" x14ac:dyDescent="0.2">
      <c r="B194" s="381"/>
    </row>
    <row r="195" spans="2:2" x14ac:dyDescent="0.2">
      <c r="B195" s="381"/>
    </row>
    <row r="196" spans="2:2" x14ac:dyDescent="0.2">
      <c r="B196" s="381"/>
    </row>
    <row r="197" spans="2:2" x14ac:dyDescent="0.2">
      <c r="B197" s="381"/>
    </row>
    <row r="198" spans="2:2" x14ac:dyDescent="0.2">
      <c r="B198" s="381"/>
    </row>
    <row r="199" spans="2:2" x14ac:dyDescent="0.2">
      <c r="B199" s="381"/>
    </row>
    <row r="200" spans="2:2" x14ac:dyDescent="0.2">
      <c r="B200" s="381"/>
    </row>
    <row r="201" spans="2:2" x14ac:dyDescent="0.2">
      <c r="B201" s="381"/>
    </row>
    <row r="202" spans="2:2" x14ac:dyDescent="0.2">
      <c r="B202" s="381"/>
    </row>
    <row r="203" spans="2:2" x14ac:dyDescent="0.2">
      <c r="B203" s="381"/>
    </row>
    <row r="204" spans="2:2" x14ac:dyDescent="0.2">
      <c r="B204" s="381"/>
    </row>
    <row r="205" spans="2:2" x14ac:dyDescent="0.2">
      <c r="B205" s="381"/>
    </row>
    <row r="206" spans="2:2" x14ac:dyDescent="0.2">
      <c r="B206" s="381"/>
    </row>
    <row r="207" spans="2:2" x14ac:dyDescent="0.2">
      <c r="B207" s="381"/>
    </row>
    <row r="208" spans="2:2" x14ac:dyDescent="0.2">
      <c r="B208" s="381"/>
    </row>
    <row r="209" spans="2:2" x14ac:dyDescent="0.2">
      <c r="B209" s="381"/>
    </row>
    <row r="210" spans="2:2" x14ac:dyDescent="0.2">
      <c r="B210" s="381"/>
    </row>
    <row r="211" spans="2:2" x14ac:dyDescent="0.2">
      <c r="B211" s="381"/>
    </row>
    <row r="212" spans="2:2" x14ac:dyDescent="0.2">
      <c r="B212" s="381"/>
    </row>
    <row r="213" spans="2:2" x14ac:dyDescent="0.2">
      <c r="B213" s="381"/>
    </row>
    <row r="214" spans="2:2" x14ac:dyDescent="0.2">
      <c r="B214" s="381"/>
    </row>
    <row r="215" spans="2:2" x14ac:dyDescent="0.2">
      <c r="B215" s="381"/>
    </row>
    <row r="216" spans="2:2" x14ac:dyDescent="0.2">
      <c r="B216" s="381"/>
    </row>
    <row r="217" spans="2:2" x14ac:dyDescent="0.2">
      <c r="B217" s="381"/>
    </row>
    <row r="218" spans="2:2" x14ac:dyDescent="0.2">
      <c r="B218" s="381"/>
    </row>
    <row r="219" spans="2:2" x14ac:dyDescent="0.2">
      <c r="B219" s="381"/>
    </row>
    <row r="220" spans="2:2" x14ac:dyDescent="0.2">
      <c r="B220" s="381"/>
    </row>
    <row r="221" spans="2:2" x14ac:dyDescent="0.2">
      <c r="B221" s="381"/>
    </row>
    <row r="222" spans="2:2" x14ac:dyDescent="0.2">
      <c r="B222" s="381"/>
    </row>
    <row r="223" spans="2:2" x14ac:dyDescent="0.2">
      <c r="B223" s="381"/>
    </row>
    <row r="224" spans="2:2" x14ac:dyDescent="0.2">
      <c r="B224" s="381"/>
    </row>
    <row r="225" spans="2:2" x14ac:dyDescent="0.2">
      <c r="B225" s="381"/>
    </row>
    <row r="226" spans="2:2" x14ac:dyDescent="0.2">
      <c r="B226" s="381"/>
    </row>
    <row r="227" spans="2:2" x14ac:dyDescent="0.2">
      <c r="B227" s="381"/>
    </row>
    <row r="228" spans="2:2" x14ac:dyDescent="0.2">
      <c r="B228" s="381"/>
    </row>
    <row r="229" spans="2:2" x14ac:dyDescent="0.2">
      <c r="B229" s="381"/>
    </row>
    <row r="230" spans="2:2" x14ac:dyDescent="0.2">
      <c r="B230" s="381"/>
    </row>
    <row r="231" spans="2:2" x14ac:dyDescent="0.2">
      <c r="B231" s="381"/>
    </row>
    <row r="232" spans="2:2" x14ac:dyDescent="0.2">
      <c r="B232" s="381"/>
    </row>
    <row r="233" spans="2:2" x14ac:dyDescent="0.2">
      <c r="B233" s="381"/>
    </row>
    <row r="234" spans="2:2" x14ac:dyDescent="0.2">
      <c r="B234" s="381"/>
    </row>
    <row r="235" spans="2:2" x14ac:dyDescent="0.2">
      <c r="B235" s="381"/>
    </row>
    <row r="236" spans="2:2" x14ac:dyDescent="0.2">
      <c r="B236" s="381"/>
    </row>
    <row r="237" spans="2:2" x14ac:dyDescent="0.2">
      <c r="B237" s="381"/>
    </row>
    <row r="238" spans="2:2" x14ac:dyDescent="0.2">
      <c r="B238" s="381"/>
    </row>
    <row r="239" spans="2:2" x14ac:dyDescent="0.2">
      <c r="B239" s="381"/>
    </row>
    <row r="240" spans="2:2" x14ac:dyDescent="0.2">
      <c r="B240" s="381"/>
    </row>
    <row r="241" spans="2:2" x14ac:dyDescent="0.2">
      <c r="B241" s="381"/>
    </row>
    <row r="242" spans="2:2" x14ac:dyDescent="0.2">
      <c r="B242" s="381"/>
    </row>
    <row r="243" spans="2:2" x14ac:dyDescent="0.2">
      <c r="B243" s="381"/>
    </row>
    <row r="244" spans="2:2" x14ac:dyDescent="0.2">
      <c r="B244" s="381"/>
    </row>
    <row r="245" spans="2:2" x14ac:dyDescent="0.2">
      <c r="B245" s="381"/>
    </row>
    <row r="246" spans="2:2" x14ac:dyDescent="0.2">
      <c r="B246" s="381"/>
    </row>
    <row r="247" spans="2:2" x14ac:dyDescent="0.2">
      <c r="B247" s="381"/>
    </row>
    <row r="248" spans="2:2" x14ac:dyDescent="0.2">
      <c r="B248" s="381"/>
    </row>
    <row r="249" spans="2:2" x14ac:dyDescent="0.2">
      <c r="B249" s="381"/>
    </row>
    <row r="250" spans="2:2" x14ac:dyDescent="0.2">
      <c r="B250" s="381"/>
    </row>
    <row r="251" spans="2:2" x14ac:dyDescent="0.2">
      <c r="B251" s="381"/>
    </row>
    <row r="252" spans="2:2" x14ac:dyDescent="0.2">
      <c r="B252" s="381"/>
    </row>
    <row r="253" spans="2:2" x14ac:dyDescent="0.2">
      <c r="B253" s="381"/>
    </row>
    <row r="254" spans="2:2" x14ac:dyDescent="0.2">
      <c r="B254" s="381"/>
    </row>
    <row r="255" spans="2:2" x14ac:dyDescent="0.2">
      <c r="B255" s="381"/>
    </row>
    <row r="256" spans="2:2" x14ac:dyDescent="0.2">
      <c r="B256" s="381"/>
    </row>
    <row r="257" spans="2:2" x14ac:dyDescent="0.2">
      <c r="B257" s="381"/>
    </row>
    <row r="258" spans="2:2" x14ac:dyDescent="0.2">
      <c r="B258" s="381"/>
    </row>
    <row r="259" spans="2:2" x14ac:dyDescent="0.2">
      <c r="B259" s="381"/>
    </row>
    <row r="260" spans="2:2" x14ac:dyDescent="0.2">
      <c r="B260" s="381"/>
    </row>
    <row r="261" spans="2:2" x14ac:dyDescent="0.2">
      <c r="B261" s="381"/>
    </row>
    <row r="262" spans="2:2" x14ac:dyDescent="0.2">
      <c r="B262" s="381"/>
    </row>
    <row r="263" spans="2:2" x14ac:dyDescent="0.2">
      <c r="B263" s="381"/>
    </row>
    <row r="264" spans="2:2" x14ac:dyDescent="0.2">
      <c r="B264" s="381"/>
    </row>
    <row r="265" spans="2:2" x14ac:dyDescent="0.2">
      <c r="B265" s="381"/>
    </row>
    <row r="266" spans="2:2" x14ac:dyDescent="0.2">
      <c r="B266" s="381"/>
    </row>
    <row r="267" spans="2:2" x14ac:dyDescent="0.2">
      <c r="B267" s="381"/>
    </row>
    <row r="268" spans="2:2" x14ac:dyDescent="0.2">
      <c r="B268" s="381"/>
    </row>
    <row r="269" spans="2:2" x14ac:dyDescent="0.2">
      <c r="B269" s="381"/>
    </row>
    <row r="270" spans="2:2" x14ac:dyDescent="0.2">
      <c r="B270" s="381"/>
    </row>
    <row r="271" spans="2:2" x14ac:dyDescent="0.2">
      <c r="B271" s="381"/>
    </row>
    <row r="272" spans="2:2" x14ac:dyDescent="0.2">
      <c r="B272" s="381"/>
    </row>
    <row r="273" spans="2:2" x14ac:dyDescent="0.2">
      <c r="B273" s="381"/>
    </row>
    <row r="274" spans="2:2" x14ac:dyDescent="0.2">
      <c r="B274" s="381"/>
    </row>
    <row r="275" spans="2:2" x14ac:dyDescent="0.2">
      <c r="B275" s="381"/>
    </row>
    <row r="276" spans="2:2" x14ac:dyDescent="0.2">
      <c r="B276" s="381"/>
    </row>
    <row r="277" spans="2:2" x14ac:dyDescent="0.2">
      <c r="B277" s="381"/>
    </row>
    <row r="278" spans="2:2" x14ac:dyDescent="0.2">
      <c r="B278" s="381"/>
    </row>
    <row r="279" spans="2:2" x14ac:dyDescent="0.2">
      <c r="B279" s="381"/>
    </row>
    <row r="280" spans="2:2" x14ac:dyDescent="0.2">
      <c r="B280" s="381"/>
    </row>
    <row r="281" spans="2:2" x14ac:dyDescent="0.2">
      <c r="B281" s="381"/>
    </row>
    <row r="282" spans="2:2" x14ac:dyDescent="0.2">
      <c r="B282" s="381"/>
    </row>
    <row r="283" spans="2:2" x14ac:dyDescent="0.2">
      <c r="B283" s="381"/>
    </row>
    <row r="284" spans="2:2" x14ac:dyDescent="0.2">
      <c r="B284" s="381"/>
    </row>
    <row r="285" spans="2:2" x14ac:dyDescent="0.2">
      <c r="B285" s="381"/>
    </row>
    <row r="286" spans="2:2" x14ac:dyDescent="0.2">
      <c r="B286" s="381"/>
    </row>
    <row r="287" spans="2:2" x14ac:dyDescent="0.2">
      <c r="B287" s="381"/>
    </row>
    <row r="288" spans="2:2" x14ac:dyDescent="0.2">
      <c r="B288" s="381"/>
    </row>
    <row r="289" spans="2:2" x14ac:dyDescent="0.2">
      <c r="B289" s="381"/>
    </row>
    <row r="290" spans="2:2" x14ac:dyDescent="0.2">
      <c r="B290" s="381"/>
    </row>
    <row r="291" spans="2:2" x14ac:dyDescent="0.2">
      <c r="B291" s="381"/>
    </row>
    <row r="292" spans="2:2" x14ac:dyDescent="0.2">
      <c r="B292" s="381"/>
    </row>
    <row r="293" spans="2:2" x14ac:dyDescent="0.2">
      <c r="B293" s="381"/>
    </row>
    <row r="294" spans="2:2" x14ac:dyDescent="0.2">
      <c r="B294" s="381"/>
    </row>
    <row r="295" spans="2:2" x14ac:dyDescent="0.2">
      <c r="B295" s="381"/>
    </row>
    <row r="296" spans="2:2" x14ac:dyDescent="0.2">
      <c r="B296" s="381"/>
    </row>
    <row r="297" spans="2:2" x14ac:dyDescent="0.2">
      <c r="B297" s="381"/>
    </row>
    <row r="298" spans="2:2" x14ac:dyDescent="0.2">
      <c r="B298" s="381"/>
    </row>
    <row r="299" spans="2:2" x14ac:dyDescent="0.2">
      <c r="B299" s="381"/>
    </row>
    <row r="300" spans="2:2" x14ac:dyDescent="0.2">
      <c r="B300" s="381"/>
    </row>
    <row r="301" spans="2:2" x14ac:dyDescent="0.2">
      <c r="B301" s="381"/>
    </row>
    <row r="302" spans="2:2" x14ac:dyDescent="0.2">
      <c r="B302" s="381"/>
    </row>
    <row r="303" spans="2:2" x14ac:dyDescent="0.2">
      <c r="B303" s="381"/>
    </row>
    <row r="304" spans="2:2" x14ac:dyDescent="0.2">
      <c r="B304" s="381"/>
    </row>
    <row r="305" spans="2:2" x14ac:dyDescent="0.2">
      <c r="B305" s="381"/>
    </row>
    <row r="306" spans="2:2" x14ac:dyDescent="0.2">
      <c r="B306" s="381"/>
    </row>
    <row r="307" spans="2:2" x14ac:dyDescent="0.2">
      <c r="B307" s="381"/>
    </row>
    <row r="308" spans="2:2" x14ac:dyDescent="0.2">
      <c r="B308" s="381"/>
    </row>
    <row r="309" spans="2:2" x14ac:dyDescent="0.2">
      <c r="B309" s="381"/>
    </row>
    <row r="310" spans="2:2" x14ac:dyDescent="0.2">
      <c r="B310" s="381"/>
    </row>
    <row r="311" spans="2:2" x14ac:dyDescent="0.2">
      <c r="B311" s="381"/>
    </row>
    <row r="312" spans="2:2" x14ac:dyDescent="0.2">
      <c r="B312" s="381"/>
    </row>
    <row r="313" spans="2:2" x14ac:dyDescent="0.2">
      <c r="B313" s="381"/>
    </row>
    <row r="314" spans="2:2" x14ac:dyDescent="0.2">
      <c r="B314" s="381"/>
    </row>
    <row r="315" spans="2:2" x14ac:dyDescent="0.2">
      <c r="B315" s="381"/>
    </row>
    <row r="316" spans="2:2" x14ac:dyDescent="0.2">
      <c r="B316" s="381"/>
    </row>
    <row r="317" spans="2:2" x14ac:dyDescent="0.2">
      <c r="B317" s="381"/>
    </row>
    <row r="318" spans="2:2" x14ac:dyDescent="0.2">
      <c r="B318" s="381"/>
    </row>
    <row r="319" spans="2:2" x14ac:dyDescent="0.2">
      <c r="B319" s="381"/>
    </row>
    <row r="320" spans="2:2" x14ac:dyDescent="0.2">
      <c r="B320" s="381"/>
    </row>
    <row r="321" spans="2:2" x14ac:dyDescent="0.2">
      <c r="B321" s="381"/>
    </row>
    <row r="322" spans="2:2" x14ac:dyDescent="0.2">
      <c r="B322" s="381"/>
    </row>
    <row r="323" spans="2:2" x14ac:dyDescent="0.2">
      <c r="B323" s="381"/>
    </row>
    <row r="324" spans="2:2" x14ac:dyDescent="0.2">
      <c r="B324" s="381"/>
    </row>
    <row r="325" spans="2:2" x14ac:dyDescent="0.2">
      <c r="B325" s="381"/>
    </row>
    <row r="326" spans="2:2" x14ac:dyDescent="0.2">
      <c r="B326" s="381"/>
    </row>
    <row r="327" spans="2:2" x14ac:dyDescent="0.2">
      <c r="B327" s="381"/>
    </row>
    <row r="328" spans="2:2" x14ac:dyDescent="0.2">
      <c r="B328" s="381"/>
    </row>
    <row r="329" spans="2:2" x14ac:dyDescent="0.2">
      <c r="B329" s="381"/>
    </row>
    <row r="330" spans="2:2" x14ac:dyDescent="0.2">
      <c r="B330" s="381"/>
    </row>
    <row r="331" spans="2:2" x14ac:dyDescent="0.2">
      <c r="B331" s="381"/>
    </row>
    <row r="332" spans="2:2" x14ac:dyDescent="0.2">
      <c r="B332" s="381"/>
    </row>
    <row r="333" spans="2:2" x14ac:dyDescent="0.2">
      <c r="B333" s="381"/>
    </row>
    <row r="334" spans="2:2" x14ac:dyDescent="0.2">
      <c r="B334" s="381"/>
    </row>
    <row r="335" spans="2:2" x14ac:dyDescent="0.2">
      <c r="B335" s="381"/>
    </row>
    <row r="336" spans="2:2" x14ac:dyDescent="0.2">
      <c r="B336" s="381"/>
    </row>
    <row r="337" spans="2:2" x14ac:dyDescent="0.2">
      <c r="B337" s="381"/>
    </row>
    <row r="338" spans="2:2" x14ac:dyDescent="0.2">
      <c r="B338" s="381"/>
    </row>
    <row r="339" spans="2:2" x14ac:dyDescent="0.2">
      <c r="B339" s="381"/>
    </row>
    <row r="340" spans="2:2" x14ac:dyDescent="0.2">
      <c r="B340" s="381"/>
    </row>
    <row r="341" spans="2:2" x14ac:dyDescent="0.2">
      <c r="B341" s="381"/>
    </row>
    <row r="342" spans="2:2" x14ac:dyDescent="0.2">
      <c r="B342" s="381"/>
    </row>
    <row r="343" spans="2:2" x14ac:dyDescent="0.2">
      <c r="B343" s="381"/>
    </row>
    <row r="344" spans="2:2" x14ac:dyDescent="0.2">
      <c r="B344" s="381"/>
    </row>
    <row r="345" spans="2:2" x14ac:dyDescent="0.2">
      <c r="B345" s="381"/>
    </row>
    <row r="346" spans="2:2" x14ac:dyDescent="0.2">
      <c r="B346" s="381"/>
    </row>
    <row r="347" spans="2:2" x14ac:dyDescent="0.2">
      <c r="B347" s="381"/>
    </row>
    <row r="348" spans="2:2" x14ac:dyDescent="0.2">
      <c r="B348" s="381"/>
    </row>
    <row r="349" spans="2:2" x14ac:dyDescent="0.2">
      <c r="B349" s="381"/>
    </row>
    <row r="350" spans="2:2" x14ac:dyDescent="0.2">
      <c r="B350" s="381"/>
    </row>
    <row r="351" spans="2:2" x14ac:dyDescent="0.2">
      <c r="B351" s="381"/>
    </row>
    <row r="352" spans="2:2" x14ac:dyDescent="0.2">
      <c r="B352" s="381"/>
    </row>
    <row r="353" spans="2:2" x14ac:dyDescent="0.2">
      <c r="B353" s="381"/>
    </row>
    <row r="354" spans="2:2" x14ac:dyDescent="0.2">
      <c r="B354" s="381"/>
    </row>
    <row r="355" spans="2:2" x14ac:dyDescent="0.2">
      <c r="B355" s="381"/>
    </row>
    <row r="356" spans="2:2" x14ac:dyDescent="0.2">
      <c r="B356" s="381"/>
    </row>
    <row r="357" spans="2:2" x14ac:dyDescent="0.2">
      <c r="B357" s="381"/>
    </row>
    <row r="358" spans="2:2" x14ac:dyDescent="0.2">
      <c r="B358" s="381"/>
    </row>
    <row r="359" spans="2:2" x14ac:dyDescent="0.2">
      <c r="B359" s="381"/>
    </row>
    <row r="360" spans="2:2" x14ac:dyDescent="0.2">
      <c r="B360" s="381"/>
    </row>
    <row r="361" spans="2:2" x14ac:dyDescent="0.2">
      <c r="B361" s="381"/>
    </row>
    <row r="362" spans="2:2" x14ac:dyDescent="0.2">
      <c r="B362" s="381"/>
    </row>
    <row r="363" spans="2:2" x14ac:dyDescent="0.2">
      <c r="B363" s="381"/>
    </row>
    <row r="364" spans="2:2" x14ac:dyDescent="0.2">
      <c r="B364" s="381"/>
    </row>
    <row r="365" spans="2:2" x14ac:dyDescent="0.2">
      <c r="B365" s="381"/>
    </row>
    <row r="366" spans="2:2" x14ac:dyDescent="0.2">
      <c r="B366" s="381"/>
    </row>
    <row r="367" spans="2:2" x14ac:dyDescent="0.2">
      <c r="B367" s="381"/>
    </row>
    <row r="368" spans="2:2" x14ac:dyDescent="0.2">
      <c r="B368" s="381"/>
    </row>
    <row r="369" spans="2:2" x14ac:dyDescent="0.2">
      <c r="B369" s="381"/>
    </row>
    <row r="370" spans="2:2" x14ac:dyDescent="0.2">
      <c r="B370" s="381"/>
    </row>
    <row r="371" spans="2:2" x14ac:dyDescent="0.2">
      <c r="B371" s="381"/>
    </row>
    <row r="372" spans="2:2" x14ac:dyDescent="0.2">
      <c r="B372" s="381"/>
    </row>
    <row r="373" spans="2:2" x14ac:dyDescent="0.2">
      <c r="B373" s="381"/>
    </row>
    <row r="374" spans="2:2" x14ac:dyDescent="0.2">
      <c r="B374" s="381"/>
    </row>
    <row r="375" spans="2:2" x14ac:dyDescent="0.2">
      <c r="B375" s="381"/>
    </row>
    <row r="376" spans="2:2" x14ac:dyDescent="0.2">
      <c r="B376" s="381"/>
    </row>
    <row r="377" spans="2:2" x14ac:dyDescent="0.2">
      <c r="B377" s="381"/>
    </row>
    <row r="378" spans="2:2" x14ac:dyDescent="0.2">
      <c r="B378" s="381"/>
    </row>
    <row r="379" spans="2:2" x14ac:dyDescent="0.2">
      <c r="B379" s="381"/>
    </row>
    <row r="380" spans="2:2" x14ac:dyDescent="0.2">
      <c r="B380" s="381"/>
    </row>
    <row r="381" spans="2:2" x14ac:dyDescent="0.2">
      <c r="B381" s="381"/>
    </row>
    <row r="382" spans="2:2" x14ac:dyDescent="0.2">
      <c r="B382" s="381"/>
    </row>
    <row r="383" spans="2:2" x14ac:dyDescent="0.2">
      <c r="B383" s="381"/>
    </row>
    <row r="384" spans="2:2" x14ac:dyDescent="0.2">
      <c r="B384" s="381"/>
    </row>
    <row r="385" spans="2:2" x14ac:dyDescent="0.2">
      <c r="B385" s="381"/>
    </row>
    <row r="386" spans="2:2" x14ac:dyDescent="0.2">
      <c r="B386" s="381"/>
    </row>
    <row r="387" spans="2:2" x14ac:dyDescent="0.2">
      <c r="B387" s="381"/>
    </row>
    <row r="388" spans="2:2" x14ac:dyDescent="0.2">
      <c r="B388" s="381"/>
    </row>
    <row r="389" spans="2:2" x14ac:dyDescent="0.2">
      <c r="B389" s="381"/>
    </row>
    <row r="390" spans="2:2" x14ac:dyDescent="0.2">
      <c r="B390" s="381"/>
    </row>
    <row r="391" spans="2:2" x14ac:dyDescent="0.2">
      <c r="B391" s="381"/>
    </row>
    <row r="392" spans="2:2" x14ac:dyDescent="0.2">
      <c r="B392" s="381"/>
    </row>
    <row r="393" spans="2:2" x14ac:dyDescent="0.2">
      <c r="B393" s="381"/>
    </row>
    <row r="394" spans="2:2" x14ac:dyDescent="0.2">
      <c r="B394" s="381"/>
    </row>
    <row r="395" spans="2:2" x14ac:dyDescent="0.2">
      <c r="B395" s="381"/>
    </row>
    <row r="396" spans="2:2" x14ac:dyDescent="0.2">
      <c r="B396" s="381"/>
    </row>
    <row r="397" spans="2:2" x14ac:dyDescent="0.2">
      <c r="B397" s="381"/>
    </row>
    <row r="398" spans="2:2" x14ac:dyDescent="0.2">
      <c r="B398" s="381"/>
    </row>
    <row r="399" spans="2:2" x14ac:dyDescent="0.2">
      <c r="B399" s="381"/>
    </row>
    <row r="400" spans="2:2" x14ac:dyDescent="0.2">
      <c r="B400" s="381"/>
    </row>
    <row r="401" spans="2:2" x14ac:dyDescent="0.2">
      <c r="B401" s="381"/>
    </row>
    <row r="402" spans="2:2" x14ac:dyDescent="0.2">
      <c r="B402" s="381"/>
    </row>
    <row r="403" spans="2:2" x14ac:dyDescent="0.2">
      <c r="B403" s="381"/>
    </row>
    <row r="404" spans="2:2" x14ac:dyDescent="0.2">
      <c r="B404" s="381"/>
    </row>
    <row r="405" spans="2:2" x14ac:dyDescent="0.2">
      <c r="B405" s="381"/>
    </row>
    <row r="406" spans="2:2" x14ac:dyDescent="0.2">
      <c r="B406" s="381"/>
    </row>
    <row r="407" spans="2:2" x14ac:dyDescent="0.2">
      <c r="B407" s="381"/>
    </row>
    <row r="408" spans="2:2" x14ac:dyDescent="0.2">
      <c r="B408" s="381"/>
    </row>
    <row r="409" spans="2:2" x14ac:dyDescent="0.2">
      <c r="B409" s="381"/>
    </row>
    <row r="410" spans="2:2" x14ac:dyDescent="0.2">
      <c r="B410" s="381"/>
    </row>
    <row r="411" spans="2:2" x14ac:dyDescent="0.2">
      <c r="B411" s="381"/>
    </row>
    <row r="412" spans="2:2" x14ac:dyDescent="0.2">
      <c r="B412" s="381"/>
    </row>
    <row r="413" spans="2:2" x14ac:dyDescent="0.2">
      <c r="B413" s="381"/>
    </row>
    <row r="414" spans="2:2" x14ac:dyDescent="0.2">
      <c r="B414" s="381"/>
    </row>
    <row r="415" spans="2:2" x14ac:dyDescent="0.2">
      <c r="B415" s="381"/>
    </row>
    <row r="416" spans="2:2" x14ac:dyDescent="0.2">
      <c r="B416" s="381"/>
    </row>
    <row r="417" spans="2:2" x14ac:dyDescent="0.2">
      <c r="B417" s="381"/>
    </row>
    <row r="418" spans="2:2" x14ac:dyDescent="0.2">
      <c r="B418" s="381"/>
    </row>
    <row r="419" spans="2:2" x14ac:dyDescent="0.2">
      <c r="B419" s="381"/>
    </row>
    <row r="420" spans="2:2" x14ac:dyDescent="0.2">
      <c r="B420" s="381"/>
    </row>
    <row r="421" spans="2:2" x14ac:dyDescent="0.2">
      <c r="B421" s="381"/>
    </row>
    <row r="422" spans="2:2" x14ac:dyDescent="0.2">
      <c r="B422" s="381"/>
    </row>
    <row r="423" spans="2:2" x14ac:dyDescent="0.2">
      <c r="B423" s="381"/>
    </row>
    <row r="424" spans="2:2" x14ac:dyDescent="0.2">
      <c r="B424" s="381"/>
    </row>
    <row r="425" spans="2:2" x14ac:dyDescent="0.2">
      <c r="B425" s="381"/>
    </row>
    <row r="426" spans="2:2" x14ac:dyDescent="0.2">
      <c r="B426" s="381"/>
    </row>
    <row r="427" spans="2:2" x14ac:dyDescent="0.2">
      <c r="B427" s="381"/>
    </row>
    <row r="428" spans="2:2" x14ac:dyDescent="0.2">
      <c r="B428" s="381"/>
    </row>
    <row r="429" spans="2:2" x14ac:dyDescent="0.2">
      <c r="B429" s="381"/>
    </row>
    <row r="430" spans="2:2" x14ac:dyDescent="0.2">
      <c r="B430" s="381"/>
    </row>
    <row r="431" spans="2:2" x14ac:dyDescent="0.2">
      <c r="B431" s="381"/>
    </row>
    <row r="432" spans="2:2" x14ac:dyDescent="0.2">
      <c r="B432" s="381"/>
    </row>
    <row r="433" spans="2:2" x14ac:dyDescent="0.2">
      <c r="B433" s="381"/>
    </row>
    <row r="434" spans="2:2" x14ac:dyDescent="0.2">
      <c r="B434" s="381"/>
    </row>
    <row r="435" spans="2:2" x14ac:dyDescent="0.2">
      <c r="B435" s="381"/>
    </row>
    <row r="436" spans="2:2" x14ac:dyDescent="0.2">
      <c r="B436" s="381"/>
    </row>
    <row r="437" spans="2:2" x14ac:dyDescent="0.2">
      <c r="B437" s="381"/>
    </row>
    <row r="438" spans="2:2" x14ac:dyDescent="0.2">
      <c r="B438" s="381"/>
    </row>
    <row r="439" spans="2:2" x14ac:dyDescent="0.2">
      <c r="B439" s="381"/>
    </row>
    <row r="440" spans="2:2" x14ac:dyDescent="0.2">
      <c r="B440" s="381"/>
    </row>
    <row r="441" spans="2:2" x14ac:dyDescent="0.2">
      <c r="B441" s="381"/>
    </row>
    <row r="442" spans="2:2" x14ac:dyDescent="0.2">
      <c r="B442" s="381"/>
    </row>
    <row r="443" spans="2:2" x14ac:dyDescent="0.2">
      <c r="B443" s="381"/>
    </row>
    <row r="444" spans="2:2" x14ac:dyDescent="0.2">
      <c r="B444" s="381"/>
    </row>
    <row r="445" spans="2:2" x14ac:dyDescent="0.2">
      <c r="B445" s="381"/>
    </row>
    <row r="446" spans="2:2" x14ac:dyDescent="0.2">
      <c r="B446" s="381"/>
    </row>
    <row r="447" spans="2:2" x14ac:dyDescent="0.2">
      <c r="B447" s="381"/>
    </row>
    <row r="448" spans="2:2" x14ac:dyDescent="0.2">
      <c r="B448" s="381"/>
    </row>
    <row r="449" spans="2:2" x14ac:dyDescent="0.2">
      <c r="B449" s="381"/>
    </row>
    <row r="450" spans="2:2" x14ac:dyDescent="0.2">
      <c r="B450" s="381"/>
    </row>
    <row r="451" spans="2:2" x14ac:dyDescent="0.2">
      <c r="B451" s="381"/>
    </row>
    <row r="452" spans="2:2" x14ac:dyDescent="0.2">
      <c r="B452" s="381"/>
    </row>
    <row r="453" spans="2:2" x14ac:dyDescent="0.2">
      <c r="B453" s="381"/>
    </row>
    <row r="454" spans="2:2" x14ac:dyDescent="0.2">
      <c r="B454" s="381"/>
    </row>
    <row r="455" spans="2:2" x14ac:dyDescent="0.2">
      <c r="B455" s="381"/>
    </row>
    <row r="456" spans="2:2" x14ac:dyDescent="0.2">
      <c r="B456" s="381"/>
    </row>
    <row r="457" spans="2:2" x14ac:dyDescent="0.2">
      <c r="B457" s="381"/>
    </row>
    <row r="458" spans="2:2" x14ac:dyDescent="0.2">
      <c r="B458" s="381"/>
    </row>
    <row r="459" spans="2:2" x14ac:dyDescent="0.2">
      <c r="B459" s="381"/>
    </row>
    <row r="460" spans="2:2" x14ac:dyDescent="0.2">
      <c r="B460" s="381"/>
    </row>
    <row r="461" spans="2:2" x14ac:dyDescent="0.2">
      <c r="B461" s="381"/>
    </row>
    <row r="462" spans="2:2" x14ac:dyDescent="0.2">
      <c r="B462" s="381"/>
    </row>
    <row r="463" spans="2:2" x14ac:dyDescent="0.2">
      <c r="B463" s="381"/>
    </row>
    <row r="464" spans="2:2" x14ac:dyDescent="0.2">
      <c r="B464" s="381"/>
    </row>
    <row r="465" spans="2:2" x14ac:dyDescent="0.2">
      <c r="B465" s="381"/>
    </row>
    <row r="466" spans="2:2" x14ac:dyDescent="0.2">
      <c r="B466" s="381"/>
    </row>
    <row r="467" spans="2:2" x14ac:dyDescent="0.2">
      <c r="B467" s="381"/>
    </row>
    <row r="468" spans="2:2" x14ac:dyDescent="0.2">
      <c r="B468" s="381"/>
    </row>
    <row r="469" spans="2:2" x14ac:dyDescent="0.2">
      <c r="B469" s="381"/>
    </row>
    <row r="470" spans="2:2" x14ac:dyDescent="0.2">
      <c r="B470" s="381"/>
    </row>
    <row r="471" spans="2:2" x14ac:dyDescent="0.2">
      <c r="B471" s="381"/>
    </row>
    <row r="472" spans="2:2" x14ac:dyDescent="0.2">
      <c r="B472" s="381"/>
    </row>
    <row r="473" spans="2:2" x14ac:dyDescent="0.2">
      <c r="B473" s="381"/>
    </row>
    <row r="474" spans="2:2" x14ac:dyDescent="0.2">
      <c r="B474" s="381"/>
    </row>
    <row r="475" spans="2:2" x14ac:dyDescent="0.2">
      <c r="B475" s="381"/>
    </row>
    <row r="476" spans="2:2" x14ac:dyDescent="0.2">
      <c r="B476" s="381"/>
    </row>
    <row r="477" spans="2:2" x14ac:dyDescent="0.2">
      <c r="B477" s="381"/>
    </row>
    <row r="478" spans="2:2" x14ac:dyDescent="0.2">
      <c r="B478" s="381"/>
    </row>
    <row r="479" spans="2:2" x14ac:dyDescent="0.2">
      <c r="B479" s="381"/>
    </row>
    <row r="480" spans="2:2" x14ac:dyDescent="0.2">
      <c r="B480" s="381"/>
    </row>
    <row r="481" spans="2:2" x14ac:dyDescent="0.2">
      <c r="B481" s="381"/>
    </row>
    <row r="482" spans="2:2" x14ac:dyDescent="0.2">
      <c r="B482" s="381"/>
    </row>
    <row r="483" spans="2:2" x14ac:dyDescent="0.2">
      <c r="B483" s="381"/>
    </row>
    <row r="484" spans="2:2" x14ac:dyDescent="0.2">
      <c r="B484" s="381"/>
    </row>
    <row r="485" spans="2:2" x14ac:dyDescent="0.2">
      <c r="B485" s="381"/>
    </row>
    <row r="486" spans="2:2" x14ac:dyDescent="0.2">
      <c r="B486" s="381"/>
    </row>
    <row r="487" spans="2:2" x14ac:dyDescent="0.2">
      <c r="B487" s="381"/>
    </row>
    <row r="488" spans="2:2" x14ac:dyDescent="0.2">
      <c r="B488" s="381"/>
    </row>
    <row r="489" spans="2:2" x14ac:dyDescent="0.2">
      <c r="B489" s="381"/>
    </row>
    <row r="490" spans="2:2" x14ac:dyDescent="0.2">
      <c r="B490" s="381"/>
    </row>
    <row r="491" spans="2:2" x14ac:dyDescent="0.2">
      <c r="B491" s="381"/>
    </row>
    <row r="492" spans="2:2" x14ac:dyDescent="0.2">
      <c r="B492" s="381"/>
    </row>
    <row r="493" spans="2:2" x14ac:dyDescent="0.2">
      <c r="B493" s="381"/>
    </row>
    <row r="494" spans="2:2" x14ac:dyDescent="0.2">
      <c r="B494" s="381"/>
    </row>
    <row r="495" spans="2:2" x14ac:dyDescent="0.2">
      <c r="B495" s="381"/>
    </row>
    <row r="496" spans="2:2" x14ac:dyDescent="0.2">
      <c r="B496" s="381"/>
    </row>
    <row r="497" spans="2:2" x14ac:dyDescent="0.2">
      <c r="B497" s="381"/>
    </row>
    <row r="498" spans="2:2" x14ac:dyDescent="0.2">
      <c r="B498" s="381"/>
    </row>
    <row r="499" spans="2:2" x14ac:dyDescent="0.2">
      <c r="B499" s="381"/>
    </row>
    <row r="500" spans="2:2" x14ac:dyDescent="0.2">
      <c r="B500" s="381"/>
    </row>
    <row r="501" spans="2:2" x14ac:dyDescent="0.2">
      <c r="B501" s="381"/>
    </row>
    <row r="502" spans="2:2" x14ac:dyDescent="0.2">
      <c r="B502" s="381"/>
    </row>
    <row r="503" spans="2:2" x14ac:dyDescent="0.2">
      <c r="B503" s="381"/>
    </row>
    <row r="504" spans="2:2" x14ac:dyDescent="0.2">
      <c r="B504" s="381"/>
    </row>
    <row r="505" spans="2:2" x14ac:dyDescent="0.2">
      <c r="B505" s="381"/>
    </row>
    <row r="506" spans="2:2" x14ac:dyDescent="0.2">
      <c r="B506" s="381"/>
    </row>
    <row r="507" spans="2:2" x14ac:dyDescent="0.2">
      <c r="B507" s="381"/>
    </row>
    <row r="508" spans="2:2" x14ac:dyDescent="0.2">
      <c r="B508" s="381"/>
    </row>
    <row r="509" spans="2:2" x14ac:dyDescent="0.2">
      <c r="B509" s="381"/>
    </row>
    <row r="510" spans="2:2" x14ac:dyDescent="0.2">
      <c r="B510" s="381"/>
    </row>
    <row r="511" spans="2:2" x14ac:dyDescent="0.2">
      <c r="B511" s="381"/>
    </row>
    <row r="512" spans="2:2" x14ac:dyDescent="0.2">
      <c r="B512" s="381"/>
    </row>
    <row r="513" spans="2:2" x14ac:dyDescent="0.2">
      <c r="B513" s="381"/>
    </row>
    <row r="514" spans="2:2" x14ac:dyDescent="0.2">
      <c r="B514" s="381"/>
    </row>
    <row r="515" spans="2:2" x14ac:dyDescent="0.2">
      <c r="B515" s="381"/>
    </row>
    <row r="516" spans="2:2" x14ac:dyDescent="0.2">
      <c r="B516" s="381"/>
    </row>
    <row r="517" spans="2:2" x14ac:dyDescent="0.2">
      <c r="B517" s="381"/>
    </row>
    <row r="518" spans="2:2" x14ac:dyDescent="0.2">
      <c r="B518" s="381"/>
    </row>
    <row r="519" spans="2:2" x14ac:dyDescent="0.2">
      <c r="B519" s="381"/>
    </row>
    <row r="520" spans="2:2" x14ac:dyDescent="0.2">
      <c r="B520" s="381"/>
    </row>
    <row r="521" spans="2:2" x14ac:dyDescent="0.2">
      <c r="B521" s="381"/>
    </row>
    <row r="522" spans="2:2" x14ac:dyDescent="0.2">
      <c r="B522" s="381"/>
    </row>
    <row r="523" spans="2:2" x14ac:dyDescent="0.2">
      <c r="B523" s="381"/>
    </row>
    <row r="524" spans="2:2" x14ac:dyDescent="0.2">
      <c r="B524" s="381"/>
    </row>
    <row r="525" spans="2:2" x14ac:dyDescent="0.2">
      <c r="B525" s="381"/>
    </row>
    <row r="526" spans="2:2" x14ac:dyDescent="0.2">
      <c r="B526" s="381"/>
    </row>
    <row r="527" spans="2:2" x14ac:dyDescent="0.2">
      <c r="B527" s="381"/>
    </row>
    <row r="528" spans="2:2" x14ac:dyDescent="0.2">
      <c r="B528" s="381"/>
    </row>
    <row r="529" spans="2:2" x14ac:dyDescent="0.2">
      <c r="B529" s="381"/>
    </row>
    <row r="530" spans="2:2" x14ac:dyDescent="0.2">
      <c r="B530" s="381"/>
    </row>
    <row r="531" spans="2:2" x14ac:dyDescent="0.2">
      <c r="B531" s="381"/>
    </row>
    <row r="532" spans="2:2" x14ac:dyDescent="0.2">
      <c r="B532" s="381"/>
    </row>
    <row r="533" spans="2:2" x14ac:dyDescent="0.2">
      <c r="B533" s="381"/>
    </row>
    <row r="534" spans="2:2" x14ac:dyDescent="0.2">
      <c r="B534" s="381"/>
    </row>
    <row r="535" spans="2:2" x14ac:dyDescent="0.2">
      <c r="B535" s="381"/>
    </row>
    <row r="536" spans="2:2" x14ac:dyDescent="0.2">
      <c r="B536" s="381"/>
    </row>
    <row r="537" spans="2:2" x14ac:dyDescent="0.2">
      <c r="B537" s="381"/>
    </row>
    <row r="538" spans="2:2" x14ac:dyDescent="0.2">
      <c r="B538" s="381"/>
    </row>
    <row r="539" spans="2:2" x14ac:dyDescent="0.2">
      <c r="B539" s="381"/>
    </row>
    <row r="540" spans="2:2" x14ac:dyDescent="0.2">
      <c r="B540" s="381"/>
    </row>
    <row r="541" spans="2:2" x14ac:dyDescent="0.2">
      <c r="B541" s="381"/>
    </row>
    <row r="542" spans="2:2" x14ac:dyDescent="0.2">
      <c r="B542" s="381"/>
    </row>
    <row r="543" spans="2:2" x14ac:dyDescent="0.2">
      <c r="B543" s="381"/>
    </row>
    <row r="544" spans="2:2" x14ac:dyDescent="0.2">
      <c r="B544" s="381"/>
    </row>
    <row r="545" spans="2:2" x14ac:dyDescent="0.2">
      <c r="B545" s="381"/>
    </row>
    <row r="546" spans="2:2" x14ac:dyDescent="0.2">
      <c r="B546" s="381"/>
    </row>
    <row r="547" spans="2:2" x14ac:dyDescent="0.2">
      <c r="B547" s="381"/>
    </row>
    <row r="548" spans="2:2" x14ac:dyDescent="0.2">
      <c r="B548" s="381"/>
    </row>
    <row r="549" spans="2:2" x14ac:dyDescent="0.2">
      <c r="B549" s="381"/>
    </row>
    <row r="550" spans="2:2" x14ac:dyDescent="0.2">
      <c r="B550" s="381"/>
    </row>
    <row r="551" spans="2:2" x14ac:dyDescent="0.2">
      <c r="B551" s="381"/>
    </row>
    <row r="552" spans="2:2" x14ac:dyDescent="0.2">
      <c r="B552" s="381"/>
    </row>
    <row r="553" spans="2:2" x14ac:dyDescent="0.2">
      <c r="B553" s="381"/>
    </row>
    <row r="554" spans="2:2" x14ac:dyDescent="0.2">
      <c r="B554" s="381"/>
    </row>
    <row r="555" spans="2:2" x14ac:dyDescent="0.2">
      <c r="B555" s="381"/>
    </row>
    <row r="556" spans="2:2" x14ac:dyDescent="0.2">
      <c r="B556" s="381"/>
    </row>
    <row r="557" spans="2:2" x14ac:dyDescent="0.2">
      <c r="B557" s="381"/>
    </row>
    <row r="558" spans="2:2" x14ac:dyDescent="0.2">
      <c r="B558" s="381"/>
    </row>
    <row r="559" spans="2:2" x14ac:dyDescent="0.2">
      <c r="B559" s="381"/>
    </row>
    <row r="560" spans="2:2" x14ac:dyDescent="0.2">
      <c r="B560" s="381"/>
    </row>
    <row r="561" spans="2:2" x14ac:dyDescent="0.2">
      <c r="B561" s="381"/>
    </row>
    <row r="562" spans="2:2" x14ac:dyDescent="0.2">
      <c r="B562" s="381"/>
    </row>
    <row r="563" spans="2:2" x14ac:dyDescent="0.2">
      <c r="B563" s="381"/>
    </row>
    <row r="564" spans="2:2" x14ac:dyDescent="0.2">
      <c r="B564" s="381"/>
    </row>
    <row r="565" spans="2:2" x14ac:dyDescent="0.2">
      <c r="B565" s="381"/>
    </row>
    <row r="566" spans="2:2" x14ac:dyDescent="0.2">
      <c r="B566" s="381"/>
    </row>
    <row r="567" spans="2:2" x14ac:dyDescent="0.2">
      <c r="B567" s="381"/>
    </row>
    <row r="568" spans="2:2" x14ac:dyDescent="0.2">
      <c r="B568" s="381"/>
    </row>
    <row r="569" spans="2:2" x14ac:dyDescent="0.2">
      <c r="B569" s="381"/>
    </row>
    <row r="570" spans="2:2" x14ac:dyDescent="0.2">
      <c r="B570" s="381"/>
    </row>
    <row r="571" spans="2:2" x14ac:dyDescent="0.2">
      <c r="B571" s="381"/>
    </row>
    <row r="572" spans="2:2" x14ac:dyDescent="0.2">
      <c r="B572" s="381"/>
    </row>
    <row r="573" spans="2:2" x14ac:dyDescent="0.2">
      <c r="B573" s="381"/>
    </row>
    <row r="574" spans="2:2" x14ac:dyDescent="0.2">
      <c r="B574" s="381"/>
    </row>
    <row r="575" spans="2:2" x14ac:dyDescent="0.2">
      <c r="B575" s="381"/>
    </row>
    <row r="576" spans="2:2" x14ac:dyDescent="0.2">
      <c r="B576" s="381"/>
    </row>
    <row r="577" spans="2:2" x14ac:dyDescent="0.2">
      <c r="B577" s="381"/>
    </row>
    <row r="578" spans="2:2" x14ac:dyDescent="0.2">
      <c r="B578" s="381"/>
    </row>
    <row r="579" spans="2:2" x14ac:dyDescent="0.2">
      <c r="B579" s="381"/>
    </row>
    <row r="580" spans="2:2" x14ac:dyDescent="0.2">
      <c r="B580" s="381"/>
    </row>
    <row r="581" spans="2:2" x14ac:dyDescent="0.2">
      <c r="B581" s="381"/>
    </row>
    <row r="582" spans="2:2" x14ac:dyDescent="0.2">
      <c r="B582" s="381"/>
    </row>
    <row r="583" spans="2:2" x14ac:dyDescent="0.2">
      <c r="B583" s="381"/>
    </row>
    <row r="584" spans="2:2" x14ac:dyDescent="0.2">
      <c r="B584" s="381"/>
    </row>
    <row r="585" spans="2:2" x14ac:dyDescent="0.2">
      <c r="B585" s="381"/>
    </row>
    <row r="586" spans="2:2" x14ac:dyDescent="0.2">
      <c r="B586" s="381"/>
    </row>
    <row r="587" spans="2:2" x14ac:dyDescent="0.2">
      <c r="B587" s="381"/>
    </row>
    <row r="588" spans="2:2" x14ac:dyDescent="0.2">
      <c r="B588" s="381"/>
    </row>
    <row r="589" spans="2:2" x14ac:dyDescent="0.2">
      <c r="B589" s="381"/>
    </row>
    <row r="590" spans="2:2" x14ac:dyDescent="0.2">
      <c r="B590" s="381"/>
    </row>
    <row r="591" spans="2:2" x14ac:dyDescent="0.2">
      <c r="B591" s="381"/>
    </row>
    <row r="592" spans="2:2" x14ac:dyDescent="0.2">
      <c r="B592" s="381"/>
    </row>
    <row r="593" spans="2:2" x14ac:dyDescent="0.2">
      <c r="B593" s="381"/>
    </row>
    <row r="594" spans="2:2" x14ac:dyDescent="0.2">
      <c r="B594" s="381"/>
    </row>
    <row r="595" spans="2:2" x14ac:dyDescent="0.2">
      <c r="B595" s="381"/>
    </row>
    <row r="596" spans="2:2" x14ac:dyDescent="0.2">
      <c r="B596" s="381"/>
    </row>
    <row r="597" spans="2:2" x14ac:dyDescent="0.2">
      <c r="B597" s="381"/>
    </row>
    <row r="598" spans="2:2" x14ac:dyDescent="0.2">
      <c r="B598" s="381"/>
    </row>
    <row r="599" spans="2:2" x14ac:dyDescent="0.2">
      <c r="B599" s="381"/>
    </row>
    <row r="600" spans="2:2" x14ac:dyDescent="0.2">
      <c r="B600" s="381"/>
    </row>
    <row r="601" spans="2:2" x14ac:dyDescent="0.2">
      <c r="B601" s="381"/>
    </row>
    <row r="602" spans="2:2" x14ac:dyDescent="0.2">
      <c r="B602" s="381"/>
    </row>
    <row r="603" spans="2:2" x14ac:dyDescent="0.2">
      <c r="B603" s="381"/>
    </row>
    <row r="604" spans="2:2" x14ac:dyDescent="0.2">
      <c r="B604" s="381"/>
    </row>
    <row r="605" spans="2:2" x14ac:dyDescent="0.2">
      <c r="B605" s="381"/>
    </row>
    <row r="606" spans="2:2" x14ac:dyDescent="0.2">
      <c r="B606" s="381"/>
    </row>
    <row r="607" spans="2:2" x14ac:dyDescent="0.2">
      <c r="B607" s="381"/>
    </row>
    <row r="608" spans="2:2" x14ac:dyDescent="0.2">
      <c r="B608" s="381"/>
    </row>
    <row r="609" spans="2:2" x14ac:dyDescent="0.2">
      <c r="B609" s="381"/>
    </row>
    <row r="610" spans="2:2" x14ac:dyDescent="0.2">
      <c r="B610" s="381"/>
    </row>
    <row r="611" spans="2:2" x14ac:dyDescent="0.2">
      <c r="B611" s="381"/>
    </row>
    <row r="612" spans="2:2" x14ac:dyDescent="0.2">
      <c r="B612" s="381"/>
    </row>
    <row r="613" spans="2:2" x14ac:dyDescent="0.2">
      <c r="B613" s="381"/>
    </row>
    <row r="614" spans="2:2" x14ac:dyDescent="0.2">
      <c r="B614" s="381"/>
    </row>
    <row r="615" spans="2:2" x14ac:dyDescent="0.2">
      <c r="B615" s="381"/>
    </row>
    <row r="616" spans="2:2" x14ac:dyDescent="0.2">
      <c r="B616" s="381"/>
    </row>
    <row r="617" spans="2:2" x14ac:dyDescent="0.2">
      <c r="B617" s="381"/>
    </row>
    <row r="618" spans="2:2" x14ac:dyDescent="0.2">
      <c r="B618" s="381"/>
    </row>
    <row r="619" spans="2:2" x14ac:dyDescent="0.2">
      <c r="B619" s="381"/>
    </row>
    <row r="620" spans="2:2" x14ac:dyDescent="0.2">
      <c r="B620" s="381"/>
    </row>
    <row r="621" spans="2:2" x14ac:dyDescent="0.2">
      <c r="B621" s="381"/>
    </row>
    <row r="622" spans="2:2" x14ac:dyDescent="0.2">
      <c r="B622" s="381"/>
    </row>
    <row r="623" spans="2:2" x14ac:dyDescent="0.2">
      <c r="B623" s="381"/>
    </row>
    <row r="624" spans="2:2" x14ac:dyDescent="0.2">
      <c r="B624" s="381"/>
    </row>
    <row r="625" spans="2:2" x14ac:dyDescent="0.2">
      <c r="B625" s="381"/>
    </row>
    <row r="626" spans="2:2" x14ac:dyDescent="0.2">
      <c r="B626" s="381"/>
    </row>
    <row r="627" spans="2:2" x14ac:dyDescent="0.2">
      <c r="B627" s="381"/>
    </row>
    <row r="628" spans="2:2" x14ac:dyDescent="0.2">
      <c r="B628" s="381"/>
    </row>
    <row r="629" spans="2:2" x14ac:dyDescent="0.2">
      <c r="B629" s="381"/>
    </row>
    <row r="630" spans="2:2" x14ac:dyDescent="0.2">
      <c r="B630" s="381"/>
    </row>
    <row r="631" spans="2:2" x14ac:dyDescent="0.2">
      <c r="B631" s="381"/>
    </row>
    <row r="632" spans="2:2" x14ac:dyDescent="0.2">
      <c r="B632" s="381"/>
    </row>
    <row r="633" spans="2:2" x14ac:dyDescent="0.2">
      <c r="B633" s="381"/>
    </row>
    <row r="634" spans="2:2" x14ac:dyDescent="0.2">
      <c r="B634" s="381"/>
    </row>
    <row r="635" spans="2:2" x14ac:dyDescent="0.2">
      <c r="B635" s="381"/>
    </row>
    <row r="636" spans="2:2" x14ac:dyDescent="0.2">
      <c r="B636" s="381"/>
    </row>
    <row r="637" spans="2:2" x14ac:dyDescent="0.2">
      <c r="B637" s="381"/>
    </row>
    <row r="638" spans="2:2" x14ac:dyDescent="0.2">
      <c r="B638" s="381"/>
    </row>
    <row r="639" spans="2:2" x14ac:dyDescent="0.2">
      <c r="B639" s="381"/>
    </row>
    <row r="640" spans="2:2" x14ac:dyDescent="0.2">
      <c r="B640" s="381"/>
    </row>
    <row r="641" spans="2:2" x14ac:dyDescent="0.2">
      <c r="B641" s="381"/>
    </row>
    <row r="642" spans="2:2" x14ac:dyDescent="0.2">
      <c r="B642" s="381"/>
    </row>
    <row r="643" spans="2:2" x14ac:dyDescent="0.2">
      <c r="B643" s="381"/>
    </row>
    <row r="644" spans="2:2" x14ac:dyDescent="0.2">
      <c r="B644" s="381"/>
    </row>
    <row r="645" spans="2:2" x14ac:dyDescent="0.2">
      <c r="B645" s="381"/>
    </row>
    <row r="646" spans="2:2" x14ac:dyDescent="0.2">
      <c r="B646" s="381"/>
    </row>
    <row r="647" spans="2:2" x14ac:dyDescent="0.2">
      <c r="B647" s="381"/>
    </row>
    <row r="648" spans="2:2" x14ac:dyDescent="0.2">
      <c r="B648" s="381"/>
    </row>
    <row r="649" spans="2:2" x14ac:dyDescent="0.2">
      <c r="B649" s="381"/>
    </row>
    <row r="650" spans="2:2" x14ac:dyDescent="0.2">
      <c r="B650" s="381"/>
    </row>
    <row r="651" spans="2:2" x14ac:dyDescent="0.2">
      <c r="B651" s="381"/>
    </row>
    <row r="652" spans="2:2" x14ac:dyDescent="0.2">
      <c r="B652" s="381"/>
    </row>
    <row r="653" spans="2:2" x14ac:dyDescent="0.2">
      <c r="B653" s="381"/>
    </row>
    <row r="654" spans="2:2" x14ac:dyDescent="0.2">
      <c r="B654" s="381"/>
    </row>
    <row r="655" spans="2:2" x14ac:dyDescent="0.2">
      <c r="B655" s="381"/>
    </row>
    <row r="656" spans="2:2" x14ac:dyDescent="0.2">
      <c r="B656" s="381"/>
    </row>
    <row r="657" spans="2:2" x14ac:dyDescent="0.2">
      <c r="B657" s="381"/>
    </row>
    <row r="658" spans="2:2" x14ac:dyDescent="0.2">
      <c r="B658" s="381"/>
    </row>
    <row r="659" spans="2:2" x14ac:dyDescent="0.2">
      <c r="B659" s="381"/>
    </row>
    <row r="660" spans="2:2" x14ac:dyDescent="0.2">
      <c r="B660" s="381"/>
    </row>
    <row r="661" spans="2:2" x14ac:dyDescent="0.2">
      <c r="B661" s="381"/>
    </row>
    <row r="662" spans="2:2" x14ac:dyDescent="0.2">
      <c r="B662" s="381"/>
    </row>
    <row r="663" spans="2:2" x14ac:dyDescent="0.2">
      <c r="B663" s="381"/>
    </row>
    <row r="664" spans="2:2" x14ac:dyDescent="0.2">
      <c r="B664" s="381"/>
    </row>
    <row r="665" spans="2:2" x14ac:dyDescent="0.2">
      <c r="B665" s="381"/>
    </row>
    <row r="666" spans="2:2" x14ac:dyDescent="0.2">
      <c r="B666" s="381"/>
    </row>
    <row r="667" spans="2:2" x14ac:dyDescent="0.2">
      <c r="B667" s="381"/>
    </row>
    <row r="668" spans="2:2" x14ac:dyDescent="0.2">
      <c r="B668" s="381"/>
    </row>
    <row r="669" spans="2:2" x14ac:dyDescent="0.2">
      <c r="B669" s="381"/>
    </row>
    <row r="670" spans="2:2" x14ac:dyDescent="0.2">
      <c r="B670" s="381"/>
    </row>
    <row r="671" spans="2:2" x14ac:dyDescent="0.2">
      <c r="B671" s="381"/>
    </row>
    <row r="672" spans="2:2" x14ac:dyDescent="0.2">
      <c r="B672" s="381"/>
    </row>
    <row r="673" spans="2:2" x14ac:dyDescent="0.2">
      <c r="B673" s="381"/>
    </row>
    <row r="674" spans="2:2" x14ac:dyDescent="0.2">
      <c r="B674" s="381"/>
    </row>
    <row r="675" spans="2:2" x14ac:dyDescent="0.2">
      <c r="B675" s="381"/>
    </row>
    <row r="676" spans="2:2" x14ac:dyDescent="0.2">
      <c r="B676" s="381"/>
    </row>
    <row r="677" spans="2:2" x14ac:dyDescent="0.2">
      <c r="B677" s="381"/>
    </row>
    <row r="678" spans="2:2" x14ac:dyDescent="0.2">
      <c r="B678" s="381"/>
    </row>
    <row r="679" spans="2:2" x14ac:dyDescent="0.2">
      <c r="B679" s="381"/>
    </row>
    <row r="680" spans="2:2" x14ac:dyDescent="0.2">
      <c r="B680" s="381"/>
    </row>
    <row r="681" spans="2:2" x14ac:dyDescent="0.2">
      <c r="B681" s="381"/>
    </row>
    <row r="682" spans="2:2" x14ac:dyDescent="0.2">
      <c r="B682" s="381"/>
    </row>
    <row r="683" spans="2:2" x14ac:dyDescent="0.2">
      <c r="B683" s="381"/>
    </row>
    <row r="684" spans="2:2" x14ac:dyDescent="0.2">
      <c r="B684" s="381"/>
    </row>
    <row r="685" spans="2:2" x14ac:dyDescent="0.2">
      <c r="B685" s="381"/>
    </row>
    <row r="686" spans="2:2" x14ac:dyDescent="0.2">
      <c r="B686" s="381"/>
    </row>
    <row r="687" spans="2:2" x14ac:dyDescent="0.2">
      <c r="B687" s="381"/>
    </row>
    <row r="688" spans="2:2" x14ac:dyDescent="0.2">
      <c r="B688" s="381"/>
    </row>
    <row r="689" spans="2:2" x14ac:dyDescent="0.2">
      <c r="B689" s="381"/>
    </row>
    <row r="690" spans="2:2" x14ac:dyDescent="0.2">
      <c r="B690" s="381"/>
    </row>
    <row r="691" spans="2:2" x14ac:dyDescent="0.2">
      <c r="B691" s="381"/>
    </row>
    <row r="692" spans="2:2" x14ac:dyDescent="0.2">
      <c r="B692" s="381"/>
    </row>
    <row r="693" spans="2:2" x14ac:dyDescent="0.2">
      <c r="B693" s="381"/>
    </row>
    <row r="694" spans="2:2" x14ac:dyDescent="0.2">
      <c r="B694" s="381"/>
    </row>
    <row r="695" spans="2:2" x14ac:dyDescent="0.2">
      <c r="B695" s="381"/>
    </row>
    <row r="696" spans="2:2" x14ac:dyDescent="0.2">
      <c r="B696" s="381"/>
    </row>
    <row r="697" spans="2:2" x14ac:dyDescent="0.2">
      <c r="B697" s="381"/>
    </row>
    <row r="698" spans="2:2" x14ac:dyDescent="0.2">
      <c r="B698" s="381"/>
    </row>
    <row r="699" spans="2:2" x14ac:dyDescent="0.2">
      <c r="B699" s="381"/>
    </row>
    <row r="700" spans="2:2" x14ac:dyDescent="0.2">
      <c r="B700" s="381"/>
    </row>
    <row r="701" spans="2:2" x14ac:dyDescent="0.2">
      <c r="B701" s="381"/>
    </row>
    <row r="702" spans="2:2" x14ac:dyDescent="0.2">
      <c r="B702" s="381"/>
    </row>
    <row r="703" spans="2:2" x14ac:dyDescent="0.2">
      <c r="B703" s="381"/>
    </row>
    <row r="704" spans="2:2" x14ac:dyDescent="0.2">
      <c r="B704" s="381"/>
    </row>
    <row r="705" spans="2:2" x14ac:dyDescent="0.2">
      <c r="B705" s="381"/>
    </row>
    <row r="706" spans="2:2" x14ac:dyDescent="0.2">
      <c r="B706" s="381"/>
    </row>
    <row r="707" spans="2:2" x14ac:dyDescent="0.2">
      <c r="B707" s="381"/>
    </row>
    <row r="708" spans="2:2" x14ac:dyDescent="0.2">
      <c r="B708" s="381"/>
    </row>
    <row r="709" spans="2:2" x14ac:dyDescent="0.2">
      <c r="B709" s="381"/>
    </row>
    <row r="710" spans="2:2" x14ac:dyDescent="0.2">
      <c r="B710" s="381"/>
    </row>
    <row r="711" spans="2:2" x14ac:dyDescent="0.2">
      <c r="B711" s="381"/>
    </row>
    <row r="712" spans="2:2" x14ac:dyDescent="0.2">
      <c r="B712" s="381"/>
    </row>
    <row r="713" spans="2:2" x14ac:dyDescent="0.2">
      <c r="B713" s="381"/>
    </row>
    <row r="714" spans="2:2" x14ac:dyDescent="0.2">
      <c r="B714" s="381"/>
    </row>
    <row r="715" spans="2:2" x14ac:dyDescent="0.2">
      <c r="B715" s="381"/>
    </row>
    <row r="716" spans="2:2" x14ac:dyDescent="0.2">
      <c r="B716" s="381"/>
    </row>
    <row r="717" spans="2:2" x14ac:dyDescent="0.2">
      <c r="B717" s="381"/>
    </row>
    <row r="718" spans="2:2" x14ac:dyDescent="0.2">
      <c r="B718" s="381"/>
    </row>
    <row r="719" spans="2:2" x14ac:dyDescent="0.2">
      <c r="B719" s="381"/>
    </row>
    <row r="720" spans="2:2" x14ac:dyDescent="0.2">
      <c r="B720" s="381"/>
    </row>
    <row r="721" spans="2:2" x14ac:dyDescent="0.2">
      <c r="B721" s="381"/>
    </row>
    <row r="722" spans="2:2" x14ac:dyDescent="0.2">
      <c r="B722" s="381"/>
    </row>
    <row r="723" spans="2:2" x14ac:dyDescent="0.2">
      <c r="B723" s="381"/>
    </row>
    <row r="724" spans="2:2" x14ac:dyDescent="0.2">
      <c r="B724" s="381"/>
    </row>
    <row r="725" spans="2:2" x14ac:dyDescent="0.2">
      <c r="B725" s="381"/>
    </row>
    <row r="726" spans="2:2" x14ac:dyDescent="0.2">
      <c r="B726" s="381"/>
    </row>
    <row r="727" spans="2:2" x14ac:dyDescent="0.2">
      <c r="B727" s="381"/>
    </row>
    <row r="728" spans="2:2" x14ac:dyDescent="0.2">
      <c r="B728" s="381"/>
    </row>
    <row r="729" spans="2:2" x14ac:dyDescent="0.2">
      <c r="B729" s="381"/>
    </row>
    <row r="730" spans="2:2" x14ac:dyDescent="0.2">
      <c r="B730" s="381"/>
    </row>
    <row r="731" spans="2:2" x14ac:dyDescent="0.2">
      <c r="B731" s="381"/>
    </row>
    <row r="732" spans="2:2" x14ac:dyDescent="0.2">
      <c r="B732" s="381"/>
    </row>
    <row r="733" spans="2:2" x14ac:dyDescent="0.2">
      <c r="B733" s="381"/>
    </row>
    <row r="734" spans="2:2" x14ac:dyDescent="0.2">
      <c r="B734" s="381"/>
    </row>
    <row r="735" spans="2:2" x14ac:dyDescent="0.2">
      <c r="B735" s="381"/>
    </row>
    <row r="736" spans="2:2" x14ac:dyDescent="0.2">
      <c r="B736" s="381"/>
    </row>
    <row r="737" spans="2:2" x14ac:dyDescent="0.2">
      <c r="B737" s="381"/>
    </row>
    <row r="738" spans="2:2" x14ac:dyDescent="0.2">
      <c r="B738" s="381"/>
    </row>
    <row r="739" spans="2:2" x14ac:dyDescent="0.2">
      <c r="B739" s="381"/>
    </row>
    <row r="740" spans="2:2" x14ac:dyDescent="0.2">
      <c r="B740" s="381"/>
    </row>
    <row r="741" spans="2:2" x14ac:dyDescent="0.2">
      <c r="B741" s="381"/>
    </row>
    <row r="742" spans="2:2" x14ac:dyDescent="0.2">
      <c r="B742" s="381"/>
    </row>
    <row r="743" spans="2:2" x14ac:dyDescent="0.2">
      <c r="B743" s="381"/>
    </row>
    <row r="744" spans="2:2" x14ac:dyDescent="0.2">
      <c r="B744" s="381"/>
    </row>
    <row r="745" spans="2:2" x14ac:dyDescent="0.2">
      <c r="B745" s="381"/>
    </row>
    <row r="746" spans="2:2" x14ac:dyDescent="0.2">
      <c r="B746" s="381"/>
    </row>
    <row r="747" spans="2:2" x14ac:dyDescent="0.2">
      <c r="B747" s="381"/>
    </row>
    <row r="748" spans="2:2" x14ac:dyDescent="0.2">
      <c r="B748" s="381"/>
    </row>
    <row r="749" spans="2:2" x14ac:dyDescent="0.2">
      <c r="B749" s="381"/>
    </row>
    <row r="750" spans="2:2" x14ac:dyDescent="0.2">
      <c r="B750" s="381"/>
    </row>
    <row r="751" spans="2:2" x14ac:dyDescent="0.2">
      <c r="B751" s="381"/>
    </row>
    <row r="752" spans="2:2" x14ac:dyDescent="0.2">
      <c r="B752" s="381"/>
    </row>
    <row r="753" spans="2:2" x14ac:dyDescent="0.2">
      <c r="B753" s="381"/>
    </row>
    <row r="754" spans="2:2" x14ac:dyDescent="0.2">
      <c r="B754" s="381"/>
    </row>
    <row r="755" spans="2:2" x14ac:dyDescent="0.2">
      <c r="B755" s="381"/>
    </row>
    <row r="756" spans="2:2" x14ac:dyDescent="0.2">
      <c r="B756" s="381"/>
    </row>
    <row r="757" spans="2:2" x14ac:dyDescent="0.2">
      <c r="B757" s="381"/>
    </row>
    <row r="758" spans="2:2" x14ac:dyDescent="0.2">
      <c r="B758" s="381"/>
    </row>
    <row r="759" spans="2:2" x14ac:dyDescent="0.2">
      <c r="B759" s="381"/>
    </row>
    <row r="760" spans="2:2" x14ac:dyDescent="0.2">
      <c r="B760" s="381"/>
    </row>
    <row r="761" spans="2:2" x14ac:dyDescent="0.2">
      <c r="B761" s="381"/>
    </row>
    <row r="762" spans="2:2" x14ac:dyDescent="0.2">
      <c r="B762" s="381"/>
    </row>
    <row r="763" spans="2:2" x14ac:dyDescent="0.2">
      <c r="B763" s="381"/>
    </row>
    <row r="764" spans="2:2" x14ac:dyDescent="0.2">
      <c r="B764" s="381"/>
    </row>
    <row r="765" spans="2:2" x14ac:dyDescent="0.2">
      <c r="B765" s="381"/>
    </row>
    <row r="766" spans="2:2" x14ac:dyDescent="0.2">
      <c r="B766" s="381"/>
    </row>
    <row r="767" spans="2:2" x14ac:dyDescent="0.2">
      <c r="B767" s="381"/>
    </row>
    <row r="768" spans="2:2" x14ac:dyDescent="0.2">
      <c r="B768" s="381"/>
    </row>
    <row r="769" spans="2:2" x14ac:dyDescent="0.2">
      <c r="B769" s="381"/>
    </row>
    <row r="770" spans="2:2" x14ac:dyDescent="0.2">
      <c r="B770" s="381"/>
    </row>
    <row r="771" spans="2:2" x14ac:dyDescent="0.2">
      <c r="B771" s="381"/>
    </row>
    <row r="772" spans="2:2" x14ac:dyDescent="0.2">
      <c r="B772" s="381"/>
    </row>
    <row r="773" spans="2:2" x14ac:dyDescent="0.2">
      <c r="B773" s="381"/>
    </row>
    <row r="774" spans="2:2" x14ac:dyDescent="0.2">
      <c r="B774" s="381"/>
    </row>
    <row r="775" spans="2:2" x14ac:dyDescent="0.2">
      <c r="B775" s="381"/>
    </row>
    <row r="776" spans="2:2" x14ac:dyDescent="0.2">
      <c r="B776" s="381"/>
    </row>
    <row r="777" spans="2:2" x14ac:dyDescent="0.2">
      <c r="B777" s="381"/>
    </row>
    <row r="778" spans="2:2" x14ac:dyDescent="0.2">
      <c r="B778" s="381"/>
    </row>
    <row r="779" spans="2:2" x14ac:dyDescent="0.2">
      <c r="B779" s="381"/>
    </row>
    <row r="780" spans="2:2" x14ac:dyDescent="0.2">
      <c r="B780" s="381"/>
    </row>
    <row r="781" spans="2:2" x14ac:dyDescent="0.2">
      <c r="B781" s="381"/>
    </row>
    <row r="782" spans="2:2" x14ac:dyDescent="0.2">
      <c r="B782" s="381"/>
    </row>
    <row r="783" spans="2:2" x14ac:dyDescent="0.2">
      <c r="B783" s="381"/>
    </row>
    <row r="784" spans="2:2" x14ac:dyDescent="0.2">
      <c r="B784" s="381"/>
    </row>
    <row r="785" spans="2:2" x14ac:dyDescent="0.2">
      <c r="B785" s="381"/>
    </row>
    <row r="786" spans="2:2" x14ac:dyDescent="0.2">
      <c r="B786" s="381"/>
    </row>
    <row r="787" spans="2:2" x14ac:dyDescent="0.2">
      <c r="B787" s="381"/>
    </row>
    <row r="788" spans="2:2" x14ac:dyDescent="0.2">
      <c r="B788" s="381"/>
    </row>
    <row r="789" spans="2:2" x14ac:dyDescent="0.2">
      <c r="B789" s="381"/>
    </row>
    <row r="790" spans="2:2" x14ac:dyDescent="0.2">
      <c r="B790" s="381"/>
    </row>
    <row r="791" spans="2:2" x14ac:dyDescent="0.2">
      <c r="B791" s="381"/>
    </row>
    <row r="792" spans="2:2" x14ac:dyDescent="0.2">
      <c r="B792" s="381"/>
    </row>
    <row r="793" spans="2:2" x14ac:dyDescent="0.2">
      <c r="B793" s="381"/>
    </row>
    <row r="794" spans="2:2" x14ac:dyDescent="0.2">
      <c r="B794" s="381"/>
    </row>
    <row r="795" spans="2:2" x14ac:dyDescent="0.2">
      <c r="B795" s="381"/>
    </row>
    <row r="796" spans="2:2" x14ac:dyDescent="0.2">
      <c r="B796" s="381"/>
    </row>
    <row r="797" spans="2:2" x14ac:dyDescent="0.2">
      <c r="B797" s="381"/>
    </row>
    <row r="798" spans="2:2" x14ac:dyDescent="0.2">
      <c r="B798" s="381"/>
    </row>
    <row r="799" spans="2:2" x14ac:dyDescent="0.2">
      <c r="B799" s="381"/>
    </row>
    <row r="800" spans="2:2" x14ac:dyDescent="0.2">
      <c r="B800" s="381"/>
    </row>
    <row r="801" spans="2:2" x14ac:dyDescent="0.2">
      <c r="B801" s="381"/>
    </row>
    <row r="802" spans="2:2" x14ac:dyDescent="0.2">
      <c r="B802" s="381"/>
    </row>
    <row r="803" spans="2:2" x14ac:dyDescent="0.2">
      <c r="B803" s="381"/>
    </row>
    <row r="804" spans="2:2" x14ac:dyDescent="0.2">
      <c r="B804" s="381"/>
    </row>
    <row r="805" spans="2:2" x14ac:dyDescent="0.2">
      <c r="B805" s="381"/>
    </row>
    <row r="806" spans="2:2" x14ac:dyDescent="0.2">
      <c r="B806" s="381"/>
    </row>
    <row r="807" spans="2:2" x14ac:dyDescent="0.2">
      <c r="B807" s="381"/>
    </row>
    <row r="808" spans="2:2" x14ac:dyDescent="0.2">
      <c r="B808" s="381"/>
    </row>
    <row r="809" spans="2:2" x14ac:dyDescent="0.2">
      <c r="B809" s="381"/>
    </row>
    <row r="810" spans="2:2" x14ac:dyDescent="0.2">
      <c r="B810" s="381"/>
    </row>
    <row r="811" spans="2:2" x14ac:dyDescent="0.2">
      <c r="B811" s="381"/>
    </row>
    <row r="812" spans="2:2" x14ac:dyDescent="0.2">
      <c r="B812" s="381"/>
    </row>
    <row r="813" spans="2:2" x14ac:dyDescent="0.2">
      <c r="B813" s="381"/>
    </row>
    <row r="814" spans="2:2" x14ac:dyDescent="0.2">
      <c r="B814" s="381"/>
    </row>
    <row r="815" spans="2:2" x14ac:dyDescent="0.2">
      <c r="B815" s="381"/>
    </row>
    <row r="816" spans="2:2" x14ac:dyDescent="0.2">
      <c r="B816" s="381"/>
    </row>
    <row r="817" spans="2:2" x14ac:dyDescent="0.2">
      <c r="B817" s="381"/>
    </row>
    <row r="818" spans="2:2" x14ac:dyDescent="0.2">
      <c r="B818" s="381"/>
    </row>
    <row r="819" spans="2:2" x14ac:dyDescent="0.2">
      <c r="B819" s="381"/>
    </row>
    <row r="820" spans="2:2" x14ac:dyDescent="0.2">
      <c r="B820" s="381"/>
    </row>
    <row r="821" spans="2:2" x14ac:dyDescent="0.2">
      <c r="B821" s="381"/>
    </row>
    <row r="822" spans="2:2" x14ac:dyDescent="0.2">
      <c r="B822" s="381"/>
    </row>
    <row r="823" spans="2:2" x14ac:dyDescent="0.2">
      <c r="B823" s="381"/>
    </row>
    <row r="824" spans="2:2" x14ac:dyDescent="0.2">
      <c r="B824" s="381"/>
    </row>
    <row r="825" spans="2:2" x14ac:dyDescent="0.2">
      <c r="B825" s="381"/>
    </row>
    <row r="826" spans="2:2" x14ac:dyDescent="0.2">
      <c r="B826" s="381"/>
    </row>
    <row r="827" spans="2:2" x14ac:dyDescent="0.2">
      <c r="B827" s="381"/>
    </row>
    <row r="828" spans="2:2" x14ac:dyDescent="0.2">
      <c r="B828" s="381"/>
    </row>
    <row r="829" spans="2:2" x14ac:dyDescent="0.2">
      <c r="B829" s="381"/>
    </row>
    <row r="830" spans="2:2" x14ac:dyDescent="0.2">
      <c r="B830" s="381"/>
    </row>
    <row r="831" spans="2:2" x14ac:dyDescent="0.2">
      <c r="B831" s="381"/>
    </row>
    <row r="832" spans="2:2" x14ac:dyDescent="0.2">
      <c r="B832" s="381"/>
    </row>
    <row r="833" spans="2:2" x14ac:dyDescent="0.2">
      <c r="B833" s="381"/>
    </row>
    <row r="834" spans="2:2" x14ac:dyDescent="0.2">
      <c r="B834" s="381"/>
    </row>
    <row r="835" spans="2:2" x14ac:dyDescent="0.2">
      <c r="B835" s="381"/>
    </row>
    <row r="836" spans="2:2" x14ac:dyDescent="0.2">
      <c r="B836" s="381"/>
    </row>
    <row r="837" spans="2:2" x14ac:dyDescent="0.2">
      <c r="B837" s="381"/>
    </row>
    <row r="838" spans="2:2" x14ac:dyDescent="0.2">
      <c r="B838" s="381"/>
    </row>
    <row r="839" spans="2:2" x14ac:dyDescent="0.2">
      <c r="B839" s="381"/>
    </row>
    <row r="840" spans="2:2" x14ac:dyDescent="0.2">
      <c r="B840" s="381"/>
    </row>
    <row r="841" spans="2:2" x14ac:dyDescent="0.2">
      <c r="B841" s="381"/>
    </row>
    <row r="842" spans="2:2" x14ac:dyDescent="0.2">
      <c r="B842" s="381"/>
    </row>
    <row r="843" spans="2:2" x14ac:dyDescent="0.2">
      <c r="B843" s="381"/>
    </row>
    <row r="844" spans="2:2" x14ac:dyDescent="0.2">
      <c r="B844" s="381"/>
    </row>
    <row r="845" spans="2:2" x14ac:dyDescent="0.2">
      <c r="B845" s="381"/>
    </row>
    <row r="846" spans="2:2" x14ac:dyDescent="0.2">
      <c r="B846" s="381"/>
    </row>
    <row r="847" spans="2:2" x14ac:dyDescent="0.2">
      <c r="B847" s="381"/>
    </row>
    <row r="848" spans="2:2" x14ac:dyDescent="0.2">
      <c r="B848" s="381"/>
    </row>
    <row r="849" spans="2:2" x14ac:dyDescent="0.2">
      <c r="B849" s="381"/>
    </row>
    <row r="850" spans="2:2" x14ac:dyDescent="0.2">
      <c r="B850" s="381"/>
    </row>
    <row r="851" spans="2:2" x14ac:dyDescent="0.2">
      <c r="B851" s="381"/>
    </row>
    <row r="852" spans="2:2" x14ac:dyDescent="0.2">
      <c r="B852" s="381"/>
    </row>
    <row r="853" spans="2:2" x14ac:dyDescent="0.2">
      <c r="B853" s="381"/>
    </row>
    <row r="854" spans="2:2" x14ac:dyDescent="0.2">
      <c r="B854" s="381"/>
    </row>
    <row r="855" spans="2:2" x14ac:dyDescent="0.2">
      <c r="B855" s="381"/>
    </row>
    <row r="856" spans="2:2" x14ac:dyDescent="0.2">
      <c r="B856" s="381"/>
    </row>
    <row r="857" spans="2:2" x14ac:dyDescent="0.2">
      <c r="B857" s="381"/>
    </row>
    <row r="858" spans="2:2" x14ac:dyDescent="0.2">
      <c r="B858" s="381"/>
    </row>
    <row r="859" spans="2:2" x14ac:dyDescent="0.2">
      <c r="B859" s="381"/>
    </row>
    <row r="860" spans="2:2" x14ac:dyDescent="0.2">
      <c r="B860" s="381"/>
    </row>
    <row r="861" spans="2:2" x14ac:dyDescent="0.2">
      <c r="B861" s="381"/>
    </row>
    <row r="862" spans="2:2" x14ac:dyDescent="0.2">
      <c r="B862" s="381"/>
    </row>
    <row r="863" spans="2:2" x14ac:dyDescent="0.2">
      <c r="B863" s="381"/>
    </row>
    <row r="864" spans="2:2" x14ac:dyDescent="0.2">
      <c r="B864" s="381"/>
    </row>
    <row r="865" spans="2:2" x14ac:dyDescent="0.2">
      <c r="B865" s="381"/>
    </row>
    <row r="866" spans="2:2" x14ac:dyDescent="0.2">
      <c r="B866" s="381"/>
    </row>
    <row r="867" spans="2:2" x14ac:dyDescent="0.2">
      <c r="B867" s="381"/>
    </row>
    <row r="868" spans="2:2" x14ac:dyDescent="0.2">
      <c r="B868" s="381"/>
    </row>
    <row r="869" spans="2:2" x14ac:dyDescent="0.2">
      <c r="B869" s="381"/>
    </row>
    <row r="870" spans="2:2" x14ac:dyDescent="0.2">
      <c r="B870" s="381"/>
    </row>
    <row r="871" spans="2:2" x14ac:dyDescent="0.2">
      <c r="B871" s="381"/>
    </row>
    <row r="872" spans="2:2" x14ac:dyDescent="0.2">
      <c r="B872" s="381"/>
    </row>
    <row r="873" spans="2:2" x14ac:dyDescent="0.2">
      <c r="B873" s="381"/>
    </row>
    <row r="874" spans="2:2" x14ac:dyDescent="0.2">
      <c r="B874" s="381"/>
    </row>
    <row r="875" spans="2:2" x14ac:dyDescent="0.2">
      <c r="B875" s="381"/>
    </row>
    <row r="876" spans="2:2" x14ac:dyDescent="0.2">
      <c r="B876" s="381"/>
    </row>
    <row r="877" spans="2:2" x14ac:dyDescent="0.2">
      <c r="B877" s="381"/>
    </row>
    <row r="878" spans="2:2" x14ac:dyDescent="0.2">
      <c r="B878" s="381"/>
    </row>
    <row r="879" spans="2:2" x14ac:dyDescent="0.2">
      <c r="B879" s="381"/>
    </row>
    <row r="880" spans="2:2" x14ac:dyDescent="0.2">
      <c r="B880" s="381"/>
    </row>
    <row r="881" spans="2:2" x14ac:dyDescent="0.2">
      <c r="B881" s="381"/>
    </row>
    <row r="882" spans="2:2" x14ac:dyDescent="0.2">
      <c r="B882" s="381"/>
    </row>
    <row r="883" spans="2:2" x14ac:dyDescent="0.2">
      <c r="B883" s="381"/>
    </row>
    <row r="884" spans="2:2" x14ac:dyDescent="0.2">
      <c r="B884" s="381"/>
    </row>
    <row r="885" spans="2:2" x14ac:dyDescent="0.2">
      <c r="B885" s="381"/>
    </row>
    <row r="886" spans="2:2" x14ac:dyDescent="0.2">
      <c r="B886" s="381"/>
    </row>
    <row r="887" spans="2:2" x14ac:dyDescent="0.2">
      <c r="B887" s="381"/>
    </row>
    <row r="888" spans="2:2" x14ac:dyDescent="0.2">
      <c r="B888" s="381"/>
    </row>
    <row r="889" spans="2:2" x14ac:dyDescent="0.2">
      <c r="B889" s="381"/>
    </row>
    <row r="890" spans="2:2" x14ac:dyDescent="0.2">
      <c r="B890" s="381"/>
    </row>
    <row r="891" spans="2:2" x14ac:dyDescent="0.2">
      <c r="B891" s="381"/>
    </row>
    <row r="892" spans="2:2" x14ac:dyDescent="0.2">
      <c r="B892" s="381"/>
    </row>
    <row r="893" spans="2:2" x14ac:dyDescent="0.2">
      <c r="B893" s="381"/>
    </row>
    <row r="894" spans="2:2" x14ac:dyDescent="0.2">
      <c r="B894" s="381"/>
    </row>
    <row r="895" spans="2:2" x14ac:dyDescent="0.2">
      <c r="B895" s="381"/>
    </row>
    <row r="896" spans="2:2" x14ac:dyDescent="0.2">
      <c r="B896" s="381"/>
    </row>
    <row r="897" spans="2:2" x14ac:dyDescent="0.2">
      <c r="B897" s="381"/>
    </row>
    <row r="898" spans="2:2" x14ac:dyDescent="0.2">
      <c r="B898" s="381"/>
    </row>
    <row r="899" spans="2:2" x14ac:dyDescent="0.2">
      <c r="B899" s="381"/>
    </row>
    <row r="900" spans="2:2" x14ac:dyDescent="0.2">
      <c r="B900" s="381"/>
    </row>
    <row r="901" spans="2:2" x14ac:dyDescent="0.2">
      <c r="B901" s="381"/>
    </row>
    <row r="902" spans="2:2" x14ac:dyDescent="0.2">
      <c r="B902" s="381"/>
    </row>
    <row r="903" spans="2:2" x14ac:dyDescent="0.2">
      <c r="B903" s="381"/>
    </row>
    <row r="904" spans="2:2" x14ac:dyDescent="0.2">
      <c r="B904" s="381"/>
    </row>
    <row r="905" spans="2:2" x14ac:dyDescent="0.2">
      <c r="B905" s="381"/>
    </row>
    <row r="906" spans="2:2" x14ac:dyDescent="0.2">
      <c r="B906" s="381"/>
    </row>
    <row r="907" spans="2:2" x14ac:dyDescent="0.2">
      <c r="B907" s="381"/>
    </row>
    <row r="908" spans="2:2" x14ac:dyDescent="0.2">
      <c r="B908" s="381"/>
    </row>
    <row r="909" spans="2:2" x14ac:dyDescent="0.2">
      <c r="B909" s="381"/>
    </row>
    <row r="910" spans="2:2" x14ac:dyDescent="0.2">
      <c r="B910" s="381"/>
    </row>
    <row r="911" spans="2:2" x14ac:dyDescent="0.2">
      <c r="B911" s="381"/>
    </row>
    <row r="912" spans="2:2" x14ac:dyDescent="0.2">
      <c r="B912" s="381"/>
    </row>
    <row r="913" spans="2:2" x14ac:dyDescent="0.2">
      <c r="B913" s="381"/>
    </row>
    <row r="914" spans="2:2" x14ac:dyDescent="0.2">
      <c r="B914" s="381"/>
    </row>
    <row r="915" spans="2:2" x14ac:dyDescent="0.2">
      <c r="B915" s="381"/>
    </row>
    <row r="916" spans="2:2" x14ac:dyDescent="0.2">
      <c r="B916" s="381"/>
    </row>
    <row r="917" spans="2:2" x14ac:dyDescent="0.2">
      <c r="B917" s="381"/>
    </row>
    <row r="918" spans="2:2" x14ac:dyDescent="0.2">
      <c r="B918" s="381"/>
    </row>
    <row r="919" spans="2:2" x14ac:dyDescent="0.2">
      <c r="B919" s="381"/>
    </row>
    <row r="920" spans="2:2" x14ac:dyDescent="0.2">
      <c r="B920" s="381"/>
    </row>
    <row r="921" spans="2:2" x14ac:dyDescent="0.2">
      <c r="B921" s="381"/>
    </row>
    <row r="922" spans="2:2" x14ac:dyDescent="0.2">
      <c r="B922" s="381"/>
    </row>
    <row r="923" spans="2:2" x14ac:dyDescent="0.2">
      <c r="B923" s="381"/>
    </row>
    <row r="924" spans="2:2" x14ac:dyDescent="0.2">
      <c r="B924" s="381"/>
    </row>
    <row r="925" spans="2:2" x14ac:dyDescent="0.2">
      <c r="B925" s="381"/>
    </row>
    <row r="926" spans="2:2" x14ac:dyDescent="0.2">
      <c r="B926" s="381"/>
    </row>
    <row r="927" spans="2:2" x14ac:dyDescent="0.2">
      <c r="B927" s="381"/>
    </row>
    <row r="928" spans="2:2" x14ac:dyDescent="0.2">
      <c r="B928" s="381"/>
    </row>
    <row r="929" spans="2:2" x14ac:dyDescent="0.2">
      <c r="B929" s="381"/>
    </row>
    <row r="930" spans="2:2" x14ac:dyDescent="0.2">
      <c r="B930" s="381"/>
    </row>
    <row r="931" spans="2:2" x14ac:dyDescent="0.2">
      <c r="B931" s="381"/>
    </row>
    <row r="932" spans="2:2" x14ac:dyDescent="0.2">
      <c r="B932" s="381"/>
    </row>
    <row r="933" spans="2:2" x14ac:dyDescent="0.2">
      <c r="B933" s="381"/>
    </row>
    <row r="934" spans="2:2" x14ac:dyDescent="0.2">
      <c r="B934" s="381"/>
    </row>
    <row r="935" spans="2:2" x14ac:dyDescent="0.2">
      <c r="B935" s="381"/>
    </row>
    <row r="936" spans="2:2" x14ac:dyDescent="0.2">
      <c r="B936" s="381"/>
    </row>
    <row r="937" spans="2:2" x14ac:dyDescent="0.2">
      <c r="B937" s="381"/>
    </row>
    <row r="938" spans="2:2" x14ac:dyDescent="0.2">
      <c r="B938" s="381"/>
    </row>
    <row r="939" spans="2:2" x14ac:dyDescent="0.2">
      <c r="B939" s="381"/>
    </row>
    <row r="940" spans="2:2" x14ac:dyDescent="0.2">
      <c r="B940" s="381"/>
    </row>
    <row r="941" spans="2:2" x14ac:dyDescent="0.2">
      <c r="B941" s="381"/>
    </row>
    <row r="942" spans="2:2" x14ac:dyDescent="0.2">
      <c r="B942" s="381"/>
    </row>
    <row r="943" spans="2:2" x14ac:dyDescent="0.2">
      <c r="B943" s="381"/>
    </row>
    <row r="944" spans="2:2" x14ac:dyDescent="0.2">
      <c r="B944" s="381"/>
    </row>
    <row r="945" spans="2:2" x14ac:dyDescent="0.2">
      <c r="B945" s="381"/>
    </row>
    <row r="946" spans="2:2" x14ac:dyDescent="0.2">
      <c r="B946" s="381"/>
    </row>
    <row r="947" spans="2:2" x14ac:dyDescent="0.2">
      <c r="B947" s="381"/>
    </row>
    <row r="948" spans="2:2" x14ac:dyDescent="0.2">
      <c r="B948" s="381"/>
    </row>
    <row r="949" spans="2:2" x14ac:dyDescent="0.2">
      <c r="B949" s="381"/>
    </row>
    <row r="950" spans="2:2" x14ac:dyDescent="0.2">
      <c r="B950" s="381"/>
    </row>
    <row r="951" spans="2:2" x14ac:dyDescent="0.2">
      <c r="B951" s="381"/>
    </row>
    <row r="952" spans="2:2" x14ac:dyDescent="0.2">
      <c r="B952" s="381"/>
    </row>
    <row r="953" spans="2:2" x14ac:dyDescent="0.2">
      <c r="B953" s="381"/>
    </row>
    <row r="954" spans="2:2" x14ac:dyDescent="0.2">
      <c r="B954" s="381"/>
    </row>
    <row r="955" spans="2:2" x14ac:dyDescent="0.2">
      <c r="B955" s="381"/>
    </row>
    <row r="956" spans="2:2" x14ac:dyDescent="0.2">
      <c r="B956" s="381"/>
    </row>
    <row r="957" spans="2:2" x14ac:dyDescent="0.2">
      <c r="B957" s="381"/>
    </row>
    <row r="958" spans="2:2" x14ac:dyDescent="0.2">
      <c r="B958" s="381"/>
    </row>
    <row r="959" spans="2:2" x14ac:dyDescent="0.2">
      <c r="B959" s="381"/>
    </row>
    <row r="960" spans="2:2" x14ac:dyDescent="0.2">
      <c r="B960" s="381"/>
    </row>
    <row r="961" spans="2:2" x14ac:dyDescent="0.2">
      <c r="B961" s="381"/>
    </row>
    <row r="962" spans="2:2" x14ac:dyDescent="0.2">
      <c r="B962" s="381"/>
    </row>
    <row r="963" spans="2:2" x14ac:dyDescent="0.2">
      <c r="B963" s="381"/>
    </row>
    <row r="964" spans="2:2" x14ac:dyDescent="0.2">
      <c r="B964" s="381"/>
    </row>
    <row r="965" spans="2:2" x14ac:dyDescent="0.2">
      <c r="B965" s="381"/>
    </row>
    <row r="966" spans="2:2" x14ac:dyDescent="0.2">
      <c r="B966" s="381"/>
    </row>
    <row r="967" spans="2:2" x14ac:dyDescent="0.2">
      <c r="B967" s="381"/>
    </row>
    <row r="968" spans="2:2" x14ac:dyDescent="0.2">
      <c r="B968" s="381"/>
    </row>
    <row r="969" spans="2:2" x14ac:dyDescent="0.2">
      <c r="B969" s="381"/>
    </row>
    <row r="970" spans="2:2" x14ac:dyDescent="0.2">
      <c r="B970" s="381"/>
    </row>
    <row r="971" spans="2:2" x14ac:dyDescent="0.2">
      <c r="B971" s="381"/>
    </row>
    <row r="972" spans="2:2" x14ac:dyDescent="0.2">
      <c r="B972" s="381"/>
    </row>
    <row r="973" spans="2:2" x14ac:dyDescent="0.2">
      <c r="B973" s="381"/>
    </row>
    <row r="974" spans="2:2" x14ac:dyDescent="0.2">
      <c r="B974" s="381"/>
    </row>
    <row r="975" spans="2:2" x14ac:dyDescent="0.2">
      <c r="B975" s="381"/>
    </row>
    <row r="976" spans="2:2" x14ac:dyDescent="0.2">
      <c r="B976" s="381"/>
    </row>
    <row r="977" spans="2:2" x14ac:dyDescent="0.2">
      <c r="B977" s="381"/>
    </row>
    <row r="978" spans="2:2" x14ac:dyDescent="0.2">
      <c r="B978" s="381"/>
    </row>
    <row r="979" spans="2:2" x14ac:dyDescent="0.2">
      <c r="B979" s="381"/>
    </row>
    <row r="980" spans="2:2" x14ac:dyDescent="0.2">
      <c r="B980" s="381"/>
    </row>
    <row r="981" spans="2:2" x14ac:dyDescent="0.2">
      <c r="B981" s="381"/>
    </row>
    <row r="982" spans="2:2" x14ac:dyDescent="0.2">
      <c r="B982" s="381"/>
    </row>
    <row r="983" spans="2:2" x14ac:dyDescent="0.2">
      <c r="B983" s="381"/>
    </row>
    <row r="984" spans="2:2" x14ac:dyDescent="0.2">
      <c r="B984" s="381"/>
    </row>
    <row r="985" spans="2:2" x14ac:dyDescent="0.2">
      <c r="B985" s="381"/>
    </row>
    <row r="986" spans="2:2" x14ac:dyDescent="0.2">
      <c r="B986" s="381"/>
    </row>
    <row r="987" spans="2:2" x14ac:dyDescent="0.2">
      <c r="B987" s="381"/>
    </row>
    <row r="988" spans="2:2" x14ac:dyDescent="0.2">
      <c r="B988" s="381"/>
    </row>
    <row r="989" spans="2:2" x14ac:dyDescent="0.2">
      <c r="B989" s="381"/>
    </row>
    <row r="990" spans="2:2" x14ac:dyDescent="0.2">
      <c r="B990" s="381"/>
    </row>
    <row r="991" spans="2:2" x14ac:dyDescent="0.2">
      <c r="B991" s="381"/>
    </row>
    <row r="992" spans="2:2" x14ac:dyDescent="0.2">
      <c r="B992" s="381"/>
    </row>
    <row r="993" spans="2:2" x14ac:dyDescent="0.2">
      <c r="B993" s="381"/>
    </row>
    <row r="994" spans="2:2" x14ac:dyDescent="0.2">
      <c r="B994" s="381"/>
    </row>
    <row r="995" spans="2:2" x14ac:dyDescent="0.2">
      <c r="B995" s="381"/>
    </row>
    <row r="996" spans="2:2" x14ac:dyDescent="0.2">
      <c r="B996" s="381"/>
    </row>
    <row r="997" spans="2:2" x14ac:dyDescent="0.2">
      <c r="B997" s="381"/>
    </row>
    <row r="998" spans="2:2" x14ac:dyDescent="0.2">
      <c r="B998" s="381"/>
    </row>
    <row r="999" spans="2:2" x14ac:dyDescent="0.2">
      <c r="B999" s="381"/>
    </row>
    <row r="1000" spans="2:2" x14ac:dyDescent="0.2">
      <c r="B1000" s="381"/>
    </row>
    <row r="1001" spans="2:2" x14ac:dyDescent="0.2">
      <c r="B1001" s="381"/>
    </row>
    <row r="1002" spans="2:2" x14ac:dyDescent="0.2">
      <c r="B1002" s="381"/>
    </row>
    <row r="1003" spans="2:2" x14ac:dyDescent="0.2">
      <c r="B1003" s="381"/>
    </row>
    <row r="1004" spans="2:2" x14ac:dyDescent="0.2">
      <c r="B1004" s="381"/>
    </row>
    <row r="1005" spans="2:2" x14ac:dyDescent="0.2">
      <c r="B1005" s="381"/>
    </row>
    <row r="1006" spans="2:2" x14ac:dyDescent="0.2">
      <c r="B1006" s="381"/>
    </row>
    <row r="1007" spans="2:2" x14ac:dyDescent="0.2">
      <c r="B1007" s="381"/>
    </row>
    <row r="1008" spans="2:2" x14ac:dyDescent="0.2">
      <c r="B1008" s="381"/>
    </row>
    <row r="1009" spans="2:2" x14ac:dyDescent="0.2">
      <c r="B1009" s="381"/>
    </row>
    <row r="1010" spans="2:2" x14ac:dyDescent="0.2">
      <c r="B1010" s="381"/>
    </row>
    <row r="1011" spans="2:2" x14ac:dyDescent="0.2">
      <c r="B1011" s="381"/>
    </row>
    <row r="1012" spans="2:2" x14ac:dyDescent="0.2">
      <c r="B1012" s="381"/>
    </row>
    <row r="1013" spans="2:2" x14ac:dyDescent="0.2">
      <c r="B1013" s="381"/>
    </row>
    <row r="1014" spans="2:2" x14ac:dyDescent="0.2">
      <c r="B1014" s="381"/>
    </row>
    <row r="1015" spans="2:2" x14ac:dyDescent="0.2">
      <c r="B1015" s="381"/>
    </row>
    <row r="1016" spans="2:2" x14ac:dyDescent="0.2">
      <c r="B1016" s="381"/>
    </row>
    <row r="1017" spans="2:2" x14ac:dyDescent="0.2">
      <c r="B1017" s="381"/>
    </row>
    <row r="1018" spans="2:2" x14ac:dyDescent="0.2">
      <c r="B1018" s="381"/>
    </row>
    <row r="1019" spans="2:2" x14ac:dyDescent="0.2">
      <c r="B1019" s="381"/>
    </row>
    <row r="1020" spans="2:2" x14ac:dyDescent="0.2">
      <c r="B1020" s="381"/>
    </row>
    <row r="1021" spans="2:2" x14ac:dyDescent="0.2">
      <c r="B1021" s="381"/>
    </row>
    <row r="1022" spans="2:2" x14ac:dyDescent="0.2">
      <c r="B1022" s="381"/>
    </row>
    <row r="1023" spans="2:2" x14ac:dyDescent="0.2">
      <c r="B1023" s="381"/>
    </row>
    <row r="1024" spans="2:2" x14ac:dyDescent="0.2">
      <c r="B1024" s="381"/>
    </row>
    <row r="1025" spans="2:2" x14ac:dyDescent="0.2">
      <c r="B1025" s="381"/>
    </row>
    <row r="1026" spans="2:2" x14ac:dyDescent="0.2">
      <c r="B1026" s="381"/>
    </row>
    <row r="1027" spans="2:2" x14ac:dyDescent="0.2">
      <c r="B1027" s="381"/>
    </row>
    <row r="1028" spans="2:2" x14ac:dyDescent="0.2">
      <c r="B1028" s="381"/>
    </row>
    <row r="1029" spans="2:2" x14ac:dyDescent="0.2">
      <c r="B1029" s="381"/>
    </row>
    <row r="1030" spans="2:2" x14ac:dyDescent="0.2">
      <c r="B1030" s="381"/>
    </row>
    <row r="1031" spans="2:2" x14ac:dyDescent="0.2">
      <c r="B1031" s="381"/>
    </row>
    <row r="1032" spans="2:2" x14ac:dyDescent="0.2">
      <c r="B1032" s="381"/>
    </row>
    <row r="1033" spans="2:2" x14ac:dyDescent="0.2">
      <c r="B1033" s="381"/>
    </row>
    <row r="1034" spans="2:2" x14ac:dyDescent="0.2">
      <c r="B1034" s="381"/>
    </row>
    <row r="1035" spans="2:2" x14ac:dyDescent="0.2">
      <c r="B1035" s="381"/>
    </row>
    <row r="1036" spans="2:2" x14ac:dyDescent="0.2">
      <c r="B1036" s="381"/>
    </row>
    <row r="1037" spans="2:2" x14ac:dyDescent="0.2">
      <c r="B1037" s="381"/>
    </row>
    <row r="1038" spans="2:2" x14ac:dyDescent="0.2">
      <c r="B1038" s="381"/>
    </row>
    <row r="1039" spans="2:2" x14ac:dyDescent="0.2">
      <c r="B1039" s="381"/>
    </row>
    <row r="1040" spans="2:2" x14ac:dyDescent="0.2">
      <c r="B1040" s="381"/>
    </row>
    <row r="1041" spans="2:2" x14ac:dyDescent="0.2">
      <c r="B1041" s="381"/>
    </row>
    <row r="1042" spans="2:2" x14ac:dyDescent="0.2">
      <c r="B1042" s="381"/>
    </row>
    <row r="1043" spans="2:2" x14ac:dyDescent="0.2">
      <c r="B1043" s="381"/>
    </row>
    <row r="1044" spans="2:2" x14ac:dyDescent="0.2">
      <c r="B1044" s="381"/>
    </row>
    <row r="1045" spans="2:2" x14ac:dyDescent="0.2">
      <c r="B1045" s="381"/>
    </row>
    <row r="1046" spans="2:2" x14ac:dyDescent="0.2">
      <c r="B1046" s="381"/>
    </row>
    <row r="1047" spans="2:2" x14ac:dyDescent="0.2">
      <c r="B1047" s="381"/>
    </row>
    <row r="1048" spans="2:2" x14ac:dyDescent="0.2">
      <c r="B1048" s="381"/>
    </row>
    <row r="1049" spans="2:2" x14ac:dyDescent="0.2">
      <c r="B1049" s="381"/>
    </row>
    <row r="1050" spans="2:2" x14ac:dyDescent="0.2">
      <c r="B1050" s="381"/>
    </row>
    <row r="1051" spans="2:2" x14ac:dyDescent="0.2">
      <c r="B1051" s="381"/>
    </row>
    <row r="1052" spans="2:2" x14ac:dyDescent="0.2">
      <c r="B1052" s="381"/>
    </row>
    <row r="1053" spans="2:2" x14ac:dyDescent="0.2">
      <c r="B1053" s="381"/>
    </row>
    <row r="1054" spans="2:2" x14ac:dyDescent="0.2">
      <c r="B1054" s="381"/>
    </row>
    <row r="1055" spans="2:2" x14ac:dyDescent="0.2">
      <c r="B1055" s="381"/>
    </row>
    <row r="1056" spans="2:2" x14ac:dyDescent="0.2">
      <c r="B1056" s="381"/>
    </row>
    <row r="1057" spans="2:2" x14ac:dyDescent="0.2">
      <c r="B1057" s="381"/>
    </row>
    <row r="1058" spans="2:2" x14ac:dyDescent="0.2">
      <c r="B1058" s="381"/>
    </row>
    <row r="1059" spans="2:2" x14ac:dyDescent="0.2">
      <c r="B1059" s="381"/>
    </row>
    <row r="1060" spans="2:2" x14ac:dyDescent="0.2">
      <c r="B1060" s="381"/>
    </row>
    <row r="1061" spans="2:2" x14ac:dyDescent="0.2">
      <c r="B1061" s="381"/>
    </row>
    <row r="1062" spans="2:2" x14ac:dyDescent="0.2">
      <c r="B1062" s="381"/>
    </row>
    <row r="1063" spans="2:2" x14ac:dyDescent="0.2">
      <c r="B1063" s="381"/>
    </row>
    <row r="1064" spans="2:2" x14ac:dyDescent="0.2">
      <c r="B1064" s="381"/>
    </row>
    <row r="1065" spans="2:2" x14ac:dyDescent="0.2">
      <c r="B1065" s="381"/>
    </row>
    <row r="1066" spans="2:2" x14ac:dyDescent="0.2">
      <c r="B1066" s="381"/>
    </row>
    <row r="1067" spans="2:2" x14ac:dyDescent="0.2">
      <c r="B1067" s="381"/>
    </row>
    <row r="1068" spans="2:2" x14ac:dyDescent="0.2">
      <c r="B1068" s="381"/>
    </row>
    <row r="1069" spans="2:2" x14ac:dyDescent="0.2">
      <c r="B1069" s="381"/>
    </row>
    <row r="1070" spans="2:2" x14ac:dyDescent="0.2">
      <c r="B1070" s="381"/>
    </row>
    <row r="1071" spans="2:2" x14ac:dyDescent="0.2">
      <c r="B1071" s="381"/>
    </row>
    <row r="1072" spans="2:2" x14ac:dyDescent="0.2">
      <c r="B1072" s="381"/>
    </row>
    <row r="1073" spans="2:2" x14ac:dyDescent="0.2">
      <c r="B1073" s="381"/>
    </row>
    <row r="1074" spans="2:2" x14ac:dyDescent="0.2">
      <c r="B1074" s="381"/>
    </row>
    <row r="1075" spans="2:2" x14ac:dyDescent="0.2">
      <c r="B1075" s="381"/>
    </row>
    <row r="1076" spans="2:2" x14ac:dyDescent="0.2">
      <c r="B1076" s="381"/>
    </row>
    <row r="1077" spans="2:2" x14ac:dyDescent="0.2">
      <c r="B1077" s="381"/>
    </row>
    <row r="1078" spans="2:2" x14ac:dyDescent="0.2">
      <c r="B1078" s="381"/>
    </row>
    <row r="1079" spans="2:2" x14ac:dyDescent="0.2">
      <c r="B1079" s="381"/>
    </row>
    <row r="1080" spans="2:2" x14ac:dyDescent="0.2">
      <c r="B1080" s="381"/>
    </row>
    <row r="1081" spans="2:2" x14ac:dyDescent="0.2">
      <c r="B1081" s="381"/>
    </row>
    <row r="1082" spans="2:2" x14ac:dyDescent="0.2">
      <c r="B1082" s="381"/>
    </row>
    <row r="1083" spans="2:2" x14ac:dyDescent="0.2">
      <c r="B1083" s="381"/>
    </row>
    <row r="1084" spans="2:2" x14ac:dyDescent="0.2">
      <c r="B1084" s="381"/>
    </row>
    <row r="1085" spans="2:2" x14ac:dyDescent="0.2">
      <c r="B1085" s="381"/>
    </row>
    <row r="1086" spans="2:2" x14ac:dyDescent="0.2">
      <c r="B1086" s="381"/>
    </row>
    <row r="1087" spans="2:2" x14ac:dyDescent="0.2">
      <c r="B1087" s="381"/>
    </row>
    <row r="1088" spans="2:2" x14ac:dyDescent="0.2">
      <c r="B1088" s="381"/>
    </row>
    <row r="1089" spans="2:2" x14ac:dyDescent="0.2">
      <c r="B1089" s="381"/>
    </row>
    <row r="1090" spans="2:2" x14ac:dyDescent="0.2">
      <c r="B1090" s="381"/>
    </row>
    <row r="1091" spans="2:2" x14ac:dyDescent="0.2">
      <c r="B1091" s="381"/>
    </row>
    <row r="1092" spans="2:2" x14ac:dyDescent="0.2">
      <c r="B1092" s="381"/>
    </row>
    <row r="1093" spans="2:2" x14ac:dyDescent="0.2">
      <c r="B1093" s="381"/>
    </row>
    <row r="1094" spans="2:2" x14ac:dyDescent="0.2">
      <c r="B1094" s="381"/>
    </row>
    <row r="1095" spans="2:2" x14ac:dyDescent="0.2">
      <c r="B1095" s="381"/>
    </row>
    <row r="1096" spans="2:2" x14ac:dyDescent="0.2">
      <c r="B1096" s="381"/>
    </row>
    <row r="1097" spans="2:2" x14ac:dyDescent="0.2">
      <c r="B1097" s="381"/>
    </row>
    <row r="1098" spans="2:2" x14ac:dyDescent="0.2">
      <c r="B1098" s="381"/>
    </row>
    <row r="1099" spans="2:2" x14ac:dyDescent="0.2">
      <c r="B1099" s="381"/>
    </row>
    <row r="1100" spans="2:2" x14ac:dyDescent="0.2">
      <c r="B1100" s="381"/>
    </row>
    <row r="1101" spans="2:2" x14ac:dyDescent="0.2">
      <c r="B1101" s="381"/>
    </row>
    <row r="1102" spans="2:2" x14ac:dyDescent="0.2">
      <c r="B1102" s="381"/>
    </row>
    <row r="1103" spans="2:2" x14ac:dyDescent="0.2">
      <c r="B1103" s="381"/>
    </row>
    <row r="1104" spans="2:2" x14ac:dyDescent="0.2">
      <c r="B1104" s="381"/>
    </row>
    <row r="1105" spans="2:2" x14ac:dyDescent="0.2">
      <c r="B1105" s="381"/>
    </row>
    <row r="1106" spans="2:2" x14ac:dyDescent="0.2">
      <c r="B1106" s="381"/>
    </row>
    <row r="1107" spans="2:2" x14ac:dyDescent="0.2">
      <c r="B1107" s="381"/>
    </row>
    <row r="1108" spans="2:2" x14ac:dyDescent="0.2">
      <c r="B1108" s="381"/>
    </row>
    <row r="1109" spans="2:2" x14ac:dyDescent="0.2">
      <c r="B1109" s="381"/>
    </row>
    <row r="1110" spans="2:2" x14ac:dyDescent="0.2">
      <c r="B1110" s="381"/>
    </row>
    <row r="1111" spans="2:2" x14ac:dyDescent="0.2">
      <c r="B1111" s="381"/>
    </row>
    <row r="1112" spans="2:2" x14ac:dyDescent="0.2">
      <c r="B1112" s="381"/>
    </row>
    <row r="1113" spans="2:2" x14ac:dyDescent="0.2">
      <c r="B1113" s="381"/>
    </row>
    <row r="1114" spans="2:2" x14ac:dyDescent="0.2">
      <c r="B1114" s="381"/>
    </row>
    <row r="1115" spans="2:2" x14ac:dyDescent="0.2">
      <c r="B1115" s="381"/>
    </row>
    <row r="1116" spans="2:2" x14ac:dyDescent="0.2">
      <c r="B1116" s="381"/>
    </row>
    <row r="1117" spans="2:2" x14ac:dyDescent="0.2">
      <c r="B1117" s="381"/>
    </row>
    <row r="1118" spans="2:2" x14ac:dyDescent="0.2">
      <c r="B1118" s="381"/>
    </row>
    <row r="1119" spans="2:2" x14ac:dyDescent="0.2">
      <c r="B1119" s="381"/>
    </row>
    <row r="1120" spans="2:2" x14ac:dyDescent="0.2">
      <c r="B1120" s="381"/>
    </row>
    <row r="1121" spans="2:2" x14ac:dyDescent="0.2">
      <c r="B1121" s="381"/>
    </row>
    <row r="1122" spans="2:2" x14ac:dyDescent="0.2">
      <c r="B1122" s="381"/>
    </row>
    <row r="1123" spans="2:2" x14ac:dyDescent="0.2">
      <c r="B1123" s="381"/>
    </row>
    <row r="1124" spans="2:2" x14ac:dyDescent="0.2">
      <c r="B1124" s="381"/>
    </row>
    <row r="1125" spans="2:2" x14ac:dyDescent="0.2">
      <c r="B1125" s="381"/>
    </row>
    <row r="1126" spans="2:2" x14ac:dyDescent="0.2">
      <c r="B1126" s="381"/>
    </row>
    <row r="1127" spans="2:2" x14ac:dyDescent="0.2">
      <c r="B1127" s="381"/>
    </row>
    <row r="1128" spans="2:2" x14ac:dyDescent="0.2">
      <c r="B1128" s="381"/>
    </row>
    <row r="1129" spans="2:2" x14ac:dyDescent="0.2">
      <c r="B1129" s="381"/>
    </row>
    <row r="1130" spans="2:2" x14ac:dyDescent="0.2">
      <c r="B1130" s="381"/>
    </row>
    <row r="1131" spans="2:2" x14ac:dyDescent="0.2">
      <c r="B1131" s="381"/>
    </row>
    <row r="1132" spans="2:2" x14ac:dyDescent="0.2">
      <c r="B1132" s="381"/>
    </row>
    <row r="1133" spans="2:2" x14ac:dyDescent="0.2">
      <c r="B1133" s="381"/>
    </row>
    <row r="1134" spans="2:2" x14ac:dyDescent="0.2">
      <c r="B1134" s="381"/>
    </row>
    <row r="1135" spans="2:2" x14ac:dyDescent="0.2">
      <c r="B1135" s="381"/>
    </row>
    <row r="1136" spans="2:2" x14ac:dyDescent="0.2">
      <c r="B1136" s="381"/>
    </row>
    <row r="1137" spans="2:2" x14ac:dyDescent="0.2">
      <c r="B1137" s="381"/>
    </row>
    <row r="1138" spans="2:2" x14ac:dyDescent="0.2">
      <c r="B1138" s="381"/>
    </row>
    <row r="1139" spans="2:2" x14ac:dyDescent="0.2">
      <c r="B1139" s="381"/>
    </row>
    <row r="1140" spans="2:2" x14ac:dyDescent="0.2">
      <c r="B1140" s="381"/>
    </row>
    <row r="1141" spans="2:2" x14ac:dyDescent="0.2">
      <c r="B1141" s="381"/>
    </row>
    <row r="1142" spans="2:2" x14ac:dyDescent="0.2">
      <c r="B1142" s="381"/>
    </row>
    <row r="1143" spans="2:2" x14ac:dyDescent="0.2">
      <c r="B1143" s="381"/>
    </row>
    <row r="1144" spans="2:2" x14ac:dyDescent="0.2">
      <c r="B1144" s="381"/>
    </row>
    <row r="1145" spans="2:2" x14ac:dyDescent="0.2">
      <c r="B1145" s="381"/>
    </row>
    <row r="1146" spans="2:2" x14ac:dyDescent="0.2">
      <c r="B1146" s="381"/>
    </row>
    <row r="1147" spans="2:2" x14ac:dyDescent="0.2">
      <c r="B1147" s="381"/>
    </row>
    <row r="1148" spans="2:2" x14ac:dyDescent="0.2">
      <c r="B1148" s="381"/>
    </row>
    <row r="1149" spans="2:2" x14ac:dyDescent="0.2">
      <c r="B1149" s="381"/>
    </row>
    <row r="1150" spans="2:2" x14ac:dyDescent="0.2">
      <c r="B1150" s="381"/>
    </row>
    <row r="1151" spans="2:2" x14ac:dyDescent="0.2">
      <c r="B1151" s="381"/>
    </row>
    <row r="1152" spans="2:2" x14ac:dyDescent="0.2">
      <c r="B1152" s="381"/>
    </row>
    <row r="1153" spans="2:2" x14ac:dyDescent="0.2">
      <c r="B1153" s="381"/>
    </row>
    <row r="1154" spans="2:2" x14ac:dyDescent="0.2">
      <c r="B1154" s="381"/>
    </row>
    <row r="1155" spans="2:2" x14ac:dyDescent="0.2">
      <c r="B1155" s="381"/>
    </row>
    <row r="1156" spans="2:2" x14ac:dyDescent="0.2">
      <c r="B1156" s="381"/>
    </row>
    <row r="1157" spans="2:2" x14ac:dyDescent="0.2">
      <c r="B1157" s="381"/>
    </row>
    <row r="1158" spans="2:2" x14ac:dyDescent="0.2">
      <c r="B1158" s="381"/>
    </row>
    <row r="1159" spans="2:2" x14ac:dyDescent="0.2">
      <c r="B1159" s="381"/>
    </row>
    <row r="1160" spans="2:2" x14ac:dyDescent="0.2">
      <c r="B1160" s="381"/>
    </row>
    <row r="1161" spans="2:2" x14ac:dyDescent="0.2">
      <c r="B1161" s="381"/>
    </row>
    <row r="1162" spans="2:2" x14ac:dyDescent="0.2">
      <c r="B1162" s="381"/>
    </row>
    <row r="1163" spans="2:2" x14ac:dyDescent="0.2">
      <c r="B1163" s="381"/>
    </row>
    <row r="1164" spans="2:2" x14ac:dyDescent="0.2">
      <c r="B1164" s="381"/>
    </row>
    <row r="1165" spans="2:2" x14ac:dyDescent="0.2">
      <c r="B1165" s="381"/>
    </row>
    <row r="1166" spans="2:2" x14ac:dyDescent="0.2">
      <c r="B1166" s="381"/>
    </row>
    <row r="1167" spans="2:2" x14ac:dyDescent="0.2">
      <c r="B1167" s="381"/>
    </row>
    <row r="1168" spans="2:2" x14ac:dyDescent="0.2">
      <c r="B1168" s="381"/>
    </row>
    <row r="1169" spans="2:2" x14ac:dyDescent="0.2">
      <c r="B1169" s="381"/>
    </row>
    <row r="1170" spans="2:2" x14ac:dyDescent="0.2">
      <c r="B1170" s="381"/>
    </row>
    <row r="1171" spans="2:2" x14ac:dyDescent="0.2">
      <c r="B1171" s="381"/>
    </row>
    <row r="1172" spans="2:2" x14ac:dyDescent="0.2">
      <c r="B1172" s="381"/>
    </row>
    <row r="1173" spans="2:2" x14ac:dyDescent="0.2">
      <c r="B1173" s="381"/>
    </row>
    <row r="1174" spans="2:2" x14ac:dyDescent="0.2">
      <c r="B1174" s="381"/>
    </row>
    <row r="1175" spans="2:2" x14ac:dyDescent="0.2">
      <c r="B1175" s="381"/>
    </row>
    <row r="1176" spans="2:2" x14ac:dyDescent="0.2">
      <c r="B1176" s="381"/>
    </row>
    <row r="1177" spans="2:2" x14ac:dyDescent="0.2">
      <c r="B1177" s="381"/>
    </row>
    <row r="1178" spans="2:2" x14ac:dyDescent="0.2">
      <c r="B1178" s="381"/>
    </row>
    <row r="1179" spans="2:2" x14ac:dyDescent="0.2">
      <c r="B1179" s="381"/>
    </row>
    <row r="1180" spans="2:2" x14ac:dyDescent="0.2">
      <c r="B1180" s="381"/>
    </row>
    <row r="1181" spans="2:2" x14ac:dyDescent="0.2">
      <c r="B1181" s="381"/>
    </row>
    <row r="1182" spans="2:2" x14ac:dyDescent="0.2">
      <c r="B1182" s="381"/>
    </row>
    <row r="1183" spans="2:2" x14ac:dyDescent="0.2">
      <c r="B1183" s="381"/>
    </row>
    <row r="1184" spans="2:2" x14ac:dyDescent="0.2">
      <c r="B1184" s="381"/>
    </row>
    <row r="1185" spans="2:2" x14ac:dyDescent="0.2">
      <c r="B1185" s="381"/>
    </row>
    <row r="1186" spans="2:2" x14ac:dyDescent="0.2">
      <c r="B1186" s="381"/>
    </row>
    <row r="1187" spans="2:2" x14ac:dyDescent="0.2">
      <c r="B1187" s="381"/>
    </row>
    <row r="1188" spans="2:2" x14ac:dyDescent="0.2">
      <c r="B1188" s="381"/>
    </row>
    <row r="1189" spans="2:2" x14ac:dyDescent="0.2">
      <c r="B1189" s="381"/>
    </row>
    <row r="1190" spans="2:2" x14ac:dyDescent="0.2">
      <c r="B1190" s="381"/>
    </row>
    <row r="1191" spans="2:2" x14ac:dyDescent="0.2">
      <c r="B1191" s="381"/>
    </row>
    <row r="1192" spans="2:2" x14ac:dyDescent="0.2">
      <c r="B1192" s="381"/>
    </row>
    <row r="1193" spans="2:2" x14ac:dyDescent="0.2">
      <c r="B1193" s="381"/>
    </row>
    <row r="1194" spans="2:2" x14ac:dyDescent="0.2">
      <c r="B1194" s="381"/>
    </row>
    <row r="1195" spans="2:2" x14ac:dyDescent="0.2">
      <c r="B1195" s="381"/>
    </row>
    <row r="1196" spans="2:2" x14ac:dyDescent="0.2">
      <c r="B1196" s="381"/>
    </row>
    <row r="1197" spans="2:2" x14ac:dyDescent="0.2">
      <c r="B1197" s="381"/>
    </row>
    <row r="1198" spans="2:2" x14ac:dyDescent="0.2">
      <c r="B1198" s="381"/>
    </row>
    <row r="1199" spans="2:2" x14ac:dyDescent="0.2">
      <c r="B1199" s="381"/>
    </row>
    <row r="1200" spans="2:2" x14ac:dyDescent="0.2">
      <c r="B1200" s="381"/>
    </row>
    <row r="1201" spans="2:2" x14ac:dyDescent="0.2">
      <c r="B1201" s="381"/>
    </row>
    <row r="1202" spans="2:2" x14ac:dyDescent="0.2">
      <c r="B1202" s="381"/>
    </row>
    <row r="1203" spans="2:2" x14ac:dyDescent="0.2">
      <c r="B1203" s="381"/>
    </row>
    <row r="1204" spans="2:2" x14ac:dyDescent="0.2">
      <c r="B1204" s="381"/>
    </row>
    <row r="1205" spans="2:2" x14ac:dyDescent="0.2">
      <c r="B1205" s="381"/>
    </row>
    <row r="1206" spans="2:2" x14ac:dyDescent="0.2">
      <c r="B1206" s="381"/>
    </row>
    <row r="1207" spans="2:2" x14ac:dyDescent="0.2">
      <c r="B1207" s="381"/>
    </row>
    <row r="1208" spans="2:2" x14ac:dyDescent="0.2">
      <c r="B1208" s="381"/>
    </row>
    <row r="1209" spans="2:2" x14ac:dyDescent="0.2">
      <c r="B1209" s="381"/>
    </row>
    <row r="1210" spans="2:2" x14ac:dyDescent="0.2">
      <c r="B1210" s="381"/>
    </row>
    <row r="1211" spans="2:2" x14ac:dyDescent="0.2">
      <c r="B1211" s="381"/>
    </row>
    <row r="1212" spans="2:2" x14ac:dyDescent="0.2">
      <c r="B1212" s="381"/>
    </row>
    <row r="1213" spans="2:2" x14ac:dyDescent="0.2">
      <c r="B1213" s="381"/>
    </row>
    <row r="1214" spans="2:2" x14ac:dyDescent="0.2">
      <c r="B1214" s="381"/>
    </row>
    <row r="1215" spans="2:2" x14ac:dyDescent="0.2">
      <c r="B1215" s="381"/>
    </row>
    <row r="1216" spans="2:2" x14ac:dyDescent="0.2">
      <c r="B1216" s="381"/>
    </row>
    <row r="1217" spans="2:2" x14ac:dyDescent="0.2">
      <c r="B1217" s="381"/>
    </row>
    <row r="1218" spans="2:2" x14ac:dyDescent="0.2">
      <c r="B1218" s="381"/>
    </row>
    <row r="1219" spans="2:2" x14ac:dyDescent="0.2">
      <c r="B1219" s="381"/>
    </row>
    <row r="1220" spans="2:2" x14ac:dyDescent="0.2">
      <c r="B1220" s="381"/>
    </row>
    <row r="1221" spans="2:2" x14ac:dyDescent="0.2">
      <c r="B1221" s="381"/>
    </row>
    <row r="1222" spans="2:2" x14ac:dyDescent="0.2">
      <c r="B1222" s="381"/>
    </row>
    <row r="1223" spans="2:2" x14ac:dyDescent="0.2">
      <c r="B1223" s="381"/>
    </row>
    <row r="1224" spans="2:2" x14ac:dyDescent="0.2">
      <c r="B1224" s="381"/>
    </row>
    <row r="1225" spans="2:2" x14ac:dyDescent="0.2">
      <c r="B1225" s="381"/>
    </row>
    <row r="1226" spans="2:2" x14ac:dyDescent="0.2">
      <c r="B1226" s="381"/>
    </row>
    <row r="1227" spans="2:2" x14ac:dyDescent="0.2">
      <c r="B1227" s="381"/>
    </row>
    <row r="1228" spans="2:2" x14ac:dyDescent="0.2">
      <c r="B1228" s="381"/>
    </row>
    <row r="1229" spans="2:2" x14ac:dyDescent="0.2">
      <c r="B1229" s="381"/>
    </row>
    <row r="1230" spans="2:2" x14ac:dyDescent="0.2">
      <c r="B1230" s="381"/>
    </row>
    <row r="1231" spans="2:2" x14ac:dyDescent="0.2">
      <c r="B1231" s="381"/>
    </row>
    <row r="1232" spans="2:2" x14ac:dyDescent="0.2">
      <c r="B1232" s="381"/>
    </row>
    <row r="1233" spans="2:2" x14ac:dyDescent="0.2">
      <c r="B1233" s="381"/>
    </row>
    <row r="1234" spans="2:2" x14ac:dyDescent="0.2">
      <c r="B1234" s="381"/>
    </row>
    <row r="1235" spans="2:2" x14ac:dyDescent="0.2">
      <c r="B1235" s="381"/>
    </row>
    <row r="1236" spans="2:2" x14ac:dyDescent="0.2">
      <c r="B1236" s="381"/>
    </row>
    <row r="1237" spans="2:2" x14ac:dyDescent="0.2">
      <c r="B1237" s="381"/>
    </row>
    <row r="1238" spans="2:2" x14ac:dyDescent="0.2">
      <c r="B1238" s="381"/>
    </row>
    <row r="1239" spans="2:2" x14ac:dyDescent="0.2">
      <c r="B1239" s="381"/>
    </row>
    <row r="1240" spans="2:2" x14ac:dyDescent="0.2">
      <c r="B1240" s="381"/>
    </row>
    <row r="1241" spans="2:2" x14ac:dyDescent="0.2">
      <c r="B1241" s="381"/>
    </row>
    <row r="1242" spans="2:2" x14ac:dyDescent="0.2">
      <c r="B1242" s="381"/>
    </row>
    <row r="1243" spans="2:2" x14ac:dyDescent="0.2">
      <c r="B1243" s="381"/>
    </row>
    <row r="1244" spans="2:2" x14ac:dyDescent="0.2">
      <c r="B1244" s="381"/>
    </row>
    <row r="1245" spans="2:2" x14ac:dyDescent="0.2">
      <c r="B1245" s="381"/>
    </row>
    <row r="1246" spans="2:2" x14ac:dyDescent="0.2">
      <c r="B1246" s="381"/>
    </row>
    <row r="1247" spans="2:2" x14ac:dyDescent="0.2">
      <c r="B1247" s="381"/>
    </row>
    <row r="1248" spans="2:2" x14ac:dyDescent="0.2">
      <c r="B1248" s="381"/>
    </row>
    <row r="1249" spans="2:2" x14ac:dyDescent="0.2">
      <c r="B1249" s="381"/>
    </row>
    <row r="1250" spans="2:2" x14ac:dyDescent="0.2">
      <c r="B1250" s="381"/>
    </row>
    <row r="1251" spans="2:2" x14ac:dyDescent="0.2">
      <c r="B1251" s="381"/>
    </row>
    <row r="1252" spans="2:2" x14ac:dyDescent="0.2">
      <c r="B1252" s="381"/>
    </row>
    <row r="1253" spans="2:2" x14ac:dyDescent="0.2">
      <c r="B1253" s="381"/>
    </row>
    <row r="1254" spans="2:2" x14ac:dyDescent="0.2">
      <c r="B1254" s="381"/>
    </row>
    <row r="1255" spans="2:2" x14ac:dyDescent="0.2">
      <c r="B1255" s="381"/>
    </row>
    <row r="1256" spans="2:2" x14ac:dyDescent="0.2">
      <c r="B1256" s="381"/>
    </row>
    <row r="1257" spans="2:2" x14ac:dyDescent="0.2">
      <c r="B1257" s="381"/>
    </row>
    <row r="1258" spans="2:2" x14ac:dyDescent="0.2">
      <c r="B1258" s="381"/>
    </row>
    <row r="1259" spans="2:2" x14ac:dyDescent="0.2">
      <c r="B1259" s="381"/>
    </row>
    <row r="1260" spans="2:2" x14ac:dyDescent="0.2">
      <c r="B1260" s="381"/>
    </row>
    <row r="1261" spans="2:2" x14ac:dyDescent="0.2">
      <c r="B1261" s="381"/>
    </row>
    <row r="1262" spans="2:2" x14ac:dyDescent="0.2">
      <c r="B1262" s="381"/>
    </row>
    <row r="1263" spans="2:2" x14ac:dyDescent="0.2">
      <c r="B1263" s="381"/>
    </row>
    <row r="1264" spans="2:2" x14ac:dyDescent="0.2">
      <c r="B1264" s="381"/>
    </row>
    <row r="1265" spans="2:2" x14ac:dyDescent="0.2">
      <c r="B1265" s="381"/>
    </row>
    <row r="1266" spans="2:2" x14ac:dyDescent="0.2">
      <c r="B1266" s="381"/>
    </row>
    <row r="1267" spans="2:2" x14ac:dyDescent="0.2">
      <c r="B1267" s="381"/>
    </row>
    <row r="1268" spans="2:2" x14ac:dyDescent="0.2">
      <c r="B1268" s="381"/>
    </row>
    <row r="1269" spans="2:2" x14ac:dyDescent="0.2">
      <c r="B1269" s="381"/>
    </row>
    <row r="1270" spans="2:2" x14ac:dyDescent="0.2">
      <c r="B1270" s="381"/>
    </row>
    <row r="1271" spans="2:2" x14ac:dyDescent="0.2">
      <c r="B1271" s="381"/>
    </row>
    <row r="1272" spans="2:2" x14ac:dyDescent="0.2">
      <c r="B1272" s="381"/>
    </row>
    <row r="1273" spans="2:2" x14ac:dyDescent="0.2">
      <c r="B1273" s="381"/>
    </row>
    <row r="1274" spans="2:2" x14ac:dyDescent="0.2">
      <c r="B1274" s="381"/>
    </row>
    <row r="1275" spans="2:2" x14ac:dyDescent="0.2">
      <c r="B1275" s="381"/>
    </row>
    <row r="1276" spans="2:2" x14ac:dyDescent="0.2">
      <c r="B1276" s="381"/>
    </row>
    <row r="1277" spans="2:2" x14ac:dyDescent="0.2">
      <c r="B1277" s="381"/>
    </row>
    <row r="1278" spans="2:2" x14ac:dyDescent="0.2">
      <c r="B1278" s="381"/>
    </row>
    <row r="1279" spans="2:2" x14ac:dyDescent="0.2">
      <c r="B1279" s="381"/>
    </row>
    <row r="1280" spans="2:2" x14ac:dyDescent="0.2">
      <c r="B1280" s="381"/>
    </row>
    <row r="1281" spans="2:2" x14ac:dyDescent="0.2">
      <c r="B1281" s="381"/>
    </row>
    <row r="1282" spans="2:2" x14ac:dyDescent="0.2">
      <c r="B1282" s="381"/>
    </row>
    <row r="1283" spans="2:2" x14ac:dyDescent="0.2">
      <c r="B1283" s="381"/>
    </row>
    <row r="1284" spans="2:2" x14ac:dyDescent="0.2">
      <c r="B1284" s="381"/>
    </row>
    <row r="1285" spans="2:2" x14ac:dyDescent="0.2">
      <c r="B1285" s="381"/>
    </row>
    <row r="1286" spans="2:2" x14ac:dyDescent="0.2">
      <c r="B1286" s="381"/>
    </row>
    <row r="1287" spans="2:2" x14ac:dyDescent="0.2">
      <c r="B1287" s="381"/>
    </row>
    <row r="1288" spans="2:2" x14ac:dyDescent="0.2">
      <c r="B1288" s="381"/>
    </row>
    <row r="1289" spans="2:2" x14ac:dyDescent="0.2">
      <c r="B1289" s="381"/>
    </row>
    <row r="1290" spans="2:2" x14ac:dyDescent="0.2">
      <c r="B1290" s="381"/>
    </row>
    <row r="1291" spans="2:2" x14ac:dyDescent="0.2">
      <c r="B1291" s="381"/>
    </row>
    <row r="1292" spans="2:2" x14ac:dyDescent="0.2">
      <c r="B1292" s="381"/>
    </row>
    <row r="1293" spans="2:2" x14ac:dyDescent="0.2">
      <c r="B1293" s="381"/>
    </row>
    <row r="1294" spans="2:2" x14ac:dyDescent="0.2">
      <c r="B1294" s="381"/>
    </row>
    <row r="1295" spans="2:2" x14ac:dyDescent="0.2">
      <c r="B1295" s="381"/>
    </row>
    <row r="1296" spans="2:2" x14ac:dyDescent="0.2">
      <c r="B1296" s="381"/>
    </row>
    <row r="1297" spans="2:2" x14ac:dyDescent="0.2">
      <c r="B1297" s="381"/>
    </row>
    <row r="1298" spans="2:2" x14ac:dyDescent="0.2">
      <c r="B1298" s="381"/>
    </row>
    <row r="1299" spans="2:2" x14ac:dyDescent="0.2">
      <c r="B1299" s="381"/>
    </row>
    <row r="1300" spans="2:2" x14ac:dyDescent="0.2">
      <c r="B1300" s="381"/>
    </row>
    <row r="1301" spans="2:2" x14ac:dyDescent="0.2">
      <c r="B1301" s="381"/>
    </row>
    <row r="1302" spans="2:2" x14ac:dyDescent="0.2">
      <c r="B1302" s="381"/>
    </row>
    <row r="1303" spans="2:2" x14ac:dyDescent="0.2">
      <c r="B1303" s="381"/>
    </row>
    <row r="1304" spans="2:2" x14ac:dyDescent="0.2">
      <c r="B1304" s="381"/>
    </row>
    <row r="1305" spans="2:2" x14ac:dyDescent="0.2">
      <c r="B1305" s="381"/>
    </row>
    <row r="1306" spans="2:2" x14ac:dyDescent="0.2">
      <c r="B1306" s="381"/>
    </row>
    <row r="1307" spans="2:2" x14ac:dyDescent="0.2">
      <c r="B1307" s="381"/>
    </row>
    <row r="1308" spans="2:2" x14ac:dyDescent="0.2">
      <c r="B1308" s="381"/>
    </row>
    <row r="1309" spans="2:2" x14ac:dyDescent="0.2">
      <c r="B1309" s="381"/>
    </row>
    <row r="1310" spans="2:2" x14ac:dyDescent="0.2">
      <c r="B1310" s="381"/>
    </row>
    <row r="1311" spans="2:2" x14ac:dyDescent="0.2">
      <c r="B1311" s="381"/>
    </row>
    <row r="1312" spans="2:2" x14ac:dyDescent="0.2">
      <c r="B1312" s="381"/>
    </row>
    <row r="1313" spans="2:2" x14ac:dyDescent="0.2">
      <c r="B1313" s="381"/>
    </row>
    <row r="1314" spans="2:2" x14ac:dyDescent="0.2">
      <c r="B1314" s="381"/>
    </row>
    <row r="1315" spans="2:2" x14ac:dyDescent="0.2">
      <c r="B1315" s="381"/>
    </row>
    <row r="1316" spans="2:2" x14ac:dyDescent="0.2">
      <c r="B1316" s="381"/>
    </row>
    <row r="1317" spans="2:2" x14ac:dyDescent="0.2">
      <c r="B1317" s="381"/>
    </row>
    <row r="1318" spans="2:2" x14ac:dyDescent="0.2">
      <c r="B1318" s="381"/>
    </row>
    <row r="1319" spans="2:2" x14ac:dyDescent="0.2">
      <c r="B1319" s="381"/>
    </row>
    <row r="1320" spans="2:2" x14ac:dyDescent="0.2">
      <c r="B1320" s="381"/>
    </row>
    <row r="1321" spans="2:2" x14ac:dyDescent="0.2">
      <c r="B1321" s="381"/>
    </row>
    <row r="1322" spans="2:2" x14ac:dyDescent="0.2">
      <c r="B1322" s="381"/>
    </row>
    <row r="1323" spans="2:2" x14ac:dyDescent="0.2">
      <c r="B1323" s="381"/>
    </row>
    <row r="1324" spans="2:2" x14ac:dyDescent="0.2">
      <c r="B1324" s="381"/>
    </row>
    <row r="1325" spans="2:2" x14ac:dyDescent="0.2">
      <c r="B1325" s="381"/>
    </row>
    <row r="1326" spans="2:2" x14ac:dyDescent="0.2">
      <c r="B1326" s="381"/>
    </row>
    <row r="1327" spans="2:2" x14ac:dyDescent="0.2">
      <c r="B1327" s="381"/>
    </row>
    <row r="1328" spans="2:2" x14ac:dyDescent="0.2">
      <c r="B1328" s="381"/>
    </row>
    <row r="1329" spans="2:2" x14ac:dyDescent="0.2">
      <c r="B1329" s="381"/>
    </row>
    <row r="1330" spans="2:2" x14ac:dyDescent="0.2">
      <c r="B1330" s="381"/>
    </row>
    <row r="1331" spans="2:2" x14ac:dyDescent="0.2">
      <c r="B1331" s="381"/>
    </row>
    <row r="1332" spans="2:2" x14ac:dyDescent="0.2">
      <c r="B1332" s="381"/>
    </row>
    <row r="1333" spans="2:2" x14ac:dyDescent="0.2">
      <c r="B1333" s="381"/>
    </row>
    <row r="1334" spans="2:2" x14ac:dyDescent="0.2">
      <c r="B1334" s="381"/>
    </row>
    <row r="1335" spans="2:2" x14ac:dyDescent="0.2">
      <c r="B1335" s="381"/>
    </row>
    <row r="1336" spans="2:2" x14ac:dyDescent="0.2">
      <c r="B1336" s="381"/>
    </row>
    <row r="1337" spans="2:2" x14ac:dyDescent="0.2">
      <c r="B1337" s="381"/>
    </row>
    <row r="1338" spans="2:2" x14ac:dyDescent="0.2">
      <c r="B1338" s="381"/>
    </row>
    <row r="1339" spans="2:2" x14ac:dyDescent="0.2">
      <c r="B1339" s="381"/>
    </row>
    <row r="1340" spans="2:2" x14ac:dyDescent="0.2">
      <c r="B1340" s="381"/>
    </row>
    <row r="1341" spans="2:2" x14ac:dyDescent="0.2">
      <c r="B1341" s="381"/>
    </row>
    <row r="1342" spans="2:2" x14ac:dyDescent="0.2">
      <c r="B1342" s="381"/>
    </row>
    <row r="1343" spans="2:2" x14ac:dyDescent="0.2">
      <c r="B1343" s="381"/>
    </row>
    <row r="1344" spans="2:2" x14ac:dyDescent="0.2">
      <c r="B1344" s="381"/>
    </row>
    <row r="1345" spans="2:2" x14ac:dyDescent="0.2">
      <c r="B1345" s="381"/>
    </row>
    <row r="1346" spans="2:2" x14ac:dyDescent="0.2">
      <c r="B1346" s="381"/>
    </row>
    <row r="1347" spans="2:2" x14ac:dyDescent="0.2">
      <c r="B1347" s="381"/>
    </row>
    <row r="1348" spans="2:2" x14ac:dyDescent="0.2">
      <c r="B1348" s="381"/>
    </row>
    <row r="1349" spans="2:2" x14ac:dyDescent="0.2">
      <c r="B1349" s="381"/>
    </row>
    <row r="1350" spans="2:2" x14ac:dyDescent="0.2">
      <c r="B1350" s="381"/>
    </row>
    <row r="1351" spans="2:2" x14ac:dyDescent="0.2">
      <c r="B1351" s="381"/>
    </row>
    <row r="1352" spans="2:2" x14ac:dyDescent="0.2">
      <c r="B1352" s="381"/>
    </row>
    <row r="1353" spans="2:2" x14ac:dyDescent="0.2">
      <c r="B1353" s="381"/>
    </row>
    <row r="1354" spans="2:2" x14ac:dyDescent="0.2">
      <c r="B1354" s="381"/>
    </row>
    <row r="1355" spans="2:2" x14ac:dyDescent="0.2">
      <c r="B1355" s="381"/>
    </row>
    <row r="1356" spans="2:2" x14ac:dyDescent="0.2">
      <c r="B1356" s="381"/>
    </row>
    <row r="1357" spans="2:2" x14ac:dyDescent="0.2">
      <c r="B1357" s="381"/>
    </row>
    <row r="1358" spans="2:2" x14ac:dyDescent="0.2">
      <c r="B1358" s="381"/>
    </row>
    <row r="1359" spans="2:2" x14ac:dyDescent="0.2">
      <c r="B1359" s="381"/>
    </row>
    <row r="1360" spans="2:2" x14ac:dyDescent="0.2">
      <c r="B1360" s="381"/>
    </row>
    <row r="1361" spans="2:2" x14ac:dyDescent="0.2">
      <c r="B1361" s="381"/>
    </row>
    <row r="1362" spans="2:2" x14ac:dyDescent="0.2">
      <c r="B1362" s="381"/>
    </row>
    <row r="1363" spans="2:2" x14ac:dyDescent="0.2">
      <c r="B1363" s="381"/>
    </row>
    <row r="1364" spans="2:2" x14ac:dyDescent="0.2">
      <c r="B1364" s="381"/>
    </row>
    <row r="1365" spans="2:2" x14ac:dyDescent="0.2">
      <c r="B1365" s="381"/>
    </row>
    <row r="1366" spans="2:2" x14ac:dyDescent="0.2">
      <c r="B1366" s="381"/>
    </row>
    <row r="1367" spans="2:2" x14ac:dyDescent="0.2">
      <c r="B1367" s="381"/>
    </row>
    <row r="1368" spans="2:2" x14ac:dyDescent="0.2">
      <c r="B1368" s="381"/>
    </row>
    <row r="1369" spans="2:2" x14ac:dyDescent="0.2">
      <c r="B1369" s="381"/>
    </row>
    <row r="1370" spans="2:2" x14ac:dyDescent="0.2">
      <c r="B1370" s="381"/>
    </row>
    <row r="1371" spans="2:2" x14ac:dyDescent="0.2">
      <c r="B1371" s="381"/>
    </row>
    <row r="1372" spans="2:2" x14ac:dyDescent="0.2">
      <c r="B1372" s="381"/>
    </row>
    <row r="1373" spans="2:2" x14ac:dyDescent="0.2">
      <c r="B1373" s="381"/>
    </row>
    <row r="1374" spans="2:2" x14ac:dyDescent="0.2">
      <c r="B1374" s="381"/>
    </row>
    <row r="1375" spans="2:2" x14ac:dyDescent="0.2">
      <c r="B1375" s="381"/>
    </row>
    <row r="1376" spans="2:2" x14ac:dyDescent="0.2">
      <c r="B1376" s="381"/>
    </row>
    <row r="1377" spans="2:2" x14ac:dyDescent="0.2">
      <c r="B1377" s="381"/>
    </row>
    <row r="1378" spans="2:2" x14ac:dyDescent="0.2">
      <c r="B1378" s="381"/>
    </row>
    <row r="1379" spans="2:2" x14ac:dyDescent="0.2">
      <c r="B1379" s="381"/>
    </row>
    <row r="1380" spans="2:2" x14ac:dyDescent="0.2">
      <c r="B1380" s="381"/>
    </row>
    <row r="1381" spans="2:2" x14ac:dyDescent="0.2">
      <c r="B1381" s="381"/>
    </row>
    <row r="1382" spans="2:2" x14ac:dyDescent="0.2">
      <c r="B1382" s="381"/>
    </row>
    <row r="1383" spans="2:2" x14ac:dyDescent="0.2">
      <c r="B1383" s="381"/>
    </row>
    <row r="1384" spans="2:2" x14ac:dyDescent="0.2">
      <c r="B1384" s="381"/>
    </row>
    <row r="1385" spans="2:2" x14ac:dyDescent="0.2">
      <c r="B1385" s="381"/>
    </row>
    <row r="1386" spans="2:2" x14ac:dyDescent="0.2">
      <c r="B1386" s="381"/>
    </row>
    <row r="1387" spans="2:2" x14ac:dyDescent="0.2">
      <c r="B1387" s="381"/>
    </row>
    <row r="1388" spans="2:2" x14ac:dyDescent="0.2">
      <c r="B1388" s="381"/>
    </row>
    <row r="1389" spans="2:2" x14ac:dyDescent="0.2">
      <c r="B1389" s="381"/>
    </row>
    <row r="1390" spans="2:2" x14ac:dyDescent="0.2">
      <c r="B1390" s="381"/>
    </row>
    <row r="1391" spans="2:2" x14ac:dyDescent="0.2">
      <c r="B1391" s="381"/>
    </row>
    <row r="1392" spans="2:2" x14ac:dyDescent="0.2">
      <c r="B1392" s="381"/>
    </row>
    <row r="1393" spans="2:2" x14ac:dyDescent="0.2">
      <c r="B1393" s="381"/>
    </row>
    <row r="1394" spans="2:2" x14ac:dyDescent="0.2">
      <c r="B1394" s="381"/>
    </row>
    <row r="1395" spans="2:2" x14ac:dyDescent="0.2">
      <c r="B1395" s="381"/>
    </row>
    <row r="1396" spans="2:2" x14ac:dyDescent="0.2">
      <c r="B1396" s="381"/>
    </row>
    <row r="1397" spans="2:2" x14ac:dyDescent="0.2">
      <c r="B1397" s="381"/>
    </row>
    <row r="1398" spans="2:2" x14ac:dyDescent="0.2">
      <c r="B1398" s="381"/>
    </row>
    <row r="1399" spans="2:2" x14ac:dyDescent="0.2">
      <c r="B1399" s="381"/>
    </row>
    <row r="1400" spans="2:2" x14ac:dyDescent="0.2">
      <c r="B1400" s="381"/>
    </row>
    <row r="1401" spans="2:2" x14ac:dyDescent="0.2">
      <c r="B1401" s="381"/>
    </row>
    <row r="1402" spans="2:2" x14ac:dyDescent="0.2">
      <c r="B1402" s="381"/>
    </row>
    <row r="1403" spans="2:2" x14ac:dyDescent="0.2">
      <c r="B1403" s="381"/>
    </row>
    <row r="1404" spans="2:2" x14ac:dyDescent="0.2">
      <c r="B1404" s="381"/>
    </row>
    <row r="1405" spans="2:2" x14ac:dyDescent="0.2">
      <c r="B1405" s="381"/>
    </row>
    <row r="1406" spans="2:2" x14ac:dyDescent="0.2">
      <c r="B1406" s="381"/>
    </row>
    <row r="1407" spans="2:2" x14ac:dyDescent="0.2">
      <c r="B1407" s="381"/>
    </row>
    <row r="1408" spans="2:2" x14ac:dyDescent="0.2">
      <c r="B1408" s="381"/>
    </row>
    <row r="1409" spans="2:2" x14ac:dyDescent="0.2">
      <c r="B1409" s="381"/>
    </row>
    <row r="1410" spans="2:2" x14ac:dyDescent="0.2">
      <c r="B1410" s="381"/>
    </row>
    <row r="1411" spans="2:2" x14ac:dyDescent="0.2">
      <c r="B1411" s="381"/>
    </row>
    <row r="1412" spans="2:2" x14ac:dyDescent="0.2">
      <c r="B1412" s="381"/>
    </row>
    <row r="1413" spans="2:2" x14ac:dyDescent="0.2">
      <c r="B1413" s="381"/>
    </row>
    <row r="1414" spans="2:2" x14ac:dyDescent="0.2">
      <c r="B1414" s="381"/>
    </row>
    <row r="1415" spans="2:2" x14ac:dyDescent="0.2">
      <c r="B1415" s="381"/>
    </row>
    <row r="1416" spans="2:2" x14ac:dyDescent="0.2">
      <c r="B1416" s="381"/>
    </row>
    <row r="1417" spans="2:2" x14ac:dyDescent="0.2">
      <c r="B1417" s="381"/>
    </row>
    <row r="1418" spans="2:2" x14ac:dyDescent="0.2">
      <c r="B1418" s="381"/>
    </row>
    <row r="1419" spans="2:2" x14ac:dyDescent="0.2">
      <c r="B1419" s="381"/>
    </row>
    <row r="1420" spans="2:2" x14ac:dyDescent="0.2">
      <c r="B1420" s="381"/>
    </row>
    <row r="1421" spans="2:2" x14ac:dyDescent="0.2">
      <c r="B1421" s="381"/>
    </row>
    <row r="1422" spans="2:2" x14ac:dyDescent="0.2">
      <c r="B1422" s="381"/>
    </row>
    <row r="1423" spans="2:2" x14ac:dyDescent="0.2">
      <c r="B1423" s="381"/>
    </row>
    <row r="1424" spans="2:2" x14ac:dyDescent="0.2">
      <c r="B1424" s="381"/>
    </row>
    <row r="1425" spans="2:2" x14ac:dyDescent="0.2">
      <c r="B1425" s="381"/>
    </row>
    <row r="1426" spans="2:2" x14ac:dyDescent="0.2">
      <c r="B1426" s="381"/>
    </row>
    <row r="1427" spans="2:2" x14ac:dyDescent="0.2">
      <c r="B1427" s="381"/>
    </row>
    <row r="1428" spans="2:2" x14ac:dyDescent="0.2">
      <c r="B1428" s="381"/>
    </row>
    <row r="1429" spans="2:2" x14ac:dyDescent="0.2">
      <c r="B1429" s="381"/>
    </row>
    <row r="1430" spans="2:2" x14ac:dyDescent="0.2">
      <c r="B1430" s="381"/>
    </row>
    <row r="1431" spans="2:2" x14ac:dyDescent="0.2">
      <c r="B1431" s="381"/>
    </row>
    <row r="1432" spans="2:2" x14ac:dyDescent="0.2">
      <c r="B1432" s="381"/>
    </row>
    <row r="1433" spans="2:2" x14ac:dyDescent="0.2">
      <c r="B1433" s="381"/>
    </row>
    <row r="1434" spans="2:2" x14ac:dyDescent="0.2">
      <c r="B1434" s="381"/>
    </row>
    <row r="1435" spans="2:2" x14ac:dyDescent="0.2">
      <c r="B1435" s="381"/>
    </row>
    <row r="1436" spans="2:2" x14ac:dyDescent="0.2">
      <c r="B1436" s="381"/>
    </row>
    <row r="1437" spans="2:2" x14ac:dyDescent="0.2">
      <c r="B1437" s="381"/>
    </row>
    <row r="1438" spans="2:2" x14ac:dyDescent="0.2">
      <c r="B1438" s="381"/>
    </row>
    <row r="1439" spans="2:2" x14ac:dyDescent="0.2">
      <c r="B1439" s="381"/>
    </row>
    <row r="1440" spans="2:2" x14ac:dyDescent="0.2">
      <c r="B1440" s="381"/>
    </row>
    <row r="1441" spans="2:2" x14ac:dyDescent="0.2">
      <c r="B1441" s="381"/>
    </row>
    <row r="1442" spans="2:2" x14ac:dyDescent="0.2">
      <c r="B1442" s="381"/>
    </row>
    <row r="1443" spans="2:2" x14ac:dyDescent="0.2">
      <c r="B1443" s="381"/>
    </row>
    <row r="1444" spans="2:2" x14ac:dyDescent="0.2">
      <c r="B1444" s="381"/>
    </row>
    <row r="1445" spans="2:2" x14ac:dyDescent="0.2">
      <c r="B1445" s="381"/>
    </row>
    <row r="1446" spans="2:2" x14ac:dyDescent="0.2">
      <c r="B1446" s="381"/>
    </row>
    <row r="1447" spans="2:2" x14ac:dyDescent="0.2">
      <c r="B1447" s="381"/>
    </row>
    <row r="1448" spans="2:2" x14ac:dyDescent="0.2">
      <c r="B1448" s="381"/>
    </row>
    <row r="1449" spans="2:2" x14ac:dyDescent="0.2">
      <c r="B1449" s="381"/>
    </row>
    <row r="1450" spans="2:2" x14ac:dyDescent="0.2">
      <c r="B1450" s="381"/>
    </row>
    <row r="1451" spans="2:2" x14ac:dyDescent="0.2">
      <c r="B1451" s="381"/>
    </row>
    <row r="1452" spans="2:2" x14ac:dyDescent="0.2">
      <c r="B1452" s="381"/>
    </row>
    <row r="1453" spans="2:2" x14ac:dyDescent="0.2">
      <c r="B1453" s="381"/>
    </row>
    <row r="1454" spans="2:2" x14ac:dyDescent="0.2">
      <c r="B1454" s="381"/>
    </row>
    <row r="1455" spans="2:2" x14ac:dyDescent="0.2">
      <c r="B1455" s="381"/>
    </row>
    <row r="1456" spans="2:2" x14ac:dyDescent="0.2">
      <c r="B1456" s="381"/>
    </row>
    <row r="1457" spans="2:2" x14ac:dyDescent="0.2">
      <c r="B1457" s="381"/>
    </row>
    <row r="1458" spans="2:2" x14ac:dyDescent="0.2">
      <c r="B1458" s="381"/>
    </row>
    <row r="1459" spans="2:2" x14ac:dyDescent="0.2">
      <c r="B1459" s="381"/>
    </row>
    <row r="1460" spans="2:2" x14ac:dyDescent="0.2">
      <c r="B1460" s="381"/>
    </row>
    <row r="1461" spans="2:2" x14ac:dyDescent="0.2">
      <c r="B1461" s="381"/>
    </row>
    <row r="1462" spans="2:2" x14ac:dyDescent="0.2">
      <c r="B1462" s="381"/>
    </row>
    <row r="1463" spans="2:2" x14ac:dyDescent="0.2">
      <c r="B1463" s="381"/>
    </row>
    <row r="1464" spans="2:2" x14ac:dyDescent="0.2">
      <c r="B1464" s="381"/>
    </row>
    <row r="1465" spans="2:2" x14ac:dyDescent="0.2">
      <c r="B1465" s="381"/>
    </row>
    <row r="1466" spans="2:2" x14ac:dyDescent="0.2">
      <c r="B1466" s="381"/>
    </row>
    <row r="1467" spans="2:2" x14ac:dyDescent="0.2">
      <c r="B1467" s="381"/>
    </row>
    <row r="1468" spans="2:2" x14ac:dyDescent="0.2">
      <c r="B1468" s="381"/>
    </row>
    <row r="1469" spans="2:2" x14ac:dyDescent="0.2">
      <c r="B1469" s="381"/>
    </row>
    <row r="1470" spans="2:2" x14ac:dyDescent="0.2">
      <c r="B1470" s="381"/>
    </row>
    <row r="1471" spans="2:2" x14ac:dyDescent="0.2">
      <c r="B1471" s="381"/>
    </row>
    <row r="1472" spans="2:2" x14ac:dyDescent="0.2">
      <c r="B1472" s="381"/>
    </row>
    <row r="1473" spans="2:2" x14ac:dyDescent="0.2">
      <c r="B1473" s="381"/>
    </row>
    <row r="1474" spans="2:2" x14ac:dyDescent="0.2">
      <c r="B1474" s="381"/>
    </row>
    <row r="1475" spans="2:2" x14ac:dyDescent="0.2">
      <c r="B1475" s="381"/>
    </row>
    <row r="1476" spans="2:2" x14ac:dyDescent="0.2">
      <c r="B1476" s="381"/>
    </row>
    <row r="1477" spans="2:2" x14ac:dyDescent="0.2">
      <c r="B1477" s="381"/>
    </row>
    <row r="1478" spans="2:2" x14ac:dyDescent="0.2">
      <c r="B1478" s="381"/>
    </row>
    <row r="1479" spans="2:2" x14ac:dyDescent="0.2">
      <c r="B1479" s="381"/>
    </row>
    <row r="1480" spans="2:2" x14ac:dyDescent="0.2">
      <c r="B1480" s="381"/>
    </row>
    <row r="1481" spans="2:2" x14ac:dyDescent="0.2">
      <c r="B1481" s="381"/>
    </row>
    <row r="1482" spans="2:2" x14ac:dyDescent="0.2">
      <c r="B1482" s="381"/>
    </row>
    <row r="1483" spans="2:2" x14ac:dyDescent="0.2">
      <c r="B1483" s="381"/>
    </row>
    <row r="1484" spans="2:2" x14ac:dyDescent="0.2">
      <c r="B1484" s="381"/>
    </row>
    <row r="1485" spans="2:2" x14ac:dyDescent="0.2">
      <c r="B1485" s="381"/>
    </row>
    <row r="1486" spans="2:2" x14ac:dyDescent="0.2">
      <c r="B1486" s="381"/>
    </row>
    <row r="1487" spans="2:2" x14ac:dyDescent="0.2">
      <c r="B1487" s="381"/>
    </row>
    <row r="1488" spans="2:2" x14ac:dyDescent="0.2">
      <c r="B1488" s="381"/>
    </row>
    <row r="1489" spans="2:2" x14ac:dyDescent="0.2">
      <c r="B1489" s="381"/>
    </row>
    <row r="1490" spans="2:2" x14ac:dyDescent="0.2">
      <c r="B1490" s="381"/>
    </row>
    <row r="1491" spans="2:2" x14ac:dyDescent="0.2">
      <c r="B1491" s="381"/>
    </row>
    <row r="1492" spans="2:2" x14ac:dyDescent="0.2">
      <c r="B1492" s="381"/>
    </row>
    <row r="1493" spans="2:2" x14ac:dyDescent="0.2">
      <c r="B1493" s="381"/>
    </row>
    <row r="1494" spans="2:2" x14ac:dyDescent="0.2">
      <c r="B1494" s="381"/>
    </row>
    <row r="1495" spans="2:2" x14ac:dyDescent="0.2">
      <c r="B1495" s="381"/>
    </row>
    <row r="1496" spans="2:2" x14ac:dyDescent="0.2">
      <c r="B1496" s="381"/>
    </row>
    <row r="1497" spans="2:2" x14ac:dyDescent="0.2">
      <c r="B1497" s="381"/>
    </row>
    <row r="1498" spans="2:2" x14ac:dyDescent="0.2">
      <c r="B1498" s="381"/>
    </row>
    <row r="1499" spans="2:2" x14ac:dyDescent="0.2">
      <c r="B1499" s="381"/>
    </row>
    <row r="1500" spans="2:2" x14ac:dyDescent="0.2">
      <c r="B1500" s="381"/>
    </row>
    <row r="1501" spans="2:2" x14ac:dyDescent="0.2">
      <c r="B1501" s="381"/>
    </row>
    <row r="1502" spans="2:2" x14ac:dyDescent="0.2">
      <c r="B1502" s="381"/>
    </row>
    <row r="1503" spans="2:2" x14ac:dyDescent="0.2">
      <c r="B1503" s="381"/>
    </row>
    <row r="1504" spans="2:2" x14ac:dyDescent="0.2">
      <c r="B1504" s="381"/>
    </row>
    <row r="1505" spans="2:2" x14ac:dyDescent="0.2">
      <c r="B1505" s="381"/>
    </row>
    <row r="1506" spans="2:2" x14ac:dyDescent="0.2">
      <c r="B1506" s="381"/>
    </row>
    <row r="1507" spans="2:2" x14ac:dyDescent="0.2">
      <c r="B1507" s="381"/>
    </row>
    <row r="1508" spans="2:2" x14ac:dyDescent="0.2">
      <c r="B1508" s="381"/>
    </row>
    <row r="1509" spans="2:2" x14ac:dyDescent="0.2">
      <c r="B1509" s="381"/>
    </row>
    <row r="1510" spans="2:2" x14ac:dyDescent="0.2">
      <c r="B1510" s="381"/>
    </row>
    <row r="1511" spans="2:2" x14ac:dyDescent="0.2">
      <c r="B1511" s="381"/>
    </row>
    <row r="1512" spans="2:2" x14ac:dyDescent="0.2">
      <c r="B1512" s="381"/>
    </row>
    <row r="1513" spans="2:2" x14ac:dyDescent="0.2">
      <c r="B1513" s="381"/>
    </row>
    <row r="1514" spans="2:2" x14ac:dyDescent="0.2">
      <c r="B1514" s="381"/>
    </row>
    <row r="1515" spans="2:2" x14ac:dyDescent="0.2">
      <c r="B1515" s="381"/>
    </row>
    <row r="1516" spans="2:2" x14ac:dyDescent="0.2">
      <c r="B1516" s="381"/>
    </row>
    <row r="1517" spans="2:2" x14ac:dyDescent="0.2">
      <c r="B1517" s="381"/>
    </row>
    <row r="1518" spans="2:2" x14ac:dyDescent="0.2">
      <c r="B1518" s="381"/>
    </row>
    <row r="1519" spans="2:2" x14ac:dyDescent="0.2">
      <c r="B1519" s="381"/>
    </row>
    <row r="1520" spans="2:2" x14ac:dyDescent="0.2">
      <c r="B1520" s="381"/>
    </row>
    <row r="1521" spans="2:2" x14ac:dyDescent="0.2">
      <c r="B1521" s="381"/>
    </row>
    <row r="1522" spans="2:2" x14ac:dyDescent="0.2">
      <c r="B1522" s="381"/>
    </row>
    <row r="1523" spans="2:2" x14ac:dyDescent="0.2">
      <c r="B1523" s="381"/>
    </row>
    <row r="1524" spans="2:2" x14ac:dyDescent="0.2">
      <c r="B1524" s="381"/>
    </row>
    <row r="1525" spans="2:2" x14ac:dyDescent="0.2">
      <c r="B1525" s="381"/>
    </row>
    <row r="1526" spans="2:2" x14ac:dyDescent="0.2">
      <c r="B1526" s="381"/>
    </row>
    <row r="1527" spans="2:2" x14ac:dyDescent="0.2">
      <c r="B1527" s="381"/>
    </row>
    <row r="1528" spans="2:2" x14ac:dyDescent="0.2">
      <c r="B1528" s="381"/>
    </row>
    <row r="1529" spans="2:2" x14ac:dyDescent="0.2">
      <c r="B1529" s="381"/>
    </row>
    <row r="1530" spans="2:2" x14ac:dyDescent="0.2">
      <c r="B1530" s="381"/>
    </row>
    <row r="1531" spans="2:2" x14ac:dyDescent="0.2">
      <c r="B1531" s="381"/>
    </row>
    <row r="1532" spans="2:2" x14ac:dyDescent="0.2">
      <c r="B1532" s="381"/>
    </row>
    <row r="1533" spans="2:2" x14ac:dyDescent="0.2">
      <c r="B1533" s="381"/>
    </row>
    <row r="1534" spans="2:2" x14ac:dyDescent="0.2">
      <c r="B1534" s="381"/>
    </row>
    <row r="1535" spans="2:2" x14ac:dyDescent="0.2">
      <c r="B1535" s="381"/>
    </row>
    <row r="1536" spans="2:2" x14ac:dyDescent="0.2">
      <c r="B1536" s="381"/>
    </row>
    <row r="1537" spans="2:2" x14ac:dyDescent="0.2">
      <c r="B1537" s="381"/>
    </row>
    <row r="1538" spans="2:2" x14ac:dyDescent="0.2">
      <c r="B1538" s="381"/>
    </row>
    <row r="1539" spans="2:2" x14ac:dyDescent="0.2">
      <c r="B1539" s="381"/>
    </row>
    <row r="1540" spans="2:2" x14ac:dyDescent="0.2">
      <c r="B1540" s="381"/>
    </row>
    <row r="1541" spans="2:2" x14ac:dyDescent="0.2">
      <c r="B1541" s="381"/>
    </row>
    <row r="1542" spans="2:2" x14ac:dyDescent="0.2">
      <c r="B1542" s="381"/>
    </row>
    <row r="1543" spans="2:2" x14ac:dyDescent="0.2">
      <c r="B1543" s="381"/>
    </row>
    <row r="1544" spans="2:2" x14ac:dyDescent="0.2">
      <c r="B1544" s="381"/>
    </row>
    <row r="1545" spans="2:2" x14ac:dyDescent="0.2">
      <c r="B1545" s="381"/>
    </row>
    <row r="1546" spans="2:2" x14ac:dyDescent="0.2">
      <c r="B1546" s="381"/>
    </row>
    <row r="1547" spans="2:2" x14ac:dyDescent="0.2">
      <c r="B1547" s="381"/>
    </row>
    <row r="1548" spans="2:2" x14ac:dyDescent="0.2">
      <c r="B1548" s="381"/>
    </row>
    <row r="1549" spans="2:2" x14ac:dyDescent="0.2">
      <c r="B1549" s="381"/>
    </row>
    <row r="1550" spans="2:2" x14ac:dyDescent="0.2">
      <c r="B1550" s="381"/>
    </row>
    <row r="1551" spans="2:2" x14ac:dyDescent="0.2">
      <c r="B1551" s="381"/>
    </row>
    <row r="1552" spans="2:2" x14ac:dyDescent="0.2">
      <c r="B1552" s="381"/>
    </row>
    <row r="1553" spans="2:2" x14ac:dyDescent="0.2">
      <c r="B1553" s="381"/>
    </row>
    <row r="1554" spans="2:2" x14ac:dyDescent="0.2">
      <c r="B1554" s="381"/>
    </row>
    <row r="1555" spans="2:2" x14ac:dyDescent="0.2">
      <c r="B1555" s="381"/>
    </row>
    <row r="1556" spans="2:2" x14ac:dyDescent="0.2">
      <c r="B1556" s="381"/>
    </row>
    <row r="1557" spans="2:2" x14ac:dyDescent="0.2">
      <c r="B1557" s="381"/>
    </row>
    <row r="1558" spans="2:2" x14ac:dyDescent="0.2">
      <c r="B1558" s="381"/>
    </row>
    <row r="1559" spans="2:2" x14ac:dyDescent="0.2">
      <c r="B1559" s="381"/>
    </row>
    <row r="1560" spans="2:2" x14ac:dyDescent="0.2">
      <c r="B1560" s="381"/>
    </row>
    <row r="1561" spans="2:2" x14ac:dyDescent="0.2">
      <c r="B1561" s="381"/>
    </row>
    <row r="1562" spans="2:2" x14ac:dyDescent="0.2">
      <c r="B1562" s="381"/>
    </row>
    <row r="1563" spans="2:2" x14ac:dyDescent="0.2">
      <c r="B1563" s="381"/>
    </row>
    <row r="1564" spans="2:2" x14ac:dyDescent="0.2">
      <c r="B1564" s="381"/>
    </row>
    <row r="1565" spans="2:2" x14ac:dyDescent="0.2">
      <c r="B1565" s="381"/>
    </row>
    <row r="1566" spans="2:2" x14ac:dyDescent="0.2">
      <c r="B1566" s="381"/>
    </row>
    <row r="1567" spans="2:2" x14ac:dyDescent="0.2">
      <c r="B1567" s="381"/>
    </row>
    <row r="1568" spans="2:2" x14ac:dyDescent="0.2">
      <c r="B1568" s="381"/>
    </row>
    <row r="1569" spans="2:2" x14ac:dyDescent="0.2">
      <c r="B1569" s="381"/>
    </row>
    <row r="1570" spans="2:2" x14ac:dyDescent="0.2">
      <c r="B1570" s="381"/>
    </row>
    <row r="1571" spans="2:2" x14ac:dyDescent="0.2">
      <c r="B1571" s="381"/>
    </row>
    <row r="1572" spans="2:2" x14ac:dyDescent="0.2">
      <c r="B1572" s="381"/>
    </row>
    <row r="1573" spans="2:2" x14ac:dyDescent="0.2">
      <c r="B1573" s="381"/>
    </row>
    <row r="1574" spans="2:2" x14ac:dyDescent="0.2">
      <c r="B1574" s="381"/>
    </row>
    <row r="1575" spans="2:2" x14ac:dyDescent="0.2">
      <c r="B1575" s="381"/>
    </row>
    <row r="1576" spans="2:2" x14ac:dyDescent="0.2">
      <c r="B1576" s="381"/>
    </row>
    <row r="1577" spans="2:2" x14ac:dyDescent="0.2">
      <c r="B1577" s="381"/>
    </row>
    <row r="1578" spans="2:2" x14ac:dyDescent="0.2">
      <c r="B1578" s="381"/>
    </row>
    <row r="1579" spans="2:2" x14ac:dyDescent="0.2">
      <c r="B1579" s="381"/>
    </row>
    <row r="1580" spans="2:2" x14ac:dyDescent="0.2">
      <c r="B1580" s="381"/>
    </row>
    <row r="1581" spans="2:2" x14ac:dyDescent="0.2">
      <c r="B1581" s="381"/>
    </row>
    <row r="1582" spans="2:2" x14ac:dyDescent="0.2">
      <c r="B1582" s="381"/>
    </row>
    <row r="1583" spans="2:2" x14ac:dyDescent="0.2">
      <c r="B1583" s="381"/>
    </row>
    <row r="1584" spans="2:2" x14ac:dyDescent="0.2">
      <c r="B1584" s="381"/>
    </row>
    <row r="1585" spans="2:2" x14ac:dyDescent="0.2">
      <c r="B1585" s="381"/>
    </row>
    <row r="1586" spans="2:2" x14ac:dyDescent="0.2">
      <c r="B1586" s="381"/>
    </row>
    <row r="1587" spans="2:2" x14ac:dyDescent="0.2">
      <c r="B1587" s="381"/>
    </row>
    <row r="1588" spans="2:2" x14ac:dyDescent="0.2">
      <c r="B1588" s="381"/>
    </row>
    <row r="1589" spans="2:2" x14ac:dyDescent="0.2">
      <c r="B1589" s="381"/>
    </row>
    <row r="1590" spans="2:2" x14ac:dyDescent="0.2">
      <c r="B1590" s="381"/>
    </row>
    <row r="1591" spans="2:2" x14ac:dyDescent="0.2">
      <c r="B1591" s="381"/>
    </row>
    <row r="1592" spans="2:2" x14ac:dyDescent="0.2">
      <c r="B1592" s="381"/>
    </row>
    <row r="1593" spans="2:2" x14ac:dyDescent="0.2">
      <c r="B1593" s="381"/>
    </row>
    <row r="1594" spans="2:2" x14ac:dyDescent="0.2">
      <c r="B1594" s="381"/>
    </row>
    <row r="1595" spans="2:2" x14ac:dyDescent="0.2">
      <c r="B1595" s="381"/>
    </row>
    <row r="1596" spans="2:2" x14ac:dyDescent="0.2">
      <c r="B1596" s="381"/>
    </row>
    <row r="1597" spans="2:2" x14ac:dyDescent="0.2">
      <c r="B1597" s="381"/>
    </row>
    <row r="1598" spans="2:2" x14ac:dyDescent="0.2">
      <c r="B1598" s="381"/>
    </row>
    <row r="1599" spans="2:2" x14ac:dyDescent="0.2">
      <c r="B1599" s="381"/>
    </row>
    <row r="1600" spans="2:2" x14ac:dyDescent="0.2">
      <c r="B1600" s="381"/>
    </row>
    <row r="1601" spans="2:2" x14ac:dyDescent="0.2">
      <c r="B1601" s="381"/>
    </row>
    <row r="1602" spans="2:2" x14ac:dyDescent="0.2">
      <c r="B1602" s="381"/>
    </row>
    <row r="1603" spans="2:2" x14ac:dyDescent="0.2">
      <c r="B1603" s="381"/>
    </row>
    <row r="1604" spans="2:2" x14ac:dyDescent="0.2">
      <c r="B1604" s="381"/>
    </row>
    <row r="1605" spans="2:2" x14ac:dyDescent="0.2">
      <c r="B1605" s="381"/>
    </row>
    <row r="1606" spans="2:2" x14ac:dyDescent="0.2">
      <c r="B1606" s="381"/>
    </row>
    <row r="1607" spans="2:2" x14ac:dyDescent="0.2">
      <c r="B1607" s="381"/>
    </row>
    <row r="1608" spans="2:2" x14ac:dyDescent="0.2">
      <c r="B1608" s="381"/>
    </row>
    <row r="1609" spans="2:2" x14ac:dyDescent="0.2">
      <c r="B1609" s="381"/>
    </row>
    <row r="1610" spans="2:2" x14ac:dyDescent="0.2">
      <c r="B1610" s="381"/>
    </row>
    <row r="1611" spans="2:2" x14ac:dyDescent="0.2">
      <c r="B1611" s="381"/>
    </row>
    <row r="1612" spans="2:2" x14ac:dyDescent="0.2">
      <c r="B1612" s="381"/>
    </row>
    <row r="1613" spans="2:2" x14ac:dyDescent="0.2">
      <c r="B1613" s="381"/>
    </row>
    <row r="1614" spans="2:2" x14ac:dyDescent="0.2">
      <c r="B1614" s="381"/>
    </row>
    <row r="1615" spans="2:2" x14ac:dyDescent="0.2">
      <c r="B1615" s="381"/>
    </row>
    <row r="1616" spans="2:2" x14ac:dyDescent="0.2">
      <c r="B1616" s="381"/>
    </row>
    <row r="1617" spans="2:2" x14ac:dyDescent="0.2">
      <c r="B1617" s="381"/>
    </row>
    <row r="1618" spans="2:2" x14ac:dyDescent="0.2">
      <c r="B1618" s="381"/>
    </row>
    <row r="1619" spans="2:2" x14ac:dyDescent="0.2">
      <c r="B1619" s="381"/>
    </row>
    <row r="1620" spans="2:2" x14ac:dyDescent="0.2">
      <c r="B1620" s="381"/>
    </row>
    <row r="1621" spans="2:2" x14ac:dyDescent="0.2">
      <c r="B1621" s="381"/>
    </row>
    <row r="1622" spans="2:2" x14ac:dyDescent="0.2">
      <c r="B1622" s="381"/>
    </row>
    <row r="1623" spans="2:2" x14ac:dyDescent="0.2">
      <c r="B1623" s="381"/>
    </row>
    <row r="1624" spans="2:2" x14ac:dyDescent="0.2">
      <c r="B1624" s="381"/>
    </row>
    <row r="1625" spans="2:2" x14ac:dyDescent="0.2">
      <c r="B1625" s="381"/>
    </row>
    <row r="1626" spans="2:2" x14ac:dyDescent="0.2">
      <c r="B1626" s="381"/>
    </row>
    <row r="1627" spans="2:2" x14ac:dyDescent="0.2">
      <c r="B1627" s="381"/>
    </row>
    <row r="1628" spans="2:2" x14ac:dyDescent="0.2">
      <c r="B1628" s="381"/>
    </row>
    <row r="1629" spans="2:2" x14ac:dyDescent="0.2">
      <c r="B1629" s="381"/>
    </row>
    <row r="1630" spans="2:2" x14ac:dyDescent="0.2">
      <c r="B1630" s="381"/>
    </row>
    <row r="1631" spans="2:2" x14ac:dyDescent="0.2">
      <c r="B1631" s="381"/>
    </row>
    <row r="1632" spans="2:2" x14ac:dyDescent="0.2">
      <c r="B1632" s="381"/>
    </row>
    <row r="1633" spans="2:2" x14ac:dyDescent="0.2">
      <c r="B1633" s="381"/>
    </row>
    <row r="1634" spans="2:2" x14ac:dyDescent="0.2">
      <c r="B1634" s="381"/>
    </row>
    <row r="1635" spans="2:2" x14ac:dyDescent="0.2">
      <c r="B1635" s="381"/>
    </row>
    <row r="1636" spans="2:2" x14ac:dyDescent="0.2">
      <c r="B1636" s="381"/>
    </row>
    <row r="1637" spans="2:2" x14ac:dyDescent="0.2">
      <c r="B1637" s="381"/>
    </row>
    <row r="1638" spans="2:2" x14ac:dyDescent="0.2">
      <c r="B1638" s="381"/>
    </row>
    <row r="1639" spans="2:2" x14ac:dyDescent="0.2">
      <c r="B1639" s="381"/>
    </row>
    <row r="1640" spans="2:2" x14ac:dyDescent="0.2">
      <c r="B1640" s="381"/>
    </row>
    <row r="1641" spans="2:2" x14ac:dyDescent="0.2">
      <c r="B1641" s="381"/>
    </row>
    <row r="1642" spans="2:2" x14ac:dyDescent="0.2">
      <c r="B1642" s="381"/>
    </row>
    <row r="1643" spans="2:2" x14ac:dyDescent="0.2">
      <c r="B1643" s="381"/>
    </row>
    <row r="1644" spans="2:2" x14ac:dyDescent="0.2">
      <c r="B1644" s="381"/>
    </row>
    <row r="1645" spans="2:2" x14ac:dyDescent="0.2">
      <c r="B1645" s="381"/>
    </row>
    <row r="1646" spans="2:2" x14ac:dyDescent="0.2">
      <c r="B1646" s="381"/>
    </row>
    <row r="1647" spans="2:2" x14ac:dyDescent="0.2">
      <c r="B1647" s="381"/>
    </row>
    <row r="1648" spans="2:2" x14ac:dyDescent="0.2">
      <c r="B1648" s="381"/>
    </row>
    <row r="1649" spans="2:2" x14ac:dyDescent="0.2">
      <c r="B1649" s="381"/>
    </row>
    <row r="1650" spans="2:2" x14ac:dyDescent="0.2">
      <c r="B1650" s="381"/>
    </row>
    <row r="1651" spans="2:2" x14ac:dyDescent="0.2">
      <c r="B1651" s="381"/>
    </row>
    <row r="1652" spans="2:2" x14ac:dyDescent="0.2">
      <c r="B1652" s="381"/>
    </row>
    <row r="1653" spans="2:2" x14ac:dyDescent="0.2">
      <c r="B1653" s="381"/>
    </row>
    <row r="1654" spans="2:2" x14ac:dyDescent="0.2">
      <c r="B1654" s="381"/>
    </row>
    <row r="1655" spans="2:2" x14ac:dyDescent="0.2">
      <c r="B1655" s="381"/>
    </row>
    <row r="1656" spans="2:2" x14ac:dyDescent="0.2">
      <c r="B1656" s="381"/>
    </row>
    <row r="1657" spans="2:2" x14ac:dyDescent="0.2">
      <c r="B1657" s="381"/>
    </row>
    <row r="1658" spans="2:2" x14ac:dyDescent="0.2">
      <c r="B1658" s="381"/>
    </row>
    <row r="1659" spans="2:2" x14ac:dyDescent="0.2">
      <c r="B1659" s="381"/>
    </row>
    <row r="1660" spans="2:2" x14ac:dyDescent="0.2">
      <c r="B1660" s="381"/>
    </row>
    <row r="1661" spans="2:2" x14ac:dyDescent="0.2">
      <c r="B1661" s="381"/>
    </row>
    <row r="1662" spans="2:2" x14ac:dyDescent="0.2">
      <c r="B1662" s="381"/>
    </row>
    <row r="1663" spans="2:2" x14ac:dyDescent="0.2">
      <c r="B1663" s="381"/>
    </row>
    <row r="1664" spans="2:2" x14ac:dyDescent="0.2">
      <c r="B1664" s="381"/>
    </row>
    <row r="1665" spans="2:2" x14ac:dyDescent="0.2">
      <c r="B1665" s="381"/>
    </row>
    <row r="1666" spans="2:2" x14ac:dyDescent="0.2">
      <c r="B1666" s="381"/>
    </row>
    <row r="1667" spans="2:2" x14ac:dyDescent="0.2">
      <c r="B1667" s="381"/>
    </row>
    <row r="1668" spans="2:2" x14ac:dyDescent="0.2">
      <c r="B1668" s="381"/>
    </row>
    <row r="1669" spans="2:2" x14ac:dyDescent="0.2">
      <c r="B1669" s="381"/>
    </row>
    <row r="1670" spans="2:2" x14ac:dyDescent="0.2">
      <c r="B1670" s="381"/>
    </row>
    <row r="1671" spans="2:2" x14ac:dyDescent="0.2">
      <c r="B1671" s="381"/>
    </row>
    <row r="1672" spans="2:2" x14ac:dyDescent="0.2">
      <c r="B1672" s="381"/>
    </row>
    <row r="1673" spans="2:2" x14ac:dyDescent="0.2">
      <c r="B1673" s="381"/>
    </row>
    <row r="1674" spans="2:2" x14ac:dyDescent="0.2">
      <c r="B1674" s="381"/>
    </row>
    <row r="1675" spans="2:2" x14ac:dyDescent="0.2">
      <c r="B1675" s="381"/>
    </row>
    <row r="1676" spans="2:2" x14ac:dyDescent="0.2">
      <c r="B1676" s="381"/>
    </row>
    <row r="1677" spans="2:2" x14ac:dyDescent="0.2">
      <c r="B1677" s="381"/>
    </row>
    <row r="1678" spans="2:2" x14ac:dyDescent="0.2">
      <c r="B1678" s="381"/>
    </row>
    <row r="1679" spans="2:2" x14ac:dyDescent="0.2">
      <c r="B1679" s="381"/>
    </row>
    <row r="1680" spans="2:2" x14ac:dyDescent="0.2">
      <c r="B1680" s="381"/>
    </row>
    <row r="1681" spans="2:2" x14ac:dyDescent="0.2">
      <c r="B1681" s="381"/>
    </row>
    <row r="1682" spans="2:2" x14ac:dyDescent="0.2">
      <c r="B1682" s="381"/>
    </row>
    <row r="1683" spans="2:2" x14ac:dyDescent="0.2">
      <c r="B1683" s="381"/>
    </row>
    <row r="1684" spans="2:2" x14ac:dyDescent="0.2">
      <c r="B1684" s="381"/>
    </row>
    <row r="1685" spans="2:2" x14ac:dyDescent="0.2">
      <c r="B1685" s="381"/>
    </row>
    <row r="1686" spans="2:2" x14ac:dyDescent="0.2">
      <c r="B1686" s="381"/>
    </row>
    <row r="1687" spans="2:2" x14ac:dyDescent="0.2">
      <c r="B1687" s="381"/>
    </row>
    <row r="1688" spans="2:2" x14ac:dyDescent="0.2">
      <c r="B1688" s="381"/>
    </row>
    <row r="1689" spans="2:2" x14ac:dyDescent="0.2">
      <c r="B1689" s="381"/>
    </row>
    <row r="1690" spans="2:2" x14ac:dyDescent="0.2">
      <c r="B1690" s="381"/>
    </row>
    <row r="1691" spans="2:2" x14ac:dyDescent="0.2">
      <c r="B1691" s="381"/>
    </row>
    <row r="1692" spans="2:2" x14ac:dyDescent="0.2">
      <c r="B1692" s="381"/>
    </row>
    <row r="1693" spans="2:2" x14ac:dyDescent="0.2">
      <c r="B1693" s="381"/>
    </row>
    <row r="1694" spans="2:2" x14ac:dyDescent="0.2">
      <c r="B1694" s="381"/>
    </row>
    <row r="1695" spans="2:2" x14ac:dyDescent="0.2">
      <c r="B1695" s="381"/>
    </row>
    <row r="1696" spans="2:2" x14ac:dyDescent="0.2">
      <c r="B1696" s="381"/>
    </row>
    <row r="1697" spans="2:2" x14ac:dyDescent="0.2">
      <c r="B1697" s="381"/>
    </row>
    <row r="1698" spans="2:2" x14ac:dyDescent="0.2">
      <c r="B1698" s="381"/>
    </row>
    <row r="1699" spans="2:2" x14ac:dyDescent="0.2">
      <c r="B1699" s="381"/>
    </row>
    <row r="1700" spans="2:2" x14ac:dyDescent="0.2">
      <c r="B1700" s="381"/>
    </row>
    <row r="1701" spans="2:2" x14ac:dyDescent="0.2">
      <c r="B1701" s="381"/>
    </row>
    <row r="1702" spans="2:2" x14ac:dyDescent="0.2">
      <c r="B1702" s="381"/>
    </row>
    <row r="1703" spans="2:2" x14ac:dyDescent="0.2">
      <c r="B1703" s="381"/>
    </row>
    <row r="1704" spans="2:2" x14ac:dyDescent="0.2">
      <c r="B1704" s="381"/>
    </row>
    <row r="1705" spans="2:2" x14ac:dyDescent="0.2">
      <c r="B1705" s="381"/>
    </row>
    <row r="1706" spans="2:2" x14ac:dyDescent="0.2">
      <c r="B1706" s="381"/>
    </row>
    <row r="1707" spans="2:2" x14ac:dyDescent="0.2">
      <c r="B1707" s="381"/>
    </row>
    <row r="1708" spans="2:2" x14ac:dyDescent="0.2">
      <c r="B1708" s="381"/>
    </row>
    <row r="1709" spans="2:2" x14ac:dyDescent="0.2">
      <c r="B1709" s="381"/>
    </row>
    <row r="1710" spans="2:2" x14ac:dyDescent="0.2">
      <c r="B1710" s="381"/>
    </row>
    <row r="1711" spans="2:2" x14ac:dyDescent="0.2">
      <c r="B1711" s="381"/>
    </row>
    <row r="1712" spans="2:2" x14ac:dyDescent="0.2">
      <c r="B1712" s="381"/>
    </row>
    <row r="1713" spans="2:2" x14ac:dyDescent="0.2">
      <c r="B1713" s="381"/>
    </row>
    <row r="1714" spans="2:2" x14ac:dyDescent="0.2">
      <c r="B1714" s="381"/>
    </row>
    <row r="1715" spans="2:2" x14ac:dyDescent="0.2">
      <c r="B1715" s="381"/>
    </row>
    <row r="1716" spans="2:2" x14ac:dyDescent="0.2">
      <c r="B1716" s="381"/>
    </row>
    <row r="1717" spans="2:2" x14ac:dyDescent="0.2">
      <c r="B1717" s="381"/>
    </row>
    <row r="1718" spans="2:2" x14ac:dyDescent="0.2">
      <c r="B1718" s="381"/>
    </row>
    <row r="1719" spans="2:2" x14ac:dyDescent="0.2">
      <c r="B1719" s="381"/>
    </row>
    <row r="1720" spans="2:2" x14ac:dyDescent="0.2">
      <c r="B1720" s="381"/>
    </row>
    <row r="1721" spans="2:2" x14ac:dyDescent="0.2">
      <c r="B1721" s="381"/>
    </row>
    <row r="1722" spans="2:2" x14ac:dyDescent="0.2">
      <c r="B1722" s="381"/>
    </row>
    <row r="1723" spans="2:2" x14ac:dyDescent="0.2">
      <c r="B1723" s="381"/>
    </row>
    <row r="1724" spans="2:2" x14ac:dyDescent="0.2">
      <c r="B1724" s="381"/>
    </row>
    <row r="1725" spans="2:2" x14ac:dyDescent="0.2">
      <c r="B1725" s="381"/>
    </row>
    <row r="1726" spans="2:2" x14ac:dyDescent="0.2">
      <c r="B1726" s="381"/>
    </row>
    <row r="1727" spans="2:2" x14ac:dyDescent="0.2">
      <c r="B1727" s="381"/>
    </row>
    <row r="1728" spans="2:2" x14ac:dyDescent="0.2">
      <c r="B1728" s="381"/>
    </row>
    <row r="1729" spans="2:2" x14ac:dyDescent="0.2">
      <c r="B1729" s="381"/>
    </row>
    <row r="1730" spans="2:2" x14ac:dyDescent="0.2">
      <c r="B1730" s="381"/>
    </row>
    <row r="1731" spans="2:2" x14ac:dyDescent="0.2">
      <c r="B1731" s="381"/>
    </row>
    <row r="1732" spans="2:2" x14ac:dyDescent="0.2">
      <c r="B1732" s="381"/>
    </row>
    <row r="1733" spans="2:2" x14ac:dyDescent="0.2">
      <c r="B1733" s="381"/>
    </row>
    <row r="1734" spans="2:2" x14ac:dyDescent="0.2">
      <c r="B1734" s="381"/>
    </row>
    <row r="1735" spans="2:2" x14ac:dyDescent="0.2">
      <c r="B1735" s="381"/>
    </row>
    <row r="1736" spans="2:2" x14ac:dyDescent="0.2">
      <c r="B1736" s="381"/>
    </row>
    <row r="1737" spans="2:2" x14ac:dyDescent="0.2">
      <c r="B1737" s="381"/>
    </row>
    <row r="1738" spans="2:2" x14ac:dyDescent="0.2">
      <c r="B1738" s="381"/>
    </row>
    <row r="1739" spans="2:2" x14ac:dyDescent="0.2">
      <c r="B1739" s="381"/>
    </row>
    <row r="1740" spans="2:2" x14ac:dyDescent="0.2">
      <c r="B1740" s="381"/>
    </row>
    <row r="1741" spans="2:2" x14ac:dyDescent="0.2">
      <c r="B1741" s="381"/>
    </row>
    <row r="1742" spans="2:2" x14ac:dyDescent="0.2">
      <c r="B1742" s="381"/>
    </row>
    <row r="1743" spans="2:2" x14ac:dyDescent="0.2">
      <c r="B1743" s="381"/>
    </row>
    <row r="1744" spans="2:2" x14ac:dyDescent="0.2">
      <c r="B1744" s="381"/>
    </row>
    <row r="1745" spans="2:2" x14ac:dyDescent="0.2">
      <c r="B1745" s="381"/>
    </row>
    <row r="1746" spans="2:2" x14ac:dyDescent="0.2">
      <c r="B1746" s="381"/>
    </row>
    <row r="1747" spans="2:2" x14ac:dyDescent="0.2">
      <c r="B1747" s="381"/>
    </row>
    <row r="1748" spans="2:2" x14ac:dyDescent="0.2">
      <c r="B1748" s="381"/>
    </row>
    <row r="1749" spans="2:2" x14ac:dyDescent="0.2">
      <c r="B1749" s="381"/>
    </row>
    <row r="1750" spans="2:2" x14ac:dyDescent="0.2">
      <c r="B1750" s="381"/>
    </row>
    <row r="1751" spans="2:2" x14ac:dyDescent="0.2">
      <c r="B1751" s="381"/>
    </row>
    <row r="1752" spans="2:2" x14ac:dyDescent="0.2">
      <c r="B1752" s="381"/>
    </row>
    <row r="1753" spans="2:2" x14ac:dyDescent="0.2">
      <c r="B1753" s="381"/>
    </row>
    <row r="1754" spans="2:2" x14ac:dyDescent="0.2">
      <c r="B1754" s="381"/>
    </row>
    <row r="1755" spans="2:2" x14ac:dyDescent="0.2">
      <c r="B1755" s="381"/>
    </row>
    <row r="1756" spans="2:2" x14ac:dyDescent="0.2">
      <c r="B1756" s="381"/>
    </row>
    <row r="1757" spans="2:2" x14ac:dyDescent="0.2">
      <c r="B1757" s="381"/>
    </row>
    <row r="1758" spans="2:2" x14ac:dyDescent="0.2">
      <c r="B1758" s="381"/>
    </row>
    <row r="1759" spans="2:2" x14ac:dyDescent="0.2">
      <c r="B1759" s="381"/>
    </row>
    <row r="1760" spans="2:2" x14ac:dyDescent="0.2">
      <c r="B1760" s="381"/>
    </row>
    <row r="1761" spans="2:2" x14ac:dyDescent="0.2">
      <c r="B1761" s="381"/>
    </row>
    <row r="1762" spans="2:2" x14ac:dyDescent="0.2">
      <c r="B1762" s="381"/>
    </row>
    <row r="1763" spans="2:2" x14ac:dyDescent="0.2">
      <c r="B1763" s="381"/>
    </row>
    <row r="1764" spans="2:2" x14ac:dyDescent="0.2">
      <c r="B1764" s="381"/>
    </row>
    <row r="1765" spans="2:2" x14ac:dyDescent="0.2">
      <c r="B1765" s="381"/>
    </row>
    <row r="1766" spans="2:2" x14ac:dyDescent="0.2">
      <c r="B1766" s="381"/>
    </row>
    <row r="1767" spans="2:2" x14ac:dyDescent="0.2">
      <c r="B1767" s="381"/>
    </row>
    <row r="1768" spans="2:2" x14ac:dyDescent="0.2">
      <c r="B1768" s="381"/>
    </row>
    <row r="1769" spans="2:2" x14ac:dyDescent="0.2">
      <c r="B1769" s="381"/>
    </row>
    <row r="1770" spans="2:2" x14ac:dyDescent="0.2">
      <c r="B1770" s="381"/>
    </row>
    <row r="1771" spans="2:2" x14ac:dyDescent="0.2">
      <c r="B1771" s="381"/>
    </row>
    <row r="1772" spans="2:2" x14ac:dyDescent="0.2">
      <c r="B1772" s="381"/>
    </row>
    <row r="1773" spans="2:2" x14ac:dyDescent="0.2">
      <c r="B1773" s="381"/>
    </row>
    <row r="1774" spans="2:2" x14ac:dyDescent="0.2">
      <c r="B1774" s="381"/>
    </row>
    <row r="1775" spans="2:2" x14ac:dyDescent="0.2">
      <c r="B1775" s="381"/>
    </row>
    <row r="1776" spans="2:2" x14ac:dyDescent="0.2">
      <c r="B1776" s="381"/>
    </row>
    <row r="1777" spans="2:2" x14ac:dyDescent="0.2">
      <c r="B1777" s="381"/>
    </row>
    <row r="1778" spans="2:2" x14ac:dyDescent="0.2">
      <c r="B1778" s="381"/>
    </row>
    <row r="1779" spans="2:2" x14ac:dyDescent="0.2">
      <c r="B1779" s="381"/>
    </row>
    <row r="1780" spans="2:2" x14ac:dyDescent="0.2">
      <c r="B1780" s="381"/>
    </row>
    <row r="1781" spans="2:2" x14ac:dyDescent="0.2">
      <c r="B1781" s="381"/>
    </row>
    <row r="1782" spans="2:2" x14ac:dyDescent="0.2">
      <c r="B1782" s="381"/>
    </row>
    <row r="1783" spans="2:2" x14ac:dyDescent="0.2">
      <c r="B1783" s="381"/>
    </row>
    <row r="1784" spans="2:2" x14ac:dyDescent="0.2">
      <c r="B1784" s="381"/>
    </row>
    <row r="1785" spans="2:2" x14ac:dyDescent="0.2">
      <c r="B1785" s="381"/>
    </row>
    <row r="1786" spans="2:2" x14ac:dyDescent="0.2">
      <c r="B1786" s="381"/>
    </row>
    <row r="1787" spans="2:2" x14ac:dyDescent="0.2">
      <c r="B1787" s="381"/>
    </row>
    <row r="1788" spans="2:2" x14ac:dyDescent="0.2">
      <c r="B1788" s="381"/>
    </row>
    <row r="1789" spans="2:2" x14ac:dyDescent="0.2">
      <c r="B1789" s="381"/>
    </row>
    <row r="1790" spans="2:2" x14ac:dyDescent="0.2">
      <c r="B1790" s="381"/>
    </row>
    <row r="1791" spans="2:2" x14ac:dyDescent="0.2">
      <c r="B1791" s="381"/>
    </row>
    <row r="1792" spans="2:2" x14ac:dyDescent="0.2">
      <c r="B1792" s="381"/>
    </row>
    <row r="1793" spans="2:2" x14ac:dyDescent="0.2">
      <c r="B1793" s="381"/>
    </row>
    <row r="1794" spans="2:2" x14ac:dyDescent="0.2">
      <c r="B1794" s="381"/>
    </row>
    <row r="1795" spans="2:2" x14ac:dyDescent="0.2">
      <c r="B1795" s="381"/>
    </row>
    <row r="1796" spans="2:2" x14ac:dyDescent="0.2">
      <c r="B1796" s="381"/>
    </row>
    <row r="1797" spans="2:2" x14ac:dyDescent="0.2">
      <c r="B1797" s="381"/>
    </row>
    <row r="1798" spans="2:2" x14ac:dyDescent="0.2">
      <c r="B1798" s="381"/>
    </row>
    <row r="1799" spans="2:2" x14ac:dyDescent="0.2">
      <c r="B1799" s="381"/>
    </row>
    <row r="1800" spans="2:2" x14ac:dyDescent="0.2">
      <c r="B1800" s="381"/>
    </row>
    <row r="1801" spans="2:2" x14ac:dyDescent="0.2">
      <c r="B1801" s="381"/>
    </row>
    <row r="1802" spans="2:2" x14ac:dyDescent="0.2">
      <c r="B1802" s="381"/>
    </row>
    <row r="1803" spans="2:2" x14ac:dyDescent="0.2">
      <c r="B1803" s="381"/>
    </row>
    <row r="1804" spans="2:2" x14ac:dyDescent="0.2">
      <c r="B1804" s="381"/>
    </row>
    <row r="1805" spans="2:2" x14ac:dyDescent="0.2">
      <c r="B1805" s="381"/>
    </row>
    <row r="1806" spans="2:2" x14ac:dyDescent="0.2">
      <c r="B1806" s="381"/>
    </row>
    <row r="1807" spans="2:2" x14ac:dyDescent="0.2">
      <c r="B1807" s="381"/>
    </row>
    <row r="1808" spans="2:2" x14ac:dyDescent="0.2">
      <c r="B1808" s="381"/>
    </row>
    <row r="1809" spans="2:2" x14ac:dyDescent="0.2">
      <c r="B1809" s="381"/>
    </row>
    <row r="1810" spans="2:2" x14ac:dyDescent="0.2">
      <c r="B1810" s="381"/>
    </row>
    <row r="1811" spans="2:2" x14ac:dyDescent="0.2">
      <c r="B1811" s="381"/>
    </row>
    <row r="1812" spans="2:2" x14ac:dyDescent="0.2">
      <c r="B1812" s="381"/>
    </row>
    <row r="1813" spans="2:2" x14ac:dyDescent="0.2">
      <c r="B1813" s="381"/>
    </row>
    <row r="1814" spans="2:2" x14ac:dyDescent="0.2">
      <c r="B1814" s="381"/>
    </row>
    <row r="1815" spans="2:2" x14ac:dyDescent="0.2">
      <c r="B1815" s="381"/>
    </row>
    <row r="1816" spans="2:2" x14ac:dyDescent="0.2">
      <c r="B1816" s="381"/>
    </row>
    <row r="1817" spans="2:2" x14ac:dyDescent="0.2">
      <c r="B1817" s="381"/>
    </row>
    <row r="1818" spans="2:2" x14ac:dyDescent="0.2">
      <c r="B1818" s="381"/>
    </row>
    <row r="1819" spans="2:2" x14ac:dyDescent="0.2">
      <c r="B1819" s="381"/>
    </row>
    <row r="1820" spans="2:2" x14ac:dyDescent="0.2">
      <c r="B1820" s="381"/>
    </row>
    <row r="1821" spans="2:2" x14ac:dyDescent="0.2">
      <c r="B1821" s="381"/>
    </row>
    <row r="1822" spans="2:2" x14ac:dyDescent="0.2">
      <c r="B1822" s="381"/>
    </row>
    <row r="1823" spans="2:2" x14ac:dyDescent="0.2">
      <c r="B1823" s="381"/>
    </row>
    <row r="1824" spans="2:2" x14ac:dyDescent="0.2">
      <c r="B1824" s="381"/>
    </row>
    <row r="1825" spans="2:2" x14ac:dyDescent="0.2">
      <c r="B1825" s="381"/>
    </row>
    <row r="1826" spans="2:2" x14ac:dyDescent="0.2">
      <c r="B1826" s="381"/>
    </row>
    <row r="1827" spans="2:2" x14ac:dyDescent="0.2">
      <c r="B1827" s="381"/>
    </row>
    <row r="1828" spans="2:2" x14ac:dyDescent="0.2">
      <c r="B1828" s="381"/>
    </row>
    <row r="1829" spans="2:2" x14ac:dyDescent="0.2">
      <c r="B1829" s="381"/>
    </row>
    <row r="1830" spans="2:2" x14ac:dyDescent="0.2">
      <c r="B1830" s="381"/>
    </row>
    <row r="1831" spans="2:2" x14ac:dyDescent="0.2">
      <c r="B1831" s="381"/>
    </row>
    <row r="1832" spans="2:2" x14ac:dyDescent="0.2">
      <c r="B1832" s="381"/>
    </row>
    <row r="1833" spans="2:2" x14ac:dyDescent="0.2">
      <c r="B1833" s="381"/>
    </row>
    <row r="1834" spans="2:2" x14ac:dyDescent="0.2">
      <c r="B1834" s="381"/>
    </row>
    <row r="1835" spans="2:2" x14ac:dyDescent="0.2">
      <c r="B1835" s="381"/>
    </row>
    <row r="1836" spans="2:2" x14ac:dyDescent="0.2">
      <c r="B1836" s="381"/>
    </row>
    <row r="1837" spans="2:2" x14ac:dyDescent="0.2">
      <c r="B1837" s="381"/>
    </row>
    <row r="1838" spans="2:2" x14ac:dyDescent="0.2">
      <c r="B1838" s="381"/>
    </row>
    <row r="1839" spans="2:2" x14ac:dyDescent="0.2">
      <c r="B1839" s="381"/>
    </row>
    <row r="1840" spans="2:2" x14ac:dyDescent="0.2">
      <c r="B1840" s="381"/>
    </row>
    <row r="1841" spans="2:2" x14ac:dyDescent="0.2">
      <c r="B1841" s="381"/>
    </row>
    <row r="1842" spans="2:2" x14ac:dyDescent="0.2">
      <c r="B1842" s="381"/>
    </row>
    <row r="1843" spans="2:2" x14ac:dyDescent="0.2">
      <c r="B1843" s="381"/>
    </row>
    <row r="1844" spans="2:2" x14ac:dyDescent="0.2">
      <c r="B1844" s="381"/>
    </row>
    <row r="1845" spans="2:2" x14ac:dyDescent="0.2">
      <c r="B1845" s="381"/>
    </row>
    <row r="1846" spans="2:2" x14ac:dyDescent="0.2">
      <c r="B1846" s="381"/>
    </row>
    <row r="1847" spans="2:2" x14ac:dyDescent="0.2">
      <c r="B1847" s="381"/>
    </row>
    <row r="1848" spans="2:2" x14ac:dyDescent="0.2">
      <c r="B1848" s="381"/>
    </row>
    <row r="1849" spans="2:2" x14ac:dyDescent="0.2">
      <c r="B1849" s="381"/>
    </row>
    <row r="1850" spans="2:2" x14ac:dyDescent="0.2">
      <c r="B1850" s="381"/>
    </row>
    <row r="1851" spans="2:2" x14ac:dyDescent="0.2">
      <c r="B1851" s="381"/>
    </row>
    <row r="1852" spans="2:2" x14ac:dyDescent="0.2">
      <c r="B1852" s="381"/>
    </row>
    <row r="1853" spans="2:2" x14ac:dyDescent="0.2">
      <c r="B1853" s="381"/>
    </row>
    <row r="1854" spans="2:2" x14ac:dyDescent="0.2">
      <c r="B1854" s="381"/>
    </row>
    <row r="1855" spans="2:2" x14ac:dyDescent="0.2">
      <c r="B1855" s="381"/>
    </row>
    <row r="1856" spans="2:2" x14ac:dyDescent="0.2">
      <c r="B1856" s="381"/>
    </row>
    <row r="1857" spans="2:2" x14ac:dyDescent="0.2">
      <c r="B1857" s="381"/>
    </row>
    <row r="1858" spans="2:2" x14ac:dyDescent="0.2">
      <c r="B1858" s="381"/>
    </row>
    <row r="1859" spans="2:2" x14ac:dyDescent="0.2">
      <c r="B1859" s="381"/>
    </row>
    <row r="1860" spans="2:2" x14ac:dyDescent="0.2">
      <c r="B1860" s="381"/>
    </row>
    <row r="1861" spans="2:2" x14ac:dyDescent="0.2">
      <c r="B1861" s="381"/>
    </row>
    <row r="1862" spans="2:2" x14ac:dyDescent="0.2">
      <c r="B1862" s="381"/>
    </row>
    <row r="1863" spans="2:2" x14ac:dyDescent="0.2">
      <c r="B1863" s="381"/>
    </row>
    <row r="1864" spans="2:2" x14ac:dyDescent="0.2">
      <c r="B1864" s="381"/>
    </row>
    <row r="1865" spans="2:2" x14ac:dyDescent="0.2">
      <c r="B1865" s="381"/>
    </row>
    <row r="1866" spans="2:2" x14ac:dyDescent="0.2">
      <c r="B1866" s="381"/>
    </row>
    <row r="1867" spans="2:2" x14ac:dyDescent="0.2">
      <c r="B1867" s="381"/>
    </row>
    <row r="1868" spans="2:2" x14ac:dyDescent="0.2">
      <c r="B1868" s="381"/>
    </row>
    <row r="1869" spans="2:2" x14ac:dyDescent="0.2">
      <c r="B1869" s="381"/>
    </row>
    <row r="1870" spans="2:2" x14ac:dyDescent="0.2">
      <c r="B1870" s="381"/>
    </row>
    <row r="1871" spans="2:2" x14ac:dyDescent="0.2">
      <c r="B1871" s="381"/>
    </row>
    <row r="1872" spans="2:2" x14ac:dyDescent="0.2">
      <c r="B1872" s="381"/>
    </row>
    <row r="1873" spans="2:2" x14ac:dyDescent="0.2">
      <c r="B1873" s="381"/>
    </row>
    <row r="1874" spans="2:2" x14ac:dyDescent="0.2">
      <c r="B1874" s="381"/>
    </row>
    <row r="1875" spans="2:2" x14ac:dyDescent="0.2">
      <c r="B1875" s="381"/>
    </row>
    <row r="1876" spans="2:2" x14ac:dyDescent="0.2">
      <c r="B1876" s="381"/>
    </row>
    <row r="1877" spans="2:2" x14ac:dyDescent="0.2">
      <c r="B1877" s="381"/>
    </row>
    <row r="1878" spans="2:2" x14ac:dyDescent="0.2">
      <c r="B1878" s="381"/>
    </row>
    <row r="1879" spans="2:2" x14ac:dyDescent="0.2">
      <c r="B1879" s="381"/>
    </row>
    <row r="1880" spans="2:2" x14ac:dyDescent="0.2">
      <c r="B1880" s="381"/>
    </row>
    <row r="1881" spans="2:2" x14ac:dyDescent="0.2">
      <c r="B1881" s="381"/>
    </row>
    <row r="1882" spans="2:2" x14ac:dyDescent="0.2">
      <c r="B1882" s="381"/>
    </row>
    <row r="1883" spans="2:2" x14ac:dyDescent="0.2">
      <c r="B1883" s="381"/>
    </row>
    <row r="1884" spans="2:2" x14ac:dyDescent="0.2">
      <c r="B1884" s="381"/>
    </row>
    <row r="1885" spans="2:2" x14ac:dyDescent="0.2">
      <c r="B1885" s="381"/>
    </row>
    <row r="1886" spans="2:2" x14ac:dyDescent="0.2">
      <c r="B1886" s="381"/>
    </row>
    <row r="1887" spans="2:2" x14ac:dyDescent="0.2">
      <c r="B1887" s="381"/>
    </row>
    <row r="1888" spans="2:2" x14ac:dyDescent="0.2">
      <c r="B1888" s="381"/>
    </row>
    <row r="1889" spans="2:2" x14ac:dyDescent="0.2">
      <c r="B1889" s="381"/>
    </row>
    <row r="1890" spans="2:2" x14ac:dyDescent="0.2">
      <c r="B1890" s="381"/>
    </row>
    <row r="1891" spans="2:2" x14ac:dyDescent="0.2">
      <c r="B1891" s="381"/>
    </row>
    <row r="1892" spans="2:2" x14ac:dyDescent="0.2">
      <c r="B1892" s="381"/>
    </row>
    <row r="1893" spans="2:2" x14ac:dyDescent="0.2">
      <c r="B1893" s="381"/>
    </row>
    <row r="1894" spans="2:2" x14ac:dyDescent="0.2">
      <c r="B1894" s="381"/>
    </row>
    <row r="1895" spans="2:2" x14ac:dyDescent="0.2">
      <c r="B1895" s="381"/>
    </row>
    <row r="1896" spans="2:2" x14ac:dyDescent="0.2">
      <c r="B1896" s="381"/>
    </row>
    <row r="1897" spans="2:2" x14ac:dyDescent="0.2">
      <c r="B1897" s="381"/>
    </row>
    <row r="1898" spans="2:2" x14ac:dyDescent="0.2">
      <c r="B1898" s="381"/>
    </row>
    <row r="1899" spans="2:2" x14ac:dyDescent="0.2">
      <c r="B1899" s="381"/>
    </row>
    <row r="1900" spans="2:2" x14ac:dyDescent="0.2">
      <c r="B1900" s="381"/>
    </row>
    <row r="1901" spans="2:2" x14ac:dyDescent="0.2">
      <c r="B1901" s="381"/>
    </row>
    <row r="1902" spans="2:2" x14ac:dyDescent="0.2">
      <c r="B1902" s="381"/>
    </row>
    <row r="1903" spans="2:2" x14ac:dyDescent="0.2">
      <c r="B1903" s="381"/>
    </row>
    <row r="1904" spans="2:2" x14ac:dyDescent="0.2">
      <c r="B1904" s="381"/>
    </row>
    <row r="1905" spans="2:2" x14ac:dyDescent="0.2">
      <c r="B1905" s="381"/>
    </row>
    <row r="1906" spans="2:2" x14ac:dyDescent="0.2">
      <c r="B1906" s="381"/>
    </row>
    <row r="1907" spans="2:2" x14ac:dyDescent="0.2">
      <c r="B1907" s="381"/>
    </row>
    <row r="1908" spans="2:2" x14ac:dyDescent="0.2">
      <c r="B1908" s="381"/>
    </row>
    <row r="1909" spans="2:2" x14ac:dyDescent="0.2">
      <c r="B1909" s="381"/>
    </row>
    <row r="1910" spans="2:2" x14ac:dyDescent="0.2">
      <c r="B1910" s="381"/>
    </row>
    <row r="1911" spans="2:2" x14ac:dyDescent="0.2">
      <c r="B1911" s="381"/>
    </row>
    <row r="1912" spans="2:2" x14ac:dyDescent="0.2">
      <c r="B1912" s="381"/>
    </row>
    <row r="1913" spans="2:2" x14ac:dyDescent="0.2">
      <c r="B1913" s="381"/>
    </row>
    <row r="1914" spans="2:2" x14ac:dyDescent="0.2">
      <c r="B1914" s="381"/>
    </row>
    <row r="1915" spans="2:2" x14ac:dyDescent="0.2">
      <c r="B1915" s="381"/>
    </row>
    <row r="1916" spans="2:2" x14ac:dyDescent="0.2">
      <c r="B1916" s="381"/>
    </row>
    <row r="1917" spans="2:2" x14ac:dyDescent="0.2">
      <c r="B1917" s="381"/>
    </row>
    <row r="1918" spans="2:2" x14ac:dyDescent="0.2">
      <c r="B1918" s="381"/>
    </row>
    <row r="1919" spans="2:2" x14ac:dyDescent="0.2">
      <c r="B1919" s="381"/>
    </row>
    <row r="1920" spans="2:2" x14ac:dyDescent="0.2">
      <c r="B1920" s="381"/>
    </row>
    <row r="1921" spans="2:2" x14ac:dyDescent="0.2">
      <c r="B1921" s="381"/>
    </row>
    <row r="1922" spans="2:2" x14ac:dyDescent="0.2">
      <c r="B1922" s="381"/>
    </row>
    <row r="1923" spans="2:2" x14ac:dyDescent="0.2">
      <c r="B1923" s="381"/>
    </row>
    <row r="1924" spans="2:2" x14ac:dyDescent="0.2">
      <c r="B1924" s="381"/>
    </row>
    <row r="1925" spans="2:2" x14ac:dyDescent="0.2">
      <c r="B1925" s="381"/>
    </row>
    <row r="1926" spans="2:2" x14ac:dyDescent="0.2">
      <c r="B1926" s="381"/>
    </row>
    <row r="1927" spans="2:2" x14ac:dyDescent="0.2">
      <c r="B1927" s="381"/>
    </row>
    <row r="1928" spans="2:2" x14ac:dyDescent="0.2">
      <c r="B1928" s="381"/>
    </row>
    <row r="1929" spans="2:2" x14ac:dyDescent="0.2">
      <c r="B1929" s="381"/>
    </row>
    <row r="1930" spans="2:2" x14ac:dyDescent="0.2">
      <c r="B1930" s="381"/>
    </row>
    <row r="1931" spans="2:2" x14ac:dyDescent="0.2">
      <c r="B1931" s="381"/>
    </row>
    <row r="1932" spans="2:2" x14ac:dyDescent="0.2">
      <c r="B1932" s="381"/>
    </row>
    <row r="1933" spans="2:2" x14ac:dyDescent="0.2">
      <c r="B1933" s="381"/>
    </row>
    <row r="1934" spans="2:2" x14ac:dyDescent="0.2">
      <c r="B1934" s="381"/>
    </row>
    <row r="1935" spans="2:2" x14ac:dyDescent="0.2">
      <c r="B1935" s="381"/>
    </row>
    <row r="1936" spans="2:2" x14ac:dyDescent="0.2">
      <c r="B1936" s="381"/>
    </row>
    <row r="1937" spans="2:2" x14ac:dyDescent="0.2">
      <c r="B1937" s="381"/>
    </row>
    <row r="1938" spans="2:2" x14ac:dyDescent="0.2">
      <c r="B1938" s="381"/>
    </row>
    <row r="1939" spans="2:2" x14ac:dyDescent="0.2">
      <c r="B1939" s="381"/>
    </row>
    <row r="1940" spans="2:2" x14ac:dyDescent="0.2">
      <c r="B1940" s="381"/>
    </row>
    <row r="1941" spans="2:2" x14ac:dyDescent="0.2">
      <c r="B1941" s="381"/>
    </row>
    <row r="1942" spans="2:2" x14ac:dyDescent="0.2">
      <c r="B1942" s="381"/>
    </row>
    <row r="1943" spans="2:2" x14ac:dyDescent="0.2">
      <c r="B1943" s="381"/>
    </row>
    <row r="1944" spans="2:2" x14ac:dyDescent="0.2">
      <c r="B1944" s="381"/>
    </row>
    <row r="1945" spans="2:2" x14ac:dyDescent="0.2">
      <c r="B1945" s="381"/>
    </row>
    <row r="1946" spans="2:2" x14ac:dyDescent="0.2">
      <c r="B1946" s="381"/>
    </row>
    <row r="1947" spans="2:2" x14ac:dyDescent="0.2">
      <c r="B1947" s="381"/>
    </row>
    <row r="1948" spans="2:2" x14ac:dyDescent="0.2">
      <c r="B1948" s="381"/>
    </row>
    <row r="1949" spans="2:2" x14ac:dyDescent="0.2">
      <c r="B1949" s="381"/>
    </row>
    <row r="1950" spans="2:2" x14ac:dyDescent="0.2">
      <c r="B1950" s="381"/>
    </row>
    <row r="1951" spans="2:2" x14ac:dyDescent="0.2">
      <c r="B1951" s="381"/>
    </row>
    <row r="1952" spans="2:2" x14ac:dyDescent="0.2">
      <c r="B1952" s="381"/>
    </row>
    <row r="1953" spans="2:2" x14ac:dyDescent="0.2">
      <c r="B1953" s="381"/>
    </row>
    <row r="1954" spans="2:2" x14ac:dyDescent="0.2">
      <c r="B1954" s="381"/>
    </row>
    <row r="1955" spans="2:2" x14ac:dyDescent="0.2">
      <c r="B1955" s="381"/>
    </row>
    <row r="1956" spans="2:2" x14ac:dyDescent="0.2">
      <c r="B1956" s="381"/>
    </row>
    <row r="1957" spans="2:2" x14ac:dyDescent="0.2">
      <c r="B1957" s="381"/>
    </row>
    <row r="1958" spans="2:2" x14ac:dyDescent="0.2">
      <c r="B1958" s="381"/>
    </row>
    <row r="1959" spans="2:2" x14ac:dyDescent="0.2">
      <c r="B1959" s="381"/>
    </row>
    <row r="1960" spans="2:2" x14ac:dyDescent="0.2">
      <c r="B1960" s="381"/>
    </row>
    <row r="1961" spans="2:2" x14ac:dyDescent="0.2">
      <c r="B1961" s="381"/>
    </row>
    <row r="1962" spans="2:2" x14ac:dyDescent="0.2">
      <c r="B1962" s="381"/>
    </row>
    <row r="1963" spans="2:2" x14ac:dyDescent="0.2">
      <c r="B1963" s="381"/>
    </row>
    <row r="1964" spans="2:2" x14ac:dyDescent="0.2">
      <c r="B1964" s="381"/>
    </row>
    <row r="1965" spans="2:2" x14ac:dyDescent="0.2">
      <c r="B1965" s="381"/>
    </row>
    <row r="1966" spans="2:2" x14ac:dyDescent="0.2">
      <c r="B1966" s="381"/>
    </row>
    <row r="1967" spans="2:2" x14ac:dyDescent="0.2">
      <c r="B1967" s="381"/>
    </row>
    <row r="1968" spans="2:2" x14ac:dyDescent="0.2">
      <c r="B1968" s="381"/>
    </row>
    <row r="1969" spans="2:2" x14ac:dyDescent="0.2">
      <c r="B1969" s="381"/>
    </row>
    <row r="1970" spans="2:2" x14ac:dyDescent="0.2">
      <c r="B1970" s="381"/>
    </row>
    <row r="1971" spans="2:2" x14ac:dyDescent="0.2">
      <c r="B1971" s="381"/>
    </row>
    <row r="1972" spans="2:2" x14ac:dyDescent="0.2">
      <c r="B1972" s="381"/>
    </row>
    <row r="1973" spans="2:2" x14ac:dyDescent="0.2">
      <c r="B1973" s="381"/>
    </row>
    <row r="1974" spans="2:2" x14ac:dyDescent="0.2">
      <c r="B1974" s="381"/>
    </row>
    <row r="1975" spans="2:2" x14ac:dyDescent="0.2">
      <c r="B1975" s="381"/>
    </row>
    <row r="1976" spans="2:2" x14ac:dyDescent="0.2">
      <c r="B1976" s="381"/>
    </row>
    <row r="1977" spans="2:2" x14ac:dyDescent="0.2">
      <c r="B1977" s="381"/>
    </row>
    <row r="1978" spans="2:2" x14ac:dyDescent="0.2">
      <c r="B1978" s="381"/>
    </row>
    <row r="1979" spans="2:2" x14ac:dyDescent="0.2">
      <c r="B1979" s="381"/>
    </row>
    <row r="1980" spans="2:2" x14ac:dyDescent="0.2">
      <c r="B1980" s="381"/>
    </row>
    <row r="1981" spans="2:2" x14ac:dyDescent="0.2">
      <c r="B1981" s="381"/>
    </row>
    <row r="1982" spans="2:2" x14ac:dyDescent="0.2">
      <c r="B1982" s="381"/>
    </row>
    <row r="1983" spans="2:2" x14ac:dyDescent="0.2">
      <c r="B1983" s="381"/>
    </row>
    <row r="1984" spans="2:2" x14ac:dyDescent="0.2">
      <c r="B1984" s="381"/>
    </row>
    <row r="1985" spans="2:2" x14ac:dyDescent="0.2">
      <c r="B1985" s="381"/>
    </row>
    <row r="1986" spans="2:2" x14ac:dyDescent="0.2">
      <c r="B1986" s="381"/>
    </row>
    <row r="1987" spans="2:2" x14ac:dyDescent="0.2">
      <c r="B1987" s="381"/>
    </row>
    <row r="1988" spans="2:2" x14ac:dyDescent="0.2">
      <c r="B1988" s="381"/>
    </row>
    <row r="1989" spans="2:2" x14ac:dyDescent="0.2">
      <c r="B1989" s="381"/>
    </row>
    <row r="1990" spans="2:2" x14ac:dyDescent="0.2">
      <c r="B1990" s="381"/>
    </row>
    <row r="1991" spans="2:2" x14ac:dyDescent="0.2">
      <c r="B1991" s="381"/>
    </row>
    <row r="1992" spans="2:2" x14ac:dyDescent="0.2">
      <c r="B1992" s="381"/>
    </row>
    <row r="1993" spans="2:2" x14ac:dyDescent="0.2">
      <c r="B1993" s="381"/>
    </row>
    <row r="1994" spans="2:2" x14ac:dyDescent="0.2">
      <c r="B1994" s="381"/>
    </row>
    <row r="1995" spans="2:2" x14ac:dyDescent="0.2">
      <c r="B1995" s="381"/>
    </row>
    <row r="1996" spans="2:2" x14ac:dyDescent="0.2">
      <c r="B1996" s="381"/>
    </row>
    <row r="1997" spans="2:2" x14ac:dyDescent="0.2">
      <c r="B1997" s="381"/>
    </row>
    <row r="1998" spans="2:2" x14ac:dyDescent="0.2">
      <c r="B1998" s="381"/>
    </row>
    <row r="1999" spans="2:2" x14ac:dyDescent="0.2">
      <c r="B1999" s="381"/>
    </row>
    <row r="2000" spans="2:2" x14ac:dyDescent="0.2">
      <c r="B2000" s="381"/>
    </row>
    <row r="2001" spans="2:2" x14ac:dyDescent="0.2">
      <c r="B2001" s="381"/>
    </row>
    <row r="2002" spans="2:2" x14ac:dyDescent="0.2">
      <c r="B2002" s="381"/>
    </row>
    <row r="2003" spans="2:2" x14ac:dyDescent="0.2">
      <c r="B2003" s="381"/>
    </row>
    <row r="2004" spans="2:2" x14ac:dyDescent="0.2">
      <c r="B2004" s="381"/>
    </row>
    <row r="2005" spans="2:2" x14ac:dyDescent="0.2">
      <c r="B2005" s="381"/>
    </row>
    <row r="2006" spans="2:2" x14ac:dyDescent="0.2">
      <c r="B2006" s="381"/>
    </row>
    <row r="2007" spans="2:2" x14ac:dyDescent="0.2">
      <c r="B2007" s="381"/>
    </row>
    <row r="2008" spans="2:2" x14ac:dyDescent="0.2">
      <c r="B2008" s="381"/>
    </row>
    <row r="2009" spans="2:2" x14ac:dyDescent="0.2">
      <c r="B2009" s="381"/>
    </row>
    <row r="2010" spans="2:2" x14ac:dyDescent="0.2">
      <c r="B2010" s="381"/>
    </row>
    <row r="2011" spans="2:2" x14ac:dyDescent="0.2">
      <c r="B2011" s="381"/>
    </row>
    <row r="2012" spans="2:2" x14ac:dyDescent="0.2">
      <c r="B2012" s="381"/>
    </row>
    <row r="2013" spans="2:2" x14ac:dyDescent="0.2">
      <c r="B2013" s="381"/>
    </row>
    <row r="2014" spans="2:2" x14ac:dyDescent="0.2">
      <c r="B2014" s="381"/>
    </row>
    <row r="2015" spans="2:2" x14ac:dyDescent="0.2">
      <c r="B2015" s="381"/>
    </row>
    <row r="2016" spans="2:2" x14ac:dyDescent="0.2">
      <c r="B2016" s="381"/>
    </row>
    <row r="2017" spans="2:2" x14ac:dyDescent="0.2">
      <c r="B2017" s="381"/>
    </row>
    <row r="2018" spans="2:2" x14ac:dyDescent="0.2">
      <c r="B2018" s="381"/>
    </row>
    <row r="2019" spans="2:2" x14ac:dyDescent="0.2">
      <c r="B2019" s="381"/>
    </row>
    <row r="2020" spans="2:2" x14ac:dyDescent="0.2">
      <c r="B2020" s="381"/>
    </row>
    <row r="2021" spans="2:2" x14ac:dyDescent="0.2">
      <c r="B2021" s="381"/>
    </row>
    <row r="2022" spans="2:2" x14ac:dyDescent="0.2">
      <c r="B2022" s="381"/>
    </row>
    <row r="2023" spans="2:2" x14ac:dyDescent="0.2">
      <c r="B2023" s="381"/>
    </row>
    <row r="2024" spans="2:2" x14ac:dyDescent="0.2">
      <c r="B2024" s="381"/>
    </row>
    <row r="2025" spans="2:2" x14ac:dyDescent="0.2">
      <c r="B2025" s="381"/>
    </row>
    <row r="2026" spans="2:2" x14ac:dyDescent="0.2">
      <c r="B2026" s="381"/>
    </row>
    <row r="2027" spans="2:2" x14ac:dyDescent="0.2">
      <c r="B2027" s="381"/>
    </row>
    <row r="2028" spans="2:2" x14ac:dyDescent="0.2">
      <c r="B2028" s="381"/>
    </row>
    <row r="2029" spans="2:2" x14ac:dyDescent="0.2">
      <c r="B2029" s="381"/>
    </row>
    <row r="2030" spans="2:2" x14ac:dyDescent="0.2">
      <c r="B2030" s="381"/>
    </row>
    <row r="2031" spans="2:2" x14ac:dyDescent="0.2">
      <c r="B2031" s="381"/>
    </row>
    <row r="2032" spans="2:2" x14ac:dyDescent="0.2">
      <c r="B2032" s="381"/>
    </row>
    <row r="2033" spans="2:2" x14ac:dyDescent="0.2">
      <c r="B2033" s="381"/>
    </row>
    <row r="2034" spans="2:2" x14ac:dyDescent="0.2">
      <c r="B2034" s="381"/>
    </row>
    <row r="2035" spans="2:2" x14ac:dyDescent="0.2">
      <c r="B2035" s="381"/>
    </row>
    <row r="2036" spans="2:2" x14ac:dyDescent="0.2">
      <c r="B2036" s="381"/>
    </row>
    <row r="2037" spans="2:2" x14ac:dyDescent="0.2">
      <c r="B2037" s="381"/>
    </row>
    <row r="2038" spans="2:2" x14ac:dyDescent="0.2">
      <c r="B2038" s="381"/>
    </row>
    <row r="2039" spans="2:2" x14ac:dyDescent="0.2">
      <c r="B2039" s="381"/>
    </row>
    <row r="2040" spans="2:2" x14ac:dyDescent="0.2">
      <c r="B2040" s="381"/>
    </row>
    <row r="2041" spans="2:2" x14ac:dyDescent="0.2">
      <c r="B2041" s="381"/>
    </row>
    <row r="2042" spans="2:2" x14ac:dyDescent="0.2">
      <c r="B2042" s="381"/>
    </row>
    <row r="2043" spans="2:2" x14ac:dyDescent="0.2">
      <c r="B2043" s="381"/>
    </row>
    <row r="2044" spans="2:2" x14ac:dyDescent="0.2">
      <c r="B2044" s="381"/>
    </row>
    <row r="2045" spans="2:2" x14ac:dyDescent="0.2">
      <c r="B2045" s="381"/>
    </row>
    <row r="2046" spans="2:2" x14ac:dyDescent="0.2">
      <c r="B2046" s="381"/>
    </row>
    <row r="2047" spans="2:2" x14ac:dyDescent="0.2">
      <c r="B2047" s="381"/>
    </row>
    <row r="2048" spans="2:2" x14ac:dyDescent="0.2">
      <c r="B2048" s="381"/>
    </row>
    <row r="2049" spans="2:2" x14ac:dyDescent="0.2">
      <c r="B2049" s="381"/>
    </row>
    <row r="2050" spans="2:2" x14ac:dyDescent="0.2">
      <c r="B2050" s="381"/>
    </row>
    <row r="2051" spans="2:2" x14ac:dyDescent="0.2">
      <c r="B2051" s="381"/>
    </row>
    <row r="2052" spans="2:2" x14ac:dyDescent="0.2">
      <c r="B2052" s="381"/>
    </row>
    <row r="2053" spans="2:2" x14ac:dyDescent="0.2">
      <c r="B2053" s="381"/>
    </row>
    <row r="2054" spans="2:2" x14ac:dyDescent="0.2">
      <c r="B2054" s="381"/>
    </row>
    <row r="2055" spans="2:2" x14ac:dyDescent="0.2">
      <c r="B2055" s="381"/>
    </row>
    <row r="2056" spans="2:2" x14ac:dyDescent="0.2">
      <c r="B2056" s="381"/>
    </row>
    <row r="2057" spans="2:2" x14ac:dyDescent="0.2">
      <c r="B2057" s="381"/>
    </row>
    <row r="2058" spans="2:2" x14ac:dyDescent="0.2">
      <c r="B2058" s="381"/>
    </row>
    <row r="2059" spans="2:2" x14ac:dyDescent="0.2">
      <c r="B2059" s="381"/>
    </row>
    <row r="2060" spans="2:2" x14ac:dyDescent="0.2">
      <c r="B2060" s="381"/>
    </row>
    <row r="2061" spans="2:2" x14ac:dyDescent="0.2">
      <c r="B2061" s="381"/>
    </row>
    <row r="2062" spans="2:2" x14ac:dyDescent="0.2">
      <c r="B2062" s="381"/>
    </row>
    <row r="2063" spans="2:2" x14ac:dyDescent="0.2">
      <c r="B2063" s="381"/>
    </row>
    <row r="2064" spans="2:2" x14ac:dyDescent="0.2">
      <c r="B2064" s="381"/>
    </row>
    <row r="2065" spans="2:2" x14ac:dyDescent="0.2">
      <c r="B2065" s="381"/>
    </row>
    <row r="2066" spans="2:2" x14ac:dyDescent="0.2">
      <c r="B2066" s="381"/>
    </row>
    <row r="2067" spans="2:2" x14ac:dyDescent="0.2">
      <c r="B2067" s="381"/>
    </row>
    <row r="2068" spans="2:2" x14ac:dyDescent="0.2">
      <c r="B2068" s="381"/>
    </row>
    <row r="2069" spans="2:2" x14ac:dyDescent="0.2">
      <c r="B2069" s="381"/>
    </row>
    <row r="2070" spans="2:2" x14ac:dyDescent="0.2">
      <c r="B2070" s="381"/>
    </row>
    <row r="2071" spans="2:2" x14ac:dyDescent="0.2">
      <c r="B2071" s="381"/>
    </row>
    <row r="2072" spans="2:2" x14ac:dyDescent="0.2">
      <c r="B2072" s="381"/>
    </row>
    <row r="2073" spans="2:2" x14ac:dyDescent="0.2">
      <c r="B2073" s="381"/>
    </row>
    <row r="2074" spans="2:2" x14ac:dyDescent="0.2">
      <c r="B2074" s="381"/>
    </row>
    <row r="2075" spans="2:2" x14ac:dyDescent="0.2">
      <c r="B2075" s="381"/>
    </row>
    <row r="2076" spans="2:2" x14ac:dyDescent="0.2">
      <c r="B2076" s="381"/>
    </row>
    <row r="2077" spans="2:2" x14ac:dyDescent="0.2">
      <c r="B2077" s="381"/>
    </row>
    <row r="2078" spans="2:2" x14ac:dyDescent="0.2">
      <c r="B2078" s="381"/>
    </row>
    <row r="2079" spans="2:2" x14ac:dyDescent="0.2">
      <c r="B2079" s="381"/>
    </row>
    <row r="2080" spans="2:2" x14ac:dyDescent="0.2">
      <c r="B2080" s="381"/>
    </row>
    <row r="2081" spans="2:2" x14ac:dyDescent="0.2">
      <c r="B2081" s="381"/>
    </row>
    <row r="2082" spans="2:2" x14ac:dyDescent="0.2">
      <c r="B2082" s="381"/>
    </row>
    <row r="2083" spans="2:2" x14ac:dyDescent="0.2">
      <c r="B2083" s="381"/>
    </row>
    <row r="2084" spans="2:2" x14ac:dyDescent="0.2">
      <c r="B2084" s="381"/>
    </row>
    <row r="2085" spans="2:2" x14ac:dyDescent="0.2">
      <c r="B2085" s="381"/>
    </row>
    <row r="2086" spans="2:2" x14ac:dyDescent="0.2">
      <c r="B2086" s="381"/>
    </row>
    <row r="2087" spans="2:2" x14ac:dyDescent="0.2">
      <c r="B2087" s="381"/>
    </row>
    <row r="2088" spans="2:2" x14ac:dyDescent="0.2">
      <c r="B2088" s="381"/>
    </row>
    <row r="2089" spans="2:2" x14ac:dyDescent="0.2">
      <c r="B2089" s="381"/>
    </row>
    <row r="2090" spans="2:2" x14ac:dyDescent="0.2">
      <c r="B2090" s="381"/>
    </row>
    <row r="2091" spans="2:2" x14ac:dyDescent="0.2">
      <c r="B2091" s="381"/>
    </row>
    <row r="2092" spans="2:2" x14ac:dyDescent="0.2">
      <c r="B2092" s="381"/>
    </row>
    <row r="2093" spans="2:2" x14ac:dyDescent="0.2">
      <c r="B2093" s="381"/>
    </row>
    <row r="2094" spans="2:2" x14ac:dyDescent="0.2">
      <c r="B2094" s="381"/>
    </row>
    <row r="2095" spans="2:2" x14ac:dyDescent="0.2">
      <c r="B2095" s="381"/>
    </row>
    <row r="2096" spans="2:2" x14ac:dyDescent="0.2">
      <c r="B2096" s="381"/>
    </row>
    <row r="2097" spans="2:2" x14ac:dyDescent="0.2">
      <c r="B2097" s="381"/>
    </row>
    <row r="2098" spans="2:2" x14ac:dyDescent="0.2">
      <c r="B2098" s="381"/>
    </row>
    <row r="2099" spans="2:2" x14ac:dyDescent="0.2">
      <c r="B2099" s="381"/>
    </row>
    <row r="2100" spans="2:2" x14ac:dyDescent="0.2">
      <c r="B2100" s="381"/>
    </row>
    <row r="2101" spans="2:2" x14ac:dyDescent="0.2">
      <c r="B2101" s="381"/>
    </row>
    <row r="2102" spans="2:2" x14ac:dyDescent="0.2">
      <c r="B2102" s="381"/>
    </row>
    <row r="2103" spans="2:2" x14ac:dyDescent="0.2">
      <c r="B2103" s="381"/>
    </row>
    <row r="2104" spans="2:2" x14ac:dyDescent="0.2">
      <c r="B2104" s="381"/>
    </row>
    <row r="2105" spans="2:2" x14ac:dyDescent="0.2">
      <c r="B2105" s="381"/>
    </row>
    <row r="2106" spans="2:2" x14ac:dyDescent="0.2">
      <c r="B2106" s="381"/>
    </row>
    <row r="2107" spans="2:2" x14ac:dyDescent="0.2">
      <c r="B2107" s="381"/>
    </row>
    <row r="2108" spans="2:2" x14ac:dyDescent="0.2">
      <c r="B2108" s="381"/>
    </row>
    <row r="2109" spans="2:2" x14ac:dyDescent="0.2">
      <c r="B2109" s="381"/>
    </row>
    <row r="2110" spans="2:2" x14ac:dyDescent="0.2">
      <c r="B2110" s="381"/>
    </row>
    <row r="2111" spans="2:2" x14ac:dyDescent="0.2">
      <c r="B2111" s="381"/>
    </row>
    <row r="2112" spans="2:2" x14ac:dyDescent="0.2">
      <c r="B2112" s="381"/>
    </row>
    <row r="2113" spans="2:2" x14ac:dyDescent="0.2">
      <c r="B2113" s="381"/>
    </row>
    <row r="2114" spans="2:2" x14ac:dyDescent="0.2">
      <c r="B2114" s="381"/>
    </row>
    <row r="2115" spans="2:2" x14ac:dyDescent="0.2">
      <c r="B2115" s="381"/>
    </row>
    <row r="2116" spans="2:2" x14ac:dyDescent="0.2">
      <c r="B2116" s="381"/>
    </row>
    <row r="2117" spans="2:2" x14ac:dyDescent="0.2">
      <c r="B2117" s="381"/>
    </row>
    <row r="2118" spans="2:2" x14ac:dyDescent="0.2">
      <c r="B2118" s="381"/>
    </row>
    <row r="2119" spans="2:2" x14ac:dyDescent="0.2">
      <c r="B2119" s="381"/>
    </row>
    <row r="2120" spans="2:2" x14ac:dyDescent="0.2">
      <c r="B2120" s="381"/>
    </row>
    <row r="2121" spans="2:2" x14ac:dyDescent="0.2">
      <c r="B2121" s="381"/>
    </row>
    <row r="2122" spans="2:2" x14ac:dyDescent="0.2">
      <c r="B2122" s="381"/>
    </row>
    <row r="2123" spans="2:2" x14ac:dyDescent="0.2">
      <c r="B2123" s="381"/>
    </row>
    <row r="2124" spans="2:2" x14ac:dyDescent="0.2">
      <c r="B2124" s="381"/>
    </row>
    <row r="2125" spans="2:2" x14ac:dyDescent="0.2">
      <c r="B2125" s="381"/>
    </row>
    <row r="2126" spans="2:2" x14ac:dyDescent="0.2">
      <c r="B2126" s="381"/>
    </row>
    <row r="2127" spans="2:2" x14ac:dyDescent="0.2">
      <c r="B2127" s="381"/>
    </row>
    <row r="2128" spans="2:2" x14ac:dyDescent="0.2">
      <c r="B2128" s="381"/>
    </row>
    <row r="2129" spans="2:2" x14ac:dyDescent="0.2">
      <c r="B2129" s="381"/>
    </row>
    <row r="2130" spans="2:2" x14ac:dyDescent="0.2">
      <c r="B2130" s="381"/>
    </row>
    <row r="2131" spans="2:2" x14ac:dyDescent="0.2">
      <c r="B2131" s="381"/>
    </row>
    <row r="2132" spans="2:2" x14ac:dyDescent="0.2">
      <c r="B2132" s="381"/>
    </row>
    <row r="2133" spans="2:2" x14ac:dyDescent="0.2">
      <c r="B2133" s="381"/>
    </row>
    <row r="2134" spans="2:2" x14ac:dyDescent="0.2">
      <c r="B2134" s="381"/>
    </row>
    <row r="2135" spans="2:2" x14ac:dyDescent="0.2">
      <c r="B2135" s="381"/>
    </row>
    <row r="2136" spans="2:2" x14ac:dyDescent="0.2">
      <c r="B2136" s="381"/>
    </row>
    <row r="2137" spans="2:2" x14ac:dyDescent="0.2">
      <c r="B2137" s="381"/>
    </row>
    <row r="2138" spans="2:2" x14ac:dyDescent="0.2">
      <c r="B2138" s="381"/>
    </row>
    <row r="2139" spans="2:2" x14ac:dyDescent="0.2">
      <c r="B2139" s="381"/>
    </row>
    <row r="2140" spans="2:2" x14ac:dyDescent="0.2">
      <c r="B2140" s="381"/>
    </row>
    <row r="2141" spans="2:2" x14ac:dyDescent="0.2">
      <c r="B2141" s="381"/>
    </row>
    <row r="2142" spans="2:2" x14ac:dyDescent="0.2">
      <c r="B2142" s="381"/>
    </row>
    <row r="2143" spans="2:2" x14ac:dyDescent="0.2">
      <c r="B2143" s="381"/>
    </row>
    <row r="2144" spans="2:2" x14ac:dyDescent="0.2">
      <c r="B2144" s="381"/>
    </row>
    <row r="2145" spans="2:2" x14ac:dyDescent="0.2">
      <c r="B2145" s="381"/>
    </row>
    <row r="2146" spans="2:2" x14ac:dyDescent="0.2">
      <c r="B2146" s="381"/>
    </row>
    <row r="2147" spans="2:2" x14ac:dyDescent="0.2">
      <c r="B2147" s="381"/>
    </row>
    <row r="2148" spans="2:2" x14ac:dyDescent="0.2">
      <c r="B2148" s="381"/>
    </row>
    <row r="2149" spans="2:2" x14ac:dyDescent="0.2">
      <c r="B2149" s="381"/>
    </row>
    <row r="2150" spans="2:2" x14ac:dyDescent="0.2">
      <c r="B2150" s="381"/>
    </row>
    <row r="2151" spans="2:2" x14ac:dyDescent="0.2">
      <c r="B2151" s="381"/>
    </row>
    <row r="2152" spans="2:2" x14ac:dyDescent="0.2">
      <c r="B2152" s="381"/>
    </row>
    <row r="2153" spans="2:2" x14ac:dyDescent="0.2">
      <c r="B2153" s="381"/>
    </row>
    <row r="2154" spans="2:2" x14ac:dyDescent="0.2">
      <c r="B2154" s="381"/>
    </row>
    <row r="2155" spans="2:2" x14ac:dyDescent="0.2">
      <c r="B2155" s="381"/>
    </row>
    <row r="2156" spans="2:2" x14ac:dyDescent="0.2">
      <c r="B2156" s="381"/>
    </row>
    <row r="2157" spans="2:2" x14ac:dyDescent="0.2">
      <c r="B2157" s="381"/>
    </row>
    <row r="2158" spans="2:2" x14ac:dyDescent="0.2">
      <c r="B2158" s="381"/>
    </row>
    <row r="2159" spans="2:2" x14ac:dyDescent="0.2">
      <c r="B2159" s="381"/>
    </row>
    <row r="2160" spans="2:2" x14ac:dyDescent="0.2">
      <c r="B2160" s="381"/>
    </row>
    <row r="2161" spans="2:2" x14ac:dyDescent="0.2">
      <c r="B2161" s="381"/>
    </row>
    <row r="2162" spans="2:2" x14ac:dyDescent="0.2">
      <c r="B2162" s="381"/>
    </row>
    <row r="2163" spans="2:2" x14ac:dyDescent="0.2">
      <c r="B2163" s="381"/>
    </row>
    <row r="2164" spans="2:2" x14ac:dyDescent="0.2">
      <c r="B2164" s="381"/>
    </row>
    <row r="2165" spans="2:2" x14ac:dyDescent="0.2">
      <c r="B2165" s="381"/>
    </row>
    <row r="2166" spans="2:2" x14ac:dyDescent="0.2">
      <c r="B2166" s="381"/>
    </row>
    <row r="2167" spans="2:2" x14ac:dyDescent="0.2">
      <c r="B2167" s="381"/>
    </row>
    <row r="2168" spans="2:2" x14ac:dyDescent="0.2">
      <c r="B2168" s="381"/>
    </row>
    <row r="2169" spans="2:2" x14ac:dyDescent="0.2">
      <c r="B2169" s="381"/>
    </row>
    <row r="2170" spans="2:2" x14ac:dyDescent="0.2">
      <c r="B2170" s="381"/>
    </row>
    <row r="2171" spans="2:2" x14ac:dyDescent="0.2">
      <c r="B2171" s="381"/>
    </row>
    <row r="2172" spans="2:2" x14ac:dyDescent="0.2">
      <c r="B2172" s="381"/>
    </row>
    <row r="2173" spans="2:2" x14ac:dyDescent="0.2">
      <c r="B2173" s="381"/>
    </row>
    <row r="2174" spans="2:2" x14ac:dyDescent="0.2">
      <c r="B2174" s="381"/>
    </row>
    <row r="2175" spans="2:2" x14ac:dyDescent="0.2">
      <c r="B2175" s="381"/>
    </row>
    <row r="2176" spans="2:2" x14ac:dyDescent="0.2">
      <c r="B2176" s="381"/>
    </row>
    <row r="2177" spans="2:2" x14ac:dyDescent="0.2">
      <c r="B2177" s="381"/>
    </row>
    <row r="2178" spans="2:2" x14ac:dyDescent="0.2">
      <c r="B2178" s="381"/>
    </row>
    <row r="2179" spans="2:2" x14ac:dyDescent="0.2">
      <c r="B2179" s="381"/>
    </row>
    <row r="2180" spans="2:2" x14ac:dyDescent="0.2">
      <c r="B2180" s="381"/>
    </row>
    <row r="2181" spans="2:2" x14ac:dyDescent="0.2">
      <c r="B2181" s="381"/>
    </row>
    <row r="2182" spans="2:2" x14ac:dyDescent="0.2">
      <c r="B2182" s="381"/>
    </row>
    <row r="2183" spans="2:2" x14ac:dyDescent="0.2">
      <c r="B2183" s="381"/>
    </row>
    <row r="2184" spans="2:2" x14ac:dyDescent="0.2">
      <c r="B2184" s="381"/>
    </row>
    <row r="2185" spans="2:2" x14ac:dyDescent="0.2">
      <c r="B2185" s="381"/>
    </row>
    <row r="2186" spans="2:2" x14ac:dyDescent="0.2">
      <c r="B2186" s="381"/>
    </row>
    <row r="2187" spans="2:2" x14ac:dyDescent="0.2">
      <c r="B2187" s="381"/>
    </row>
    <row r="2188" spans="2:2" x14ac:dyDescent="0.2">
      <c r="B2188" s="381"/>
    </row>
    <row r="2189" spans="2:2" x14ac:dyDescent="0.2">
      <c r="B2189" s="381"/>
    </row>
    <row r="2190" spans="2:2" x14ac:dyDescent="0.2">
      <c r="B2190" s="381"/>
    </row>
    <row r="2191" spans="2:2" x14ac:dyDescent="0.2">
      <c r="B2191" s="381"/>
    </row>
    <row r="2192" spans="2:2" x14ac:dyDescent="0.2">
      <c r="B2192" s="381"/>
    </row>
    <row r="2193" spans="2:2" x14ac:dyDescent="0.2">
      <c r="B2193" s="381"/>
    </row>
    <row r="2194" spans="2:2" x14ac:dyDescent="0.2">
      <c r="B2194" s="381"/>
    </row>
    <row r="2195" spans="2:2" x14ac:dyDescent="0.2">
      <c r="B2195" s="381"/>
    </row>
    <row r="2196" spans="2:2" x14ac:dyDescent="0.2">
      <c r="B2196" s="381"/>
    </row>
    <row r="2197" spans="2:2" x14ac:dyDescent="0.2">
      <c r="B2197" s="381"/>
    </row>
    <row r="2198" spans="2:2" x14ac:dyDescent="0.2">
      <c r="B2198" s="381"/>
    </row>
    <row r="2199" spans="2:2" x14ac:dyDescent="0.2">
      <c r="B2199" s="381"/>
    </row>
    <row r="2200" spans="2:2" x14ac:dyDescent="0.2">
      <c r="B2200" s="381"/>
    </row>
    <row r="2201" spans="2:2" x14ac:dyDescent="0.2">
      <c r="B2201" s="381"/>
    </row>
    <row r="2202" spans="2:2" x14ac:dyDescent="0.2">
      <c r="B2202" s="381"/>
    </row>
    <row r="2203" spans="2:2" x14ac:dyDescent="0.2">
      <c r="B2203" s="381"/>
    </row>
    <row r="2204" spans="2:2" x14ac:dyDescent="0.2">
      <c r="B2204" s="381"/>
    </row>
    <row r="2205" spans="2:2" x14ac:dyDescent="0.2">
      <c r="B2205" s="381"/>
    </row>
    <row r="2206" spans="2:2" x14ac:dyDescent="0.2">
      <c r="B2206" s="381"/>
    </row>
    <row r="2207" spans="2:2" x14ac:dyDescent="0.2">
      <c r="B2207" s="381"/>
    </row>
    <row r="2208" spans="2:2" x14ac:dyDescent="0.2">
      <c r="B2208" s="381"/>
    </row>
    <row r="2209" spans="2:2" x14ac:dyDescent="0.2">
      <c r="B2209" s="381"/>
    </row>
    <row r="2210" spans="2:2" x14ac:dyDescent="0.2">
      <c r="B2210" s="381"/>
    </row>
    <row r="2211" spans="2:2" x14ac:dyDescent="0.2">
      <c r="B2211" s="381"/>
    </row>
    <row r="2212" spans="2:2" x14ac:dyDescent="0.2">
      <c r="B2212" s="381"/>
    </row>
    <row r="2213" spans="2:2" x14ac:dyDescent="0.2">
      <c r="B2213" s="381"/>
    </row>
    <row r="2214" spans="2:2" x14ac:dyDescent="0.2">
      <c r="B2214" s="381"/>
    </row>
    <row r="2215" spans="2:2" x14ac:dyDescent="0.2">
      <c r="B2215" s="381"/>
    </row>
    <row r="2216" spans="2:2" x14ac:dyDescent="0.2">
      <c r="B2216" s="381"/>
    </row>
    <row r="2217" spans="2:2" x14ac:dyDescent="0.2">
      <c r="B2217" s="381"/>
    </row>
    <row r="2218" spans="2:2" x14ac:dyDescent="0.2">
      <c r="B2218" s="381"/>
    </row>
    <row r="2219" spans="2:2" x14ac:dyDescent="0.2">
      <c r="B2219" s="381"/>
    </row>
    <row r="2220" spans="2:2" x14ac:dyDescent="0.2">
      <c r="B2220" s="381"/>
    </row>
    <row r="2221" spans="2:2" x14ac:dyDescent="0.2">
      <c r="B2221" s="381"/>
    </row>
    <row r="2222" spans="2:2" x14ac:dyDescent="0.2">
      <c r="B2222" s="381"/>
    </row>
    <row r="2223" spans="2:2" x14ac:dyDescent="0.2">
      <c r="B2223" s="381"/>
    </row>
    <row r="2224" spans="2:2" x14ac:dyDescent="0.2">
      <c r="B2224" s="381"/>
    </row>
    <row r="2225" spans="2:2" x14ac:dyDescent="0.2">
      <c r="B2225" s="381"/>
    </row>
    <row r="2226" spans="2:2" x14ac:dyDescent="0.2">
      <c r="B2226" s="381"/>
    </row>
    <row r="2227" spans="2:2" x14ac:dyDescent="0.2">
      <c r="B2227" s="381"/>
    </row>
    <row r="2228" spans="2:2" x14ac:dyDescent="0.2">
      <c r="B2228" s="381"/>
    </row>
    <row r="2229" spans="2:2" x14ac:dyDescent="0.2">
      <c r="B2229" s="381"/>
    </row>
    <row r="2230" spans="2:2" x14ac:dyDescent="0.2">
      <c r="B2230" s="381"/>
    </row>
    <row r="2231" spans="2:2" x14ac:dyDescent="0.2">
      <c r="B2231" s="381"/>
    </row>
    <row r="2232" spans="2:2" x14ac:dyDescent="0.2">
      <c r="B2232" s="381"/>
    </row>
    <row r="2233" spans="2:2" x14ac:dyDescent="0.2">
      <c r="B2233" s="381"/>
    </row>
    <row r="2234" spans="2:2" x14ac:dyDescent="0.2">
      <c r="B2234" s="381"/>
    </row>
    <row r="2235" spans="2:2" x14ac:dyDescent="0.2">
      <c r="B2235" s="381"/>
    </row>
    <row r="2236" spans="2:2" x14ac:dyDescent="0.2">
      <c r="B2236" s="381"/>
    </row>
    <row r="2237" spans="2:2" x14ac:dyDescent="0.2">
      <c r="B2237" s="381"/>
    </row>
    <row r="2238" spans="2:2" x14ac:dyDescent="0.2">
      <c r="B2238" s="381"/>
    </row>
    <row r="2239" spans="2:2" x14ac:dyDescent="0.2">
      <c r="B2239" s="381"/>
    </row>
    <row r="2240" spans="2:2" x14ac:dyDescent="0.2">
      <c r="B2240" s="381"/>
    </row>
    <row r="2241" spans="2:2" x14ac:dyDescent="0.2">
      <c r="B2241" s="381"/>
    </row>
    <row r="2242" spans="2:2" x14ac:dyDescent="0.2">
      <c r="B2242" s="381"/>
    </row>
    <row r="2243" spans="2:2" x14ac:dyDescent="0.2">
      <c r="B2243" s="381"/>
    </row>
    <row r="2244" spans="2:2" x14ac:dyDescent="0.2">
      <c r="B2244" s="381"/>
    </row>
    <row r="2245" spans="2:2" x14ac:dyDescent="0.2">
      <c r="B2245" s="381"/>
    </row>
    <row r="2246" spans="2:2" x14ac:dyDescent="0.2">
      <c r="B2246" s="381"/>
    </row>
    <row r="2247" spans="2:2" x14ac:dyDescent="0.2">
      <c r="B2247" s="381"/>
    </row>
    <row r="2248" spans="2:2" x14ac:dyDescent="0.2">
      <c r="B2248" s="381"/>
    </row>
    <row r="2249" spans="2:2" x14ac:dyDescent="0.2">
      <c r="B2249" s="381"/>
    </row>
    <row r="2250" spans="2:2" x14ac:dyDescent="0.2">
      <c r="B2250" s="381"/>
    </row>
    <row r="2251" spans="2:2" x14ac:dyDescent="0.2">
      <c r="B2251" s="381"/>
    </row>
    <row r="2252" spans="2:2" x14ac:dyDescent="0.2">
      <c r="B2252" s="381"/>
    </row>
    <row r="2253" spans="2:2" x14ac:dyDescent="0.2">
      <c r="B2253" s="381"/>
    </row>
    <row r="2254" spans="2:2" x14ac:dyDescent="0.2">
      <c r="B2254" s="381"/>
    </row>
    <row r="2255" spans="2:2" x14ac:dyDescent="0.2">
      <c r="B2255" s="381"/>
    </row>
    <row r="2256" spans="2:2" x14ac:dyDescent="0.2">
      <c r="B2256" s="381"/>
    </row>
    <row r="2257" spans="2:2" x14ac:dyDescent="0.2">
      <c r="B2257" s="381"/>
    </row>
    <row r="2258" spans="2:2" x14ac:dyDescent="0.2">
      <c r="B2258" s="381"/>
    </row>
    <row r="2259" spans="2:2" x14ac:dyDescent="0.2">
      <c r="B2259" s="381"/>
    </row>
    <row r="2260" spans="2:2" x14ac:dyDescent="0.2">
      <c r="B2260" s="381"/>
    </row>
    <row r="2261" spans="2:2" x14ac:dyDescent="0.2">
      <c r="B2261" s="381"/>
    </row>
    <row r="2262" spans="2:2" x14ac:dyDescent="0.2">
      <c r="B2262" s="381"/>
    </row>
    <row r="2263" spans="2:2" x14ac:dyDescent="0.2">
      <c r="B2263" s="381"/>
    </row>
    <row r="2264" spans="2:2" x14ac:dyDescent="0.2">
      <c r="B2264" s="381"/>
    </row>
    <row r="2265" spans="2:2" x14ac:dyDescent="0.2">
      <c r="B2265" s="381"/>
    </row>
    <row r="2266" spans="2:2" x14ac:dyDescent="0.2">
      <c r="B2266" s="381"/>
    </row>
    <row r="2267" spans="2:2" x14ac:dyDescent="0.2">
      <c r="B2267" s="381"/>
    </row>
    <row r="2268" spans="2:2" x14ac:dyDescent="0.2">
      <c r="B2268" s="381"/>
    </row>
    <row r="2269" spans="2:2" x14ac:dyDescent="0.2">
      <c r="B2269" s="381"/>
    </row>
    <row r="2270" spans="2:2" x14ac:dyDescent="0.2">
      <c r="B2270" s="381"/>
    </row>
    <row r="2271" spans="2:2" x14ac:dyDescent="0.2">
      <c r="B2271" s="381"/>
    </row>
    <row r="2272" spans="2:2" x14ac:dyDescent="0.2">
      <c r="B2272" s="381"/>
    </row>
    <row r="2273" spans="2:2" x14ac:dyDescent="0.2">
      <c r="B2273" s="381"/>
    </row>
    <row r="2274" spans="2:2" x14ac:dyDescent="0.2">
      <c r="B2274" s="381"/>
    </row>
    <row r="2275" spans="2:2" x14ac:dyDescent="0.2">
      <c r="B2275" s="381"/>
    </row>
    <row r="2276" spans="2:2" x14ac:dyDescent="0.2">
      <c r="B2276" s="381"/>
    </row>
    <row r="2277" spans="2:2" x14ac:dyDescent="0.2">
      <c r="B2277" s="381"/>
    </row>
    <row r="2278" spans="2:2" x14ac:dyDescent="0.2">
      <c r="B2278" s="381"/>
    </row>
    <row r="2279" spans="2:2" x14ac:dyDescent="0.2">
      <c r="B2279" s="381"/>
    </row>
    <row r="2280" spans="2:2" x14ac:dyDescent="0.2">
      <c r="B2280" s="381"/>
    </row>
    <row r="2281" spans="2:2" x14ac:dyDescent="0.2">
      <c r="B2281" s="381"/>
    </row>
    <row r="2282" spans="2:2" x14ac:dyDescent="0.2">
      <c r="B2282" s="381"/>
    </row>
    <row r="2283" spans="2:2" x14ac:dyDescent="0.2">
      <c r="B2283" s="381"/>
    </row>
    <row r="2284" spans="2:2" x14ac:dyDescent="0.2">
      <c r="B2284" s="381"/>
    </row>
    <row r="2285" spans="2:2" x14ac:dyDescent="0.2">
      <c r="B2285" s="381"/>
    </row>
    <row r="2286" spans="2:2" x14ac:dyDescent="0.2">
      <c r="B2286" s="381"/>
    </row>
    <row r="2287" spans="2:2" x14ac:dyDescent="0.2">
      <c r="B2287" s="381"/>
    </row>
    <row r="2288" spans="2:2" x14ac:dyDescent="0.2">
      <c r="B2288" s="381"/>
    </row>
    <row r="2289" spans="2:2" x14ac:dyDescent="0.2">
      <c r="B2289" s="381"/>
    </row>
    <row r="2290" spans="2:2" x14ac:dyDescent="0.2">
      <c r="B2290" s="381"/>
    </row>
    <row r="2291" spans="2:2" x14ac:dyDescent="0.2">
      <c r="B2291" s="381"/>
    </row>
    <row r="2292" spans="2:2" x14ac:dyDescent="0.2">
      <c r="B2292" s="381"/>
    </row>
    <row r="2293" spans="2:2" x14ac:dyDescent="0.2">
      <c r="B2293" s="381"/>
    </row>
    <row r="2294" spans="2:2" x14ac:dyDescent="0.2">
      <c r="B2294" s="381"/>
    </row>
    <row r="2295" spans="2:2" x14ac:dyDescent="0.2">
      <c r="B2295" s="381"/>
    </row>
    <row r="2296" spans="2:2" x14ac:dyDescent="0.2">
      <c r="B2296" s="381"/>
    </row>
    <row r="2297" spans="2:2" x14ac:dyDescent="0.2">
      <c r="B2297" s="381"/>
    </row>
    <row r="2298" spans="2:2" x14ac:dyDescent="0.2">
      <c r="B2298" s="381"/>
    </row>
    <row r="2299" spans="2:2" x14ac:dyDescent="0.2">
      <c r="B2299" s="381"/>
    </row>
    <row r="2300" spans="2:2" x14ac:dyDescent="0.2">
      <c r="B2300" s="381"/>
    </row>
    <row r="2301" spans="2:2" x14ac:dyDescent="0.2">
      <c r="B2301" s="381"/>
    </row>
    <row r="2302" spans="2:2" x14ac:dyDescent="0.2">
      <c r="B2302" s="381"/>
    </row>
    <row r="2303" spans="2:2" x14ac:dyDescent="0.2">
      <c r="B2303" s="381"/>
    </row>
    <row r="2304" spans="2:2" x14ac:dyDescent="0.2">
      <c r="B2304" s="381"/>
    </row>
    <row r="2305" spans="2:2" x14ac:dyDescent="0.2">
      <c r="B2305" s="381"/>
    </row>
    <row r="2306" spans="2:2" x14ac:dyDescent="0.2">
      <c r="B2306" s="381"/>
    </row>
    <row r="2307" spans="2:2" x14ac:dyDescent="0.2">
      <c r="B2307" s="381"/>
    </row>
    <row r="2308" spans="2:2" x14ac:dyDescent="0.2">
      <c r="B2308" s="381"/>
    </row>
    <row r="2309" spans="2:2" x14ac:dyDescent="0.2">
      <c r="B2309" s="381"/>
    </row>
    <row r="2310" spans="2:2" x14ac:dyDescent="0.2">
      <c r="B2310" s="381"/>
    </row>
    <row r="2311" spans="2:2" x14ac:dyDescent="0.2">
      <c r="B2311" s="381"/>
    </row>
    <row r="2312" spans="2:2" x14ac:dyDescent="0.2">
      <c r="B2312" s="381"/>
    </row>
    <row r="2313" spans="2:2" x14ac:dyDescent="0.2">
      <c r="B2313" s="381"/>
    </row>
    <row r="2314" spans="2:2" x14ac:dyDescent="0.2">
      <c r="B2314" s="381"/>
    </row>
    <row r="2315" spans="2:2" x14ac:dyDescent="0.2">
      <c r="B2315" s="381"/>
    </row>
    <row r="2316" spans="2:2" x14ac:dyDescent="0.2">
      <c r="B2316" s="381"/>
    </row>
    <row r="2317" spans="2:2" x14ac:dyDescent="0.2">
      <c r="B2317" s="381"/>
    </row>
    <row r="2318" spans="2:2" x14ac:dyDescent="0.2">
      <c r="B2318" s="381"/>
    </row>
    <row r="2319" spans="2:2" x14ac:dyDescent="0.2">
      <c r="B2319" s="381"/>
    </row>
    <row r="2320" spans="2:2" x14ac:dyDescent="0.2">
      <c r="B2320" s="381"/>
    </row>
    <row r="2321" spans="2:2" x14ac:dyDescent="0.2">
      <c r="B2321" s="381"/>
    </row>
    <row r="2322" spans="2:2" x14ac:dyDescent="0.2">
      <c r="B2322" s="381"/>
    </row>
    <row r="2323" spans="2:2" x14ac:dyDescent="0.2">
      <c r="B2323" s="381"/>
    </row>
    <row r="2324" spans="2:2" x14ac:dyDescent="0.2">
      <c r="B2324" s="381"/>
    </row>
    <row r="2325" spans="2:2" x14ac:dyDescent="0.2">
      <c r="B2325" s="381"/>
    </row>
    <row r="2326" spans="2:2" x14ac:dyDescent="0.2">
      <c r="B2326" s="381"/>
    </row>
    <row r="2327" spans="2:2" x14ac:dyDescent="0.2">
      <c r="B2327" s="381"/>
    </row>
    <row r="2328" spans="2:2" x14ac:dyDescent="0.2">
      <c r="B2328" s="381"/>
    </row>
    <row r="2329" spans="2:2" x14ac:dyDescent="0.2">
      <c r="B2329" s="381"/>
    </row>
    <row r="2330" spans="2:2" x14ac:dyDescent="0.2">
      <c r="B2330" s="381"/>
    </row>
    <row r="2331" spans="2:2" x14ac:dyDescent="0.2">
      <c r="B2331" s="381"/>
    </row>
    <row r="2332" spans="2:2" x14ac:dyDescent="0.2">
      <c r="B2332" s="381"/>
    </row>
    <row r="2333" spans="2:2" x14ac:dyDescent="0.2">
      <c r="B2333" s="381"/>
    </row>
    <row r="2334" spans="2:2" x14ac:dyDescent="0.2">
      <c r="B2334" s="381"/>
    </row>
    <row r="2335" spans="2:2" x14ac:dyDescent="0.2">
      <c r="B2335" s="381"/>
    </row>
    <row r="2336" spans="2:2" x14ac:dyDescent="0.2">
      <c r="B2336" s="381"/>
    </row>
    <row r="2337" spans="2:2" x14ac:dyDescent="0.2">
      <c r="B2337" s="381"/>
    </row>
    <row r="2338" spans="2:2" x14ac:dyDescent="0.2">
      <c r="B2338" s="381"/>
    </row>
    <row r="2339" spans="2:2" x14ac:dyDescent="0.2">
      <c r="B2339" s="381"/>
    </row>
    <row r="2340" spans="2:2" x14ac:dyDescent="0.2">
      <c r="B2340" s="381"/>
    </row>
    <row r="2341" spans="2:2" x14ac:dyDescent="0.2">
      <c r="B2341" s="381"/>
    </row>
    <row r="2342" spans="2:2" x14ac:dyDescent="0.2">
      <c r="B2342" s="381"/>
    </row>
    <row r="2343" spans="2:2" x14ac:dyDescent="0.2">
      <c r="B2343" s="381"/>
    </row>
    <row r="2344" spans="2:2" x14ac:dyDescent="0.2">
      <c r="B2344" s="381"/>
    </row>
    <row r="2345" spans="2:2" x14ac:dyDescent="0.2">
      <c r="B2345" s="381"/>
    </row>
    <row r="2346" spans="2:2" x14ac:dyDescent="0.2">
      <c r="B2346" s="381"/>
    </row>
    <row r="2347" spans="2:2" x14ac:dyDescent="0.2">
      <c r="B2347" s="381"/>
    </row>
    <row r="2348" spans="2:2" x14ac:dyDescent="0.2">
      <c r="B2348" s="381"/>
    </row>
    <row r="2349" spans="2:2" x14ac:dyDescent="0.2">
      <c r="B2349" s="381"/>
    </row>
    <row r="2350" spans="2:2" x14ac:dyDescent="0.2">
      <c r="B2350" s="381"/>
    </row>
    <row r="2351" spans="2:2" x14ac:dyDescent="0.2">
      <c r="B2351" s="381"/>
    </row>
    <row r="2352" spans="2:2" x14ac:dyDescent="0.2">
      <c r="B2352" s="381"/>
    </row>
    <row r="2353" spans="2:2" x14ac:dyDescent="0.2">
      <c r="B2353" s="381"/>
    </row>
    <row r="2354" spans="2:2" x14ac:dyDescent="0.2">
      <c r="B2354" s="381"/>
    </row>
    <row r="2355" spans="2:2" x14ac:dyDescent="0.2">
      <c r="B2355" s="381"/>
    </row>
    <row r="2356" spans="2:2" x14ac:dyDescent="0.2">
      <c r="B2356" s="381"/>
    </row>
    <row r="2357" spans="2:2" x14ac:dyDescent="0.2">
      <c r="B2357" s="381"/>
    </row>
    <row r="2358" spans="2:2" x14ac:dyDescent="0.2">
      <c r="B2358" s="381"/>
    </row>
    <row r="2359" spans="2:2" x14ac:dyDescent="0.2">
      <c r="B2359" s="381"/>
    </row>
    <row r="2360" spans="2:2" x14ac:dyDescent="0.2">
      <c r="B2360" s="381"/>
    </row>
    <row r="2361" spans="2:2" x14ac:dyDescent="0.2">
      <c r="B2361" s="381"/>
    </row>
    <row r="2362" spans="2:2" x14ac:dyDescent="0.2">
      <c r="B2362" s="381"/>
    </row>
    <row r="2363" spans="2:2" x14ac:dyDescent="0.2">
      <c r="B2363" s="381"/>
    </row>
    <row r="2364" spans="2:2" x14ac:dyDescent="0.2">
      <c r="B2364" s="381"/>
    </row>
    <row r="2365" spans="2:2" x14ac:dyDescent="0.2">
      <c r="B2365" s="381"/>
    </row>
    <row r="2366" spans="2:2" x14ac:dyDescent="0.2">
      <c r="B2366" s="381"/>
    </row>
    <row r="2367" spans="2:2" x14ac:dyDescent="0.2">
      <c r="B2367" s="381"/>
    </row>
    <row r="2368" spans="2:2" x14ac:dyDescent="0.2">
      <c r="B2368" s="381"/>
    </row>
    <row r="2369" spans="2:2" x14ac:dyDescent="0.2">
      <c r="B2369" s="381"/>
    </row>
    <row r="2370" spans="2:2" x14ac:dyDescent="0.2">
      <c r="B2370" s="381"/>
    </row>
    <row r="2371" spans="2:2" x14ac:dyDescent="0.2">
      <c r="B2371" s="381"/>
    </row>
    <row r="2372" spans="2:2" x14ac:dyDescent="0.2">
      <c r="B2372" s="381"/>
    </row>
    <row r="2373" spans="2:2" x14ac:dyDescent="0.2">
      <c r="B2373" s="381"/>
    </row>
    <row r="2374" spans="2:2" x14ac:dyDescent="0.2">
      <c r="B2374" s="381"/>
    </row>
    <row r="2375" spans="2:2" x14ac:dyDescent="0.2">
      <c r="B2375" s="381"/>
    </row>
    <row r="2376" spans="2:2" x14ac:dyDescent="0.2">
      <c r="B2376" s="381"/>
    </row>
    <row r="2377" spans="2:2" x14ac:dyDescent="0.2">
      <c r="B2377" s="381"/>
    </row>
    <row r="2378" spans="2:2" x14ac:dyDescent="0.2">
      <c r="B2378" s="381"/>
    </row>
    <row r="2379" spans="2:2" x14ac:dyDescent="0.2">
      <c r="B2379" s="381"/>
    </row>
    <row r="2380" spans="2:2" x14ac:dyDescent="0.2">
      <c r="B2380" s="381"/>
    </row>
    <row r="2381" spans="2:2" x14ac:dyDescent="0.2">
      <c r="B2381" s="381"/>
    </row>
    <row r="2382" spans="2:2" x14ac:dyDescent="0.2">
      <c r="B2382" s="381"/>
    </row>
    <row r="2383" spans="2:2" x14ac:dyDescent="0.2">
      <c r="B2383" s="381"/>
    </row>
    <row r="2384" spans="2:2" x14ac:dyDescent="0.2">
      <c r="B2384" s="381"/>
    </row>
    <row r="2385" spans="2:2" x14ac:dyDescent="0.2">
      <c r="B2385" s="381"/>
    </row>
    <row r="2386" spans="2:2" x14ac:dyDescent="0.2">
      <c r="B2386" s="381"/>
    </row>
    <row r="2387" spans="2:2" x14ac:dyDescent="0.2">
      <c r="B2387" s="381"/>
    </row>
    <row r="2388" spans="2:2" x14ac:dyDescent="0.2">
      <c r="B2388" s="381"/>
    </row>
    <row r="2389" spans="2:2" x14ac:dyDescent="0.2">
      <c r="B2389" s="381"/>
    </row>
    <row r="2390" spans="2:2" x14ac:dyDescent="0.2">
      <c r="B2390" s="381"/>
    </row>
    <row r="2391" spans="2:2" x14ac:dyDescent="0.2">
      <c r="B2391" s="381"/>
    </row>
    <row r="2392" spans="2:2" x14ac:dyDescent="0.2">
      <c r="B2392" s="381"/>
    </row>
    <row r="2393" spans="2:2" x14ac:dyDescent="0.2">
      <c r="B2393" s="381"/>
    </row>
    <row r="2394" spans="2:2" x14ac:dyDescent="0.2">
      <c r="B2394" s="381"/>
    </row>
    <row r="2395" spans="2:2" x14ac:dyDescent="0.2">
      <c r="B2395" s="381"/>
    </row>
    <row r="2396" spans="2:2" x14ac:dyDescent="0.2">
      <c r="B2396" s="381"/>
    </row>
    <row r="2397" spans="2:2" x14ac:dyDescent="0.2">
      <c r="B2397" s="381"/>
    </row>
    <row r="2398" spans="2:2" x14ac:dyDescent="0.2">
      <c r="B2398" s="381"/>
    </row>
    <row r="2399" spans="2:2" x14ac:dyDescent="0.2">
      <c r="B2399" s="381"/>
    </row>
    <row r="2400" spans="2:2" x14ac:dyDescent="0.2">
      <c r="B2400" s="381"/>
    </row>
    <row r="2401" spans="2:2" x14ac:dyDescent="0.2">
      <c r="B2401" s="381"/>
    </row>
    <row r="2402" spans="2:2" x14ac:dyDescent="0.2">
      <c r="B2402" s="381"/>
    </row>
    <row r="2403" spans="2:2" x14ac:dyDescent="0.2">
      <c r="B2403" s="381"/>
    </row>
    <row r="2404" spans="2:2" x14ac:dyDescent="0.2">
      <c r="B2404" s="381"/>
    </row>
    <row r="2405" spans="2:2" x14ac:dyDescent="0.2">
      <c r="B2405" s="381"/>
    </row>
    <row r="2406" spans="2:2" x14ac:dyDescent="0.2">
      <c r="B2406" s="381"/>
    </row>
    <row r="2407" spans="2:2" x14ac:dyDescent="0.2">
      <c r="B2407" s="381"/>
    </row>
    <row r="2408" spans="2:2" x14ac:dyDescent="0.2">
      <c r="B2408" s="381"/>
    </row>
    <row r="2409" spans="2:2" x14ac:dyDescent="0.2">
      <c r="B2409" s="381"/>
    </row>
    <row r="2410" spans="2:2" x14ac:dyDescent="0.2">
      <c r="B2410" s="381"/>
    </row>
    <row r="2411" spans="2:2" x14ac:dyDescent="0.2">
      <c r="B2411" s="381"/>
    </row>
    <row r="2412" spans="2:2" x14ac:dyDescent="0.2">
      <c r="B2412" s="381"/>
    </row>
    <row r="2413" spans="2:2" x14ac:dyDescent="0.2">
      <c r="B2413" s="381"/>
    </row>
    <row r="2414" spans="2:2" x14ac:dyDescent="0.2">
      <c r="B2414" s="381"/>
    </row>
    <row r="2415" spans="2:2" x14ac:dyDescent="0.2">
      <c r="B2415" s="381"/>
    </row>
    <row r="2416" spans="2:2" x14ac:dyDescent="0.2">
      <c r="B2416" s="381"/>
    </row>
    <row r="2417" spans="2:2" x14ac:dyDescent="0.2">
      <c r="B2417" s="381"/>
    </row>
    <row r="2418" spans="2:2" x14ac:dyDescent="0.2">
      <c r="B2418" s="381"/>
    </row>
    <row r="2419" spans="2:2" x14ac:dyDescent="0.2">
      <c r="B2419" s="381"/>
    </row>
    <row r="2420" spans="2:2" x14ac:dyDescent="0.2">
      <c r="B2420" s="381"/>
    </row>
    <row r="2421" spans="2:2" x14ac:dyDescent="0.2">
      <c r="B2421" s="381"/>
    </row>
    <row r="2422" spans="2:2" x14ac:dyDescent="0.2">
      <c r="B2422" s="381"/>
    </row>
    <row r="2423" spans="2:2" x14ac:dyDescent="0.2">
      <c r="B2423" s="381"/>
    </row>
    <row r="2424" spans="2:2" x14ac:dyDescent="0.2">
      <c r="B2424" s="381"/>
    </row>
    <row r="2425" spans="2:2" x14ac:dyDescent="0.2">
      <c r="B2425" s="381"/>
    </row>
    <row r="2426" spans="2:2" x14ac:dyDescent="0.2">
      <c r="B2426" s="381"/>
    </row>
    <row r="2427" spans="2:2" x14ac:dyDescent="0.2">
      <c r="B2427" s="381"/>
    </row>
    <row r="2428" spans="2:2" x14ac:dyDescent="0.2">
      <c r="B2428" s="381"/>
    </row>
    <row r="2429" spans="2:2" x14ac:dyDescent="0.2">
      <c r="B2429" s="381"/>
    </row>
    <row r="2430" spans="2:2" x14ac:dyDescent="0.2">
      <c r="B2430" s="381"/>
    </row>
    <row r="2431" spans="2:2" x14ac:dyDescent="0.2">
      <c r="B2431" s="381"/>
    </row>
    <row r="2432" spans="2:2" x14ac:dyDescent="0.2">
      <c r="B2432" s="381"/>
    </row>
    <row r="2433" spans="2:2" x14ac:dyDescent="0.2">
      <c r="B2433" s="381"/>
    </row>
    <row r="2434" spans="2:2" x14ac:dyDescent="0.2">
      <c r="B2434" s="381"/>
    </row>
    <row r="2435" spans="2:2" x14ac:dyDescent="0.2">
      <c r="B2435" s="381"/>
    </row>
    <row r="2436" spans="2:2" x14ac:dyDescent="0.2">
      <c r="B2436" s="381"/>
    </row>
    <row r="2437" spans="2:2" x14ac:dyDescent="0.2">
      <c r="B2437" s="381"/>
    </row>
    <row r="2438" spans="2:2" x14ac:dyDescent="0.2">
      <c r="B2438" s="381"/>
    </row>
    <row r="2439" spans="2:2" x14ac:dyDescent="0.2">
      <c r="B2439" s="381"/>
    </row>
    <row r="2440" spans="2:2" x14ac:dyDescent="0.2">
      <c r="B2440" s="381"/>
    </row>
    <row r="2441" spans="2:2" x14ac:dyDescent="0.2">
      <c r="B2441" s="381"/>
    </row>
    <row r="2442" spans="2:2" x14ac:dyDescent="0.2">
      <c r="B2442" s="381"/>
    </row>
    <row r="2443" spans="2:2" x14ac:dyDescent="0.2">
      <c r="B2443" s="381"/>
    </row>
    <row r="2444" spans="2:2" x14ac:dyDescent="0.2">
      <c r="B2444" s="381"/>
    </row>
    <row r="2445" spans="2:2" x14ac:dyDescent="0.2">
      <c r="B2445" s="381"/>
    </row>
    <row r="2446" spans="2:2" x14ac:dyDescent="0.2">
      <c r="B2446" s="381"/>
    </row>
    <row r="2447" spans="2:2" x14ac:dyDescent="0.2">
      <c r="B2447" s="381"/>
    </row>
    <row r="2448" spans="2:2" x14ac:dyDescent="0.2">
      <c r="B2448" s="381"/>
    </row>
    <row r="2449" spans="2:2" x14ac:dyDescent="0.2">
      <c r="B2449" s="381"/>
    </row>
    <row r="2450" spans="2:2" x14ac:dyDescent="0.2">
      <c r="B2450" s="381"/>
    </row>
    <row r="2451" spans="2:2" x14ac:dyDescent="0.2">
      <c r="B2451" s="381"/>
    </row>
    <row r="2452" spans="2:2" x14ac:dyDescent="0.2">
      <c r="B2452" s="381"/>
    </row>
    <row r="2453" spans="2:2" x14ac:dyDescent="0.2">
      <c r="B2453" s="381"/>
    </row>
    <row r="2454" spans="2:2" x14ac:dyDescent="0.2">
      <c r="B2454" s="381"/>
    </row>
    <row r="2455" spans="2:2" x14ac:dyDescent="0.2">
      <c r="B2455" s="381"/>
    </row>
    <row r="2456" spans="2:2" x14ac:dyDescent="0.2">
      <c r="B2456" s="381"/>
    </row>
    <row r="2457" spans="2:2" x14ac:dyDescent="0.2">
      <c r="B2457" s="381"/>
    </row>
    <row r="2458" spans="2:2" x14ac:dyDescent="0.2">
      <c r="B2458" s="381"/>
    </row>
    <row r="2459" spans="2:2" x14ac:dyDescent="0.2">
      <c r="B2459" s="381"/>
    </row>
    <row r="2460" spans="2:2" x14ac:dyDescent="0.2">
      <c r="B2460" s="381"/>
    </row>
    <row r="2461" spans="2:2" x14ac:dyDescent="0.2">
      <c r="B2461" s="381"/>
    </row>
    <row r="2462" spans="2:2" x14ac:dyDescent="0.2">
      <c r="B2462" s="381"/>
    </row>
    <row r="2463" spans="2:2" x14ac:dyDescent="0.2">
      <c r="B2463" s="381"/>
    </row>
    <row r="2464" spans="2:2" x14ac:dyDescent="0.2">
      <c r="B2464" s="381"/>
    </row>
    <row r="2465" spans="2:2" x14ac:dyDescent="0.2">
      <c r="B2465" s="381"/>
    </row>
    <row r="2466" spans="2:2" x14ac:dyDescent="0.2">
      <c r="B2466" s="381"/>
    </row>
    <row r="2467" spans="2:2" x14ac:dyDescent="0.2">
      <c r="B2467" s="381"/>
    </row>
    <row r="2468" spans="2:2" x14ac:dyDescent="0.2">
      <c r="B2468" s="381"/>
    </row>
    <row r="2469" spans="2:2" x14ac:dyDescent="0.2">
      <c r="B2469" s="381"/>
    </row>
    <row r="2470" spans="2:2" x14ac:dyDescent="0.2">
      <c r="B2470" s="381"/>
    </row>
    <row r="2471" spans="2:2" x14ac:dyDescent="0.2">
      <c r="B2471" s="381"/>
    </row>
    <row r="2472" spans="2:2" x14ac:dyDescent="0.2">
      <c r="B2472" s="381"/>
    </row>
    <row r="2473" spans="2:2" x14ac:dyDescent="0.2">
      <c r="B2473" s="381"/>
    </row>
    <row r="2474" spans="2:2" x14ac:dyDescent="0.2">
      <c r="B2474" s="381"/>
    </row>
    <row r="2475" spans="2:2" x14ac:dyDescent="0.2">
      <c r="B2475" s="381"/>
    </row>
    <row r="2476" spans="2:2" x14ac:dyDescent="0.2">
      <c r="B2476" s="381"/>
    </row>
    <row r="2477" spans="2:2" x14ac:dyDescent="0.2">
      <c r="B2477" s="381"/>
    </row>
    <row r="2478" spans="2:2" x14ac:dyDescent="0.2">
      <c r="B2478" s="381"/>
    </row>
    <row r="2479" spans="2:2" x14ac:dyDescent="0.2">
      <c r="B2479" s="381"/>
    </row>
    <row r="2480" spans="2:2" x14ac:dyDescent="0.2">
      <c r="B2480" s="381"/>
    </row>
    <row r="2481" spans="2:2" x14ac:dyDescent="0.2">
      <c r="B2481" s="381"/>
    </row>
    <row r="2482" spans="2:2" x14ac:dyDescent="0.2">
      <c r="B2482" s="381"/>
    </row>
    <row r="2483" spans="2:2" x14ac:dyDescent="0.2">
      <c r="B2483" s="381"/>
    </row>
    <row r="2484" spans="2:2" x14ac:dyDescent="0.2">
      <c r="B2484" s="381"/>
    </row>
    <row r="2485" spans="2:2" x14ac:dyDescent="0.2">
      <c r="B2485" s="381"/>
    </row>
    <row r="2486" spans="2:2" x14ac:dyDescent="0.2">
      <c r="B2486" s="381"/>
    </row>
    <row r="2487" spans="2:2" x14ac:dyDescent="0.2">
      <c r="B2487" s="381"/>
    </row>
    <row r="2488" spans="2:2" x14ac:dyDescent="0.2">
      <c r="B2488" s="381"/>
    </row>
    <row r="2489" spans="2:2" x14ac:dyDescent="0.2">
      <c r="B2489" s="381"/>
    </row>
    <row r="2490" spans="2:2" x14ac:dyDescent="0.2">
      <c r="B2490" s="381"/>
    </row>
    <row r="2491" spans="2:2" x14ac:dyDescent="0.2">
      <c r="B2491" s="381"/>
    </row>
    <row r="2492" spans="2:2" x14ac:dyDescent="0.2">
      <c r="B2492" s="381"/>
    </row>
    <row r="2493" spans="2:2" x14ac:dyDescent="0.2">
      <c r="B2493" s="381"/>
    </row>
    <row r="2494" spans="2:2" x14ac:dyDescent="0.2">
      <c r="B2494" s="381"/>
    </row>
    <row r="2495" spans="2:2" x14ac:dyDescent="0.2">
      <c r="B2495" s="381"/>
    </row>
    <row r="2496" spans="2:2" x14ac:dyDescent="0.2">
      <c r="B2496" s="381"/>
    </row>
    <row r="2497" spans="2:2" x14ac:dyDescent="0.2">
      <c r="B2497" s="381"/>
    </row>
    <row r="2498" spans="2:2" x14ac:dyDescent="0.2">
      <c r="B2498" s="381"/>
    </row>
    <row r="2499" spans="2:2" x14ac:dyDescent="0.2">
      <c r="B2499" s="381"/>
    </row>
    <row r="2500" spans="2:2" x14ac:dyDescent="0.2">
      <c r="B2500" s="381"/>
    </row>
    <row r="2501" spans="2:2" x14ac:dyDescent="0.2">
      <c r="B2501" s="381"/>
    </row>
    <row r="2502" spans="2:2" x14ac:dyDescent="0.2">
      <c r="B2502" s="381"/>
    </row>
    <row r="2503" spans="2:2" x14ac:dyDescent="0.2">
      <c r="B2503" s="381"/>
    </row>
    <row r="2504" spans="2:2" x14ac:dyDescent="0.2">
      <c r="B2504" s="381"/>
    </row>
    <row r="2505" spans="2:2" x14ac:dyDescent="0.2">
      <c r="B2505" s="381"/>
    </row>
    <row r="2506" spans="2:2" x14ac:dyDescent="0.2">
      <c r="B2506" s="381"/>
    </row>
    <row r="2507" spans="2:2" x14ac:dyDescent="0.2">
      <c r="B2507" s="381"/>
    </row>
    <row r="2508" spans="2:2" x14ac:dyDescent="0.2">
      <c r="B2508" s="381"/>
    </row>
    <row r="2509" spans="2:2" x14ac:dyDescent="0.2">
      <c r="B2509" s="381"/>
    </row>
    <row r="2510" spans="2:2" x14ac:dyDescent="0.2">
      <c r="B2510" s="381"/>
    </row>
    <row r="2511" spans="2:2" x14ac:dyDescent="0.2">
      <c r="B2511" s="381"/>
    </row>
    <row r="2512" spans="2:2" x14ac:dyDescent="0.2">
      <c r="B2512" s="381"/>
    </row>
    <row r="2513" spans="2:2" x14ac:dyDescent="0.2">
      <c r="B2513" s="381"/>
    </row>
    <row r="2514" spans="2:2" x14ac:dyDescent="0.2">
      <c r="B2514" s="381"/>
    </row>
    <row r="2515" spans="2:2" x14ac:dyDescent="0.2">
      <c r="B2515" s="381"/>
    </row>
    <row r="2516" spans="2:2" x14ac:dyDescent="0.2">
      <c r="B2516" s="381"/>
    </row>
    <row r="2517" spans="2:2" x14ac:dyDescent="0.2">
      <c r="B2517" s="381"/>
    </row>
    <row r="2518" spans="2:2" x14ac:dyDescent="0.2">
      <c r="B2518" s="381"/>
    </row>
    <row r="2519" spans="2:2" x14ac:dyDescent="0.2">
      <c r="B2519" s="381"/>
    </row>
    <row r="2520" spans="2:2" x14ac:dyDescent="0.2">
      <c r="B2520" s="381"/>
    </row>
    <row r="2521" spans="2:2" x14ac:dyDescent="0.2">
      <c r="B2521" s="381"/>
    </row>
    <row r="2522" spans="2:2" x14ac:dyDescent="0.2">
      <c r="B2522" s="381"/>
    </row>
    <row r="2523" spans="2:2" x14ac:dyDescent="0.2">
      <c r="B2523" s="381"/>
    </row>
    <row r="2524" spans="2:2" x14ac:dyDescent="0.2">
      <c r="B2524" s="381"/>
    </row>
    <row r="2525" spans="2:2" x14ac:dyDescent="0.2">
      <c r="B2525" s="381"/>
    </row>
    <row r="2526" spans="2:2" x14ac:dyDescent="0.2">
      <c r="B2526" s="381"/>
    </row>
    <row r="2527" spans="2:2" x14ac:dyDescent="0.2">
      <c r="B2527" s="381"/>
    </row>
    <row r="2528" spans="2:2" x14ac:dyDescent="0.2">
      <c r="B2528" s="381"/>
    </row>
    <row r="2529" spans="2:2" x14ac:dyDescent="0.2">
      <c r="B2529" s="381"/>
    </row>
    <row r="2530" spans="2:2" x14ac:dyDescent="0.2">
      <c r="B2530" s="381"/>
    </row>
    <row r="2531" spans="2:2" x14ac:dyDescent="0.2">
      <c r="B2531" s="381"/>
    </row>
    <row r="2532" spans="2:2" x14ac:dyDescent="0.2">
      <c r="B2532" s="381"/>
    </row>
    <row r="2533" spans="2:2" x14ac:dyDescent="0.2">
      <c r="B2533" s="381"/>
    </row>
    <row r="2534" spans="2:2" x14ac:dyDescent="0.2">
      <c r="B2534" s="381"/>
    </row>
    <row r="2535" spans="2:2" x14ac:dyDescent="0.2">
      <c r="B2535" s="381"/>
    </row>
    <row r="2536" spans="2:2" x14ac:dyDescent="0.2">
      <c r="B2536" s="381"/>
    </row>
    <row r="2537" spans="2:2" x14ac:dyDescent="0.2">
      <c r="B2537" s="381"/>
    </row>
    <row r="2538" spans="2:2" x14ac:dyDescent="0.2">
      <c r="B2538" s="381"/>
    </row>
    <row r="2539" spans="2:2" x14ac:dyDescent="0.2">
      <c r="B2539" s="381"/>
    </row>
    <row r="2540" spans="2:2" x14ac:dyDescent="0.2">
      <c r="B2540" s="381"/>
    </row>
    <row r="2541" spans="2:2" x14ac:dyDescent="0.2">
      <c r="B2541" s="381"/>
    </row>
    <row r="2542" spans="2:2" x14ac:dyDescent="0.2">
      <c r="B2542" s="381"/>
    </row>
    <row r="2543" spans="2:2" x14ac:dyDescent="0.2">
      <c r="B2543" s="381"/>
    </row>
    <row r="2544" spans="2:2" x14ac:dyDescent="0.2">
      <c r="B2544" s="381"/>
    </row>
    <row r="2545" spans="2:2" x14ac:dyDescent="0.2">
      <c r="B2545" s="381"/>
    </row>
    <row r="2546" spans="2:2" x14ac:dyDescent="0.2">
      <c r="B2546" s="381"/>
    </row>
    <row r="2547" spans="2:2" x14ac:dyDescent="0.2">
      <c r="B2547" s="381"/>
    </row>
    <row r="2548" spans="2:2" x14ac:dyDescent="0.2">
      <c r="B2548" s="381"/>
    </row>
    <row r="2549" spans="2:2" x14ac:dyDescent="0.2">
      <c r="B2549" s="381"/>
    </row>
    <row r="2550" spans="2:2" x14ac:dyDescent="0.2">
      <c r="B2550" s="381"/>
    </row>
    <row r="2551" spans="2:2" x14ac:dyDescent="0.2">
      <c r="B2551" s="381"/>
    </row>
    <row r="2552" spans="2:2" x14ac:dyDescent="0.2">
      <c r="B2552" s="381"/>
    </row>
    <row r="2553" spans="2:2" x14ac:dyDescent="0.2">
      <c r="B2553" s="381"/>
    </row>
    <row r="2554" spans="2:2" x14ac:dyDescent="0.2">
      <c r="B2554" s="381"/>
    </row>
    <row r="2555" spans="2:2" x14ac:dyDescent="0.2">
      <c r="B2555" s="381"/>
    </row>
    <row r="2556" spans="2:2" x14ac:dyDescent="0.2">
      <c r="B2556" s="381"/>
    </row>
    <row r="2557" spans="2:2" x14ac:dyDescent="0.2">
      <c r="B2557" s="381"/>
    </row>
    <row r="2558" spans="2:2" x14ac:dyDescent="0.2">
      <c r="B2558" s="381"/>
    </row>
    <row r="2559" spans="2:2" x14ac:dyDescent="0.2">
      <c r="B2559" s="381"/>
    </row>
    <row r="2560" spans="2:2" x14ac:dyDescent="0.2">
      <c r="B2560" s="381"/>
    </row>
    <row r="2561" spans="2:2" x14ac:dyDescent="0.2">
      <c r="B2561" s="381"/>
    </row>
    <row r="2562" spans="2:2" x14ac:dyDescent="0.2">
      <c r="B2562" s="381"/>
    </row>
    <row r="2563" spans="2:2" x14ac:dyDescent="0.2">
      <c r="B2563" s="381"/>
    </row>
    <row r="2564" spans="2:2" x14ac:dyDescent="0.2">
      <c r="B2564" s="381"/>
    </row>
    <row r="2565" spans="2:2" x14ac:dyDescent="0.2">
      <c r="B2565" s="381"/>
    </row>
    <row r="2566" spans="2:2" x14ac:dyDescent="0.2">
      <c r="B2566" s="381"/>
    </row>
    <row r="2567" spans="2:2" x14ac:dyDescent="0.2">
      <c r="B2567" s="381"/>
    </row>
    <row r="2568" spans="2:2" x14ac:dyDescent="0.2">
      <c r="B2568" s="381"/>
    </row>
    <row r="2569" spans="2:2" x14ac:dyDescent="0.2">
      <c r="B2569" s="381"/>
    </row>
    <row r="2570" spans="2:2" x14ac:dyDescent="0.2">
      <c r="B2570" s="381"/>
    </row>
    <row r="2571" spans="2:2" x14ac:dyDescent="0.2">
      <c r="B2571" s="381"/>
    </row>
    <row r="2572" spans="2:2" x14ac:dyDescent="0.2">
      <c r="B2572" s="381"/>
    </row>
    <row r="2573" spans="2:2" x14ac:dyDescent="0.2">
      <c r="B2573" s="381"/>
    </row>
    <row r="2574" spans="2:2" x14ac:dyDescent="0.2">
      <c r="B2574" s="381"/>
    </row>
    <row r="2575" spans="2:2" x14ac:dyDescent="0.2">
      <c r="B2575" s="381"/>
    </row>
    <row r="2576" spans="2:2" x14ac:dyDescent="0.2">
      <c r="B2576" s="381"/>
    </row>
    <row r="2577" spans="2:2" x14ac:dyDescent="0.2">
      <c r="B2577" s="381"/>
    </row>
    <row r="2578" spans="2:2" x14ac:dyDescent="0.2">
      <c r="B2578" s="381"/>
    </row>
    <row r="2579" spans="2:2" x14ac:dyDescent="0.2">
      <c r="B2579" s="381"/>
    </row>
    <row r="2580" spans="2:2" x14ac:dyDescent="0.2">
      <c r="B2580" s="381"/>
    </row>
    <row r="2581" spans="2:2" x14ac:dyDescent="0.2">
      <c r="B2581" s="381"/>
    </row>
    <row r="2582" spans="2:2" x14ac:dyDescent="0.2">
      <c r="B2582" s="381"/>
    </row>
    <row r="2583" spans="2:2" x14ac:dyDescent="0.2">
      <c r="B2583" s="381"/>
    </row>
    <row r="2584" spans="2:2" x14ac:dyDescent="0.2">
      <c r="B2584" s="381"/>
    </row>
    <row r="2585" spans="2:2" x14ac:dyDescent="0.2">
      <c r="B2585" s="381"/>
    </row>
    <row r="2586" spans="2:2" x14ac:dyDescent="0.2">
      <c r="B2586" s="381"/>
    </row>
    <row r="2587" spans="2:2" x14ac:dyDescent="0.2">
      <c r="B2587" s="381"/>
    </row>
    <row r="2588" spans="2:2" x14ac:dyDescent="0.2">
      <c r="B2588" s="381"/>
    </row>
    <row r="2589" spans="2:2" x14ac:dyDescent="0.2">
      <c r="B2589" s="381"/>
    </row>
    <row r="2590" spans="2:2" x14ac:dyDescent="0.2">
      <c r="B2590" s="381"/>
    </row>
    <row r="2591" spans="2:2" x14ac:dyDescent="0.2">
      <c r="B2591" s="381"/>
    </row>
    <row r="2592" spans="2:2" x14ac:dyDescent="0.2">
      <c r="B2592" s="381"/>
    </row>
    <row r="2593" spans="2:2" x14ac:dyDescent="0.2">
      <c r="B2593" s="381"/>
    </row>
    <row r="2594" spans="2:2" x14ac:dyDescent="0.2">
      <c r="B2594" s="381"/>
    </row>
    <row r="2595" spans="2:2" x14ac:dyDescent="0.2">
      <c r="B2595" s="381"/>
    </row>
    <row r="2596" spans="2:2" x14ac:dyDescent="0.2">
      <c r="B2596" s="381"/>
    </row>
    <row r="2597" spans="2:2" x14ac:dyDescent="0.2">
      <c r="B2597" s="381"/>
    </row>
    <row r="2598" spans="2:2" x14ac:dyDescent="0.2">
      <c r="B2598" s="381"/>
    </row>
    <row r="2599" spans="2:2" x14ac:dyDescent="0.2">
      <c r="B2599" s="381"/>
    </row>
    <row r="2600" spans="2:2" x14ac:dyDescent="0.2">
      <c r="B2600" s="381"/>
    </row>
    <row r="2601" spans="2:2" x14ac:dyDescent="0.2">
      <c r="B2601" s="381"/>
    </row>
    <row r="2602" spans="2:2" x14ac:dyDescent="0.2">
      <c r="B2602" s="381"/>
    </row>
    <row r="2603" spans="2:2" x14ac:dyDescent="0.2">
      <c r="B2603" s="381"/>
    </row>
    <row r="2604" spans="2:2" x14ac:dyDescent="0.2">
      <c r="B2604" s="381"/>
    </row>
    <row r="2605" spans="2:2" x14ac:dyDescent="0.2">
      <c r="B2605" s="381"/>
    </row>
    <row r="2606" spans="2:2" x14ac:dyDescent="0.2">
      <c r="B2606" s="381"/>
    </row>
    <row r="2607" spans="2:2" x14ac:dyDescent="0.2">
      <c r="B2607" s="381"/>
    </row>
    <row r="2608" spans="2:2" x14ac:dyDescent="0.2">
      <c r="B2608" s="381"/>
    </row>
    <row r="2609" spans="2:2" x14ac:dyDescent="0.2">
      <c r="B2609" s="381"/>
    </row>
    <row r="2610" spans="2:2" x14ac:dyDescent="0.2">
      <c r="B2610" s="381"/>
    </row>
    <row r="2611" spans="2:2" x14ac:dyDescent="0.2">
      <c r="B2611" s="381"/>
    </row>
    <row r="2612" spans="2:2" x14ac:dyDescent="0.2">
      <c r="B2612" s="381"/>
    </row>
    <row r="2613" spans="2:2" x14ac:dyDescent="0.2">
      <c r="B2613" s="381"/>
    </row>
    <row r="2614" spans="2:2" x14ac:dyDescent="0.2">
      <c r="B2614" s="381"/>
    </row>
    <row r="2615" spans="2:2" x14ac:dyDescent="0.2">
      <c r="B2615" s="381"/>
    </row>
    <row r="2616" spans="2:2" x14ac:dyDescent="0.2">
      <c r="B2616" s="381"/>
    </row>
    <row r="2617" spans="2:2" x14ac:dyDescent="0.2">
      <c r="B2617" s="381"/>
    </row>
    <row r="2618" spans="2:2" x14ac:dyDescent="0.2">
      <c r="B2618" s="381"/>
    </row>
    <row r="2619" spans="2:2" x14ac:dyDescent="0.2">
      <c r="B2619" s="381"/>
    </row>
    <row r="2620" spans="2:2" x14ac:dyDescent="0.2">
      <c r="B2620" s="381"/>
    </row>
    <row r="2621" spans="2:2" x14ac:dyDescent="0.2">
      <c r="B2621" s="381"/>
    </row>
    <row r="2622" spans="2:2" x14ac:dyDescent="0.2">
      <c r="B2622" s="381"/>
    </row>
    <row r="2623" spans="2:2" x14ac:dyDescent="0.2">
      <c r="B2623" s="381"/>
    </row>
    <row r="2624" spans="2:2" x14ac:dyDescent="0.2">
      <c r="B2624" s="381"/>
    </row>
    <row r="2625" spans="2:2" x14ac:dyDescent="0.2">
      <c r="B2625" s="381"/>
    </row>
    <row r="2626" spans="2:2" x14ac:dyDescent="0.2">
      <c r="B2626" s="381"/>
    </row>
    <row r="2627" spans="2:2" x14ac:dyDescent="0.2">
      <c r="B2627" s="381"/>
    </row>
    <row r="2628" spans="2:2" x14ac:dyDescent="0.2">
      <c r="B2628" s="381"/>
    </row>
    <row r="2629" spans="2:2" x14ac:dyDescent="0.2">
      <c r="B2629" s="381"/>
    </row>
    <row r="2630" spans="2:2" x14ac:dyDescent="0.2">
      <c r="B2630" s="381"/>
    </row>
    <row r="2631" spans="2:2" x14ac:dyDescent="0.2">
      <c r="B2631" s="381"/>
    </row>
    <row r="2632" spans="2:2" x14ac:dyDescent="0.2">
      <c r="B2632" s="381"/>
    </row>
    <row r="2633" spans="2:2" x14ac:dyDescent="0.2">
      <c r="B2633" s="381"/>
    </row>
    <row r="2634" spans="2:2" x14ac:dyDescent="0.2">
      <c r="B2634" s="381"/>
    </row>
    <row r="2635" spans="2:2" x14ac:dyDescent="0.2">
      <c r="B2635" s="381"/>
    </row>
    <row r="2636" spans="2:2" x14ac:dyDescent="0.2">
      <c r="B2636" s="381"/>
    </row>
    <row r="2637" spans="2:2" x14ac:dyDescent="0.2">
      <c r="B2637" s="381"/>
    </row>
    <row r="2638" spans="2:2" x14ac:dyDescent="0.2">
      <c r="B2638" s="381"/>
    </row>
    <row r="2639" spans="2:2" x14ac:dyDescent="0.2">
      <c r="B2639" s="381"/>
    </row>
    <row r="2640" spans="2:2" x14ac:dyDescent="0.2">
      <c r="B2640" s="381"/>
    </row>
    <row r="2641" spans="2:2" x14ac:dyDescent="0.2">
      <c r="B2641" s="381"/>
    </row>
    <row r="2642" spans="2:2" x14ac:dyDescent="0.2">
      <c r="B2642" s="381"/>
    </row>
    <row r="2643" spans="2:2" x14ac:dyDescent="0.2">
      <c r="B2643" s="381"/>
    </row>
    <row r="2644" spans="2:2" x14ac:dyDescent="0.2">
      <c r="B2644" s="381"/>
    </row>
    <row r="2645" spans="2:2" x14ac:dyDescent="0.2">
      <c r="B2645" s="381"/>
    </row>
    <row r="2646" spans="2:2" x14ac:dyDescent="0.2">
      <c r="B2646" s="381"/>
    </row>
    <row r="2647" spans="2:2" x14ac:dyDescent="0.2">
      <c r="B2647" s="381"/>
    </row>
    <row r="2648" spans="2:2" x14ac:dyDescent="0.2">
      <c r="B2648" s="381"/>
    </row>
    <row r="2649" spans="2:2" x14ac:dyDescent="0.2">
      <c r="B2649" s="381"/>
    </row>
    <row r="2650" spans="2:2" x14ac:dyDescent="0.2">
      <c r="B2650" s="381"/>
    </row>
    <row r="2651" spans="2:2" x14ac:dyDescent="0.2">
      <c r="B2651" s="381"/>
    </row>
    <row r="2652" spans="2:2" x14ac:dyDescent="0.2">
      <c r="B2652" s="381"/>
    </row>
    <row r="2653" spans="2:2" x14ac:dyDescent="0.2">
      <c r="B2653" s="381"/>
    </row>
    <row r="2654" spans="2:2" x14ac:dyDescent="0.2">
      <c r="B2654" s="381"/>
    </row>
    <row r="2655" spans="2:2" x14ac:dyDescent="0.2">
      <c r="B2655" s="381"/>
    </row>
    <row r="2656" spans="2:2" x14ac:dyDescent="0.2">
      <c r="B2656" s="381"/>
    </row>
    <row r="2657" spans="2:2" x14ac:dyDescent="0.2">
      <c r="B2657" s="381"/>
    </row>
    <row r="2658" spans="2:2" x14ac:dyDescent="0.2">
      <c r="B2658" s="381"/>
    </row>
    <row r="2659" spans="2:2" x14ac:dyDescent="0.2">
      <c r="B2659" s="381"/>
    </row>
    <row r="2660" spans="2:2" x14ac:dyDescent="0.2">
      <c r="B2660" s="381"/>
    </row>
    <row r="2661" spans="2:2" x14ac:dyDescent="0.2">
      <c r="B2661" s="381"/>
    </row>
    <row r="2662" spans="2:2" x14ac:dyDescent="0.2">
      <c r="B2662" s="381"/>
    </row>
    <row r="2663" spans="2:2" x14ac:dyDescent="0.2">
      <c r="B2663" s="381"/>
    </row>
    <row r="2664" spans="2:2" x14ac:dyDescent="0.2">
      <c r="B2664" s="381"/>
    </row>
    <row r="2665" spans="2:2" x14ac:dyDescent="0.2">
      <c r="B2665" s="381"/>
    </row>
    <row r="2666" spans="2:2" x14ac:dyDescent="0.2">
      <c r="B2666" s="381"/>
    </row>
    <row r="2667" spans="2:2" x14ac:dyDescent="0.2">
      <c r="B2667" s="381"/>
    </row>
    <row r="2668" spans="2:2" x14ac:dyDescent="0.2">
      <c r="B2668" s="381"/>
    </row>
    <row r="2669" spans="2:2" x14ac:dyDescent="0.2">
      <c r="B2669" s="381"/>
    </row>
    <row r="2670" spans="2:2" x14ac:dyDescent="0.2">
      <c r="B2670" s="381"/>
    </row>
    <row r="2671" spans="2:2" x14ac:dyDescent="0.2">
      <c r="B2671" s="381"/>
    </row>
    <row r="2672" spans="2:2" x14ac:dyDescent="0.2">
      <c r="B2672" s="381"/>
    </row>
    <row r="2673" spans="2:2" x14ac:dyDescent="0.2">
      <c r="B2673" s="381"/>
    </row>
    <row r="2674" spans="2:2" x14ac:dyDescent="0.2">
      <c r="B2674" s="381"/>
    </row>
    <row r="2675" spans="2:2" x14ac:dyDescent="0.2">
      <c r="B2675" s="381"/>
    </row>
    <row r="2676" spans="2:2" x14ac:dyDescent="0.2">
      <c r="B2676" s="381"/>
    </row>
    <row r="2677" spans="2:2" x14ac:dyDescent="0.2">
      <c r="B2677" s="381"/>
    </row>
    <row r="2678" spans="2:2" x14ac:dyDescent="0.2">
      <c r="B2678" s="381"/>
    </row>
    <row r="2679" spans="2:2" x14ac:dyDescent="0.2">
      <c r="B2679" s="381"/>
    </row>
    <row r="2680" spans="2:2" x14ac:dyDescent="0.2">
      <c r="B2680" s="381"/>
    </row>
    <row r="2681" spans="2:2" x14ac:dyDescent="0.2">
      <c r="B2681" s="381"/>
    </row>
    <row r="2682" spans="2:2" x14ac:dyDescent="0.2">
      <c r="B2682" s="381"/>
    </row>
    <row r="2683" spans="2:2" x14ac:dyDescent="0.2">
      <c r="B2683" s="381"/>
    </row>
    <row r="2684" spans="2:2" x14ac:dyDescent="0.2">
      <c r="B2684" s="381"/>
    </row>
    <row r="2685" spans="2:2" x14ac:dyDescent="0.2">
      <c r="B2685" s="381"/>
    </row>
    <row r="2686" spans="2:2" x14ac:dyDescent="0.2">
      <c r="B2686" s="381"/>
    </row>
    <row r="2687" spans="2:2" x14ac:dyDescent="0.2">
      <c r="B2687" s="381"/>
    </row>
    <row r="2688" spans="2:2" x14ac:dyDescent="0.2">
      <c r="B2688" s="381"/>
    </row>
    <row r="2689" spans="2:2" x14ac:dyDescent="0.2">
      <c r="B2689" s="381"/>
    </row>
    <row r="2690" spans="2:2" x14ac:dyDescent="0.2">
      <c r="B2690" s="381"/>
    </row>
    <row r="2691" spans="2:2" x14ac:dyDescent="0.2">
      <c r="B2691" s="381"/>
    </row>
    <row r="2692" spans="2:2" x14ac:dyDescent="0.2">
      <c r="B2692" s="381"/>
    </row>
    <row r="2693" spans="2:2" x14ac:dyDescent="0.2">
      <c r="B2693" s="381"/>
    </row>
    <row r="2694" spans="2:2" x14ac:dyDescent="0.2">
      <c r="B2694" s="381"/>
    </row>
    <row r="2695" spans="2:2" x14ac:dyDescent="0.2">
      <c r="B2695" s="381"/>
    </row>
    <row r="2696" spans="2:2" x14ac:dyDescent="0.2">
      <c r="B2696" s="381"/>
    </row>
    <row r="2697" spans="2:2" x14ac:dyDescent="0.2">
      <c r="B2697" s="381"/>
    </row>
    <row r="2698" spans="2:2" x14ac:dyDescent="0.2">
      <c r="B2698" s="381"/>
    </row>
    <row r="2699" spans="2:2" x14ac:dyDescent="0.2">
      <c r="B2699" s="381"/>
    </row>
    <row r="2700" spans="2:2" x14ac:dyDescent="0.2">
      <c r="B2700" s="381"/>
    </row>
    <row r="2701" spans="2:2" x14ac:dyDescent="0.2">
      <c r="B2701" s="381"/>
    </row>
    <row r="2702" spans="2:2" x14ac:dyDescent="0.2">
      <c r="B2702" s="381"/>
    </row>
    <row r="2703" spans="2:2" x14ac:dyDescent="0.2">
      <c r="B2703" s="381"/>
    </row>
    <row r="2704" spans="2:2" x14ac:dyDescent="0.2">
      <c r="B2704" s="381"/>
    </row>
    <row r="2705" spans="2:2" x14ac:dyDescent="0.2">
      <c r="B2705" s="381"/>
    </row>
    <row r="2706" spans="2:2" x14ac:dyDescent="0.2">
      <c r="B2706" s="381"/>
    </row>
    <row r="2707" spans="2:2" x14ac:dyDescent="0.2">
      <c r="B2707" s="381"/>
    </row>
    <row r="2708" spans="2:2" x14ac:dyDescent="0.2">
      <c r="B2708" s="381"/>
    </row>
    <row r="2709" spans="2:2" x14ac:dyDescent="0.2">
      <c r="B2709" s="381"/>
    </row>
    <row r="2710" spans="2:2" x14ac:dyDescent="0.2">
      <c r="B2710" s="381"/>
    </row>
    <row r="2711" spans="2:2" x14ac:dyDescent="0.2">
      <c r="B2711" s="381"/>
    </row>
    <row r="2712" spans="2:2" x14ac:dyDescent="0.2">
      <c r="B2712" s="381"/>
    </row>
    <row r="2713" spans="2:2" x14ac:dyDescent="0.2">
      <c r="B2713" s="381"/>
    </row>
    <row r="2714" spans="2:2" x14ac:dyDescent="0.2">
      <c r="B2714" s="381"/>
    </row>
    <row r="2715" spans="2:2" x14ac:dyDescent="0.2">
      <c r="B2715" s="381"/>
    </row>
    <row r="2716" spans="2:2" x14ac:dyDescent="0.2">
      <c r="B2716" s="381"/>
    </row>
    <row r="2717" spans="2:2" x14ac:dyDescent="0.2">
      <c r="B2717" s="381"/>
    </row>
    <row r="2718" spans="2:2" x14ac:dyDescent="0.2">
      <c r="B2718" s="381"/>
    </row>
    <row r="2719" spans="2:2" x14ac:dyDescent="0.2">
      <c r="B2719" s="381"/>
    </row>
    <row r="2720" spans="2:2" x14ac:dyDescent="0.2">
      <c r="B2720" s="381"/>
    </row>
    <row r="2721" spans="2:2" x14ac:dyDescent="0.2">
      <c r="B2721" s="381"/>
    </row>
    <row r="2722" spans="2:2" x14ac:dyDescent="0.2">
      <c r="B2722" s="381"/>
    </row>
    <row r="2723" spans="2:2" x14ac:dyDescent="0.2">
      <c r="B2723" s="381"/>
    </row>
    <row r="2724" spans="2:2" x14ac:dyDescent="0.2">
      <c r="B2724" s="381"/>
    </row>
    <row r="2725" spans="2:2" x14ac:dyDescent="0.2">
      <c r="B2725" s="381"/>
    </row>
    <row r="2726" spans="2:2" x14ac:dyDescent="0.2">
      <c r="B2726" s="381"/>
    </row>
    <row r="2727" spans="2:2" x14ac:dyDescent="0.2">
      <c r="B2727" s="381"/>
    </row>
    <row r="2728" spans="2:2" x14ac:dyDescent="0.2">
      <c r="B2728" s="381"/>
    </row>
    <row r="2729" spans="2:2" x14ac:dyDescent="0.2">
      <c r="B2729" s="381"/>
    </row>
    <row r="2730" spans="2:2" x14ac:dyDescent="0.2">
      <c r="B2730" s="381"/>
    </row>
    <row r="2731" spans="2:2" x14ac:dyDescent="0.2">
      <c r="B2731" s="381"/>
    </row>
    <row r="2732" spans="2:2" x14ac:dyDescent="0.2">
      <c r="B2732" s="381"/>
    </row>
    <row r="2733" spans="2:2" x14ac:dyDescent="0.2">
      <c r="B2733" s="381"/>
    </row>
    <row r="2734" spans="2:2" x14ac:dyDescent="0.2">
      <c r="B2734" s="381"/>
    </row>
    <row r="2735" spans="2:2" x14ac:dyDescent="0.2">
      <c r="B2735" s="381"/>
    </row>
    <row r="2736" spans="2:2" x14ac:dyDescent="0.2">
      <c r="B2736" s="381"/>
    </row>
    <row r="2737" spans="2:2" x14ac:dyDescent="0.2">
      <c r="B2737" s="381"/>
    </row>
    <row r="2738" spans="2:2" x14ac:dyDescent="0.2">
      <c r="B2738" s="381"/>
    </row>
    <row r="2739" spans="2:2" x14ac:dyDescent="0.2">
      <c r="B2739" s="381"/>
    </row>
    <row r="2740" spans="2:2" x14ac:dyDescent="0.2">
      <c r="B2740" s="381"/>
    </row>
    <row r="2741" spans="2:2" x14ac:dyDescent="0.2">
      <c r="B2741" s="381"/>
    </row>
    <row r="2742" spans="2:2" x14ac:dyDescent="0.2">
      <c r="B2742" s="381"/>
    </row>
    <row r="2743" spans="2:2" x14ac:dyDescent="0.2">
      <c r="B2743" s="381"/>
    </row>
    <row r="2744" spans="2:2" x14ac:dyDescent="0.2">
      <c r="B2744" s="381"/>
    </row>
    <row r="2745" spans="2:2" x14ac:dyDescent="0.2">
      <c r="B2745" s="381"/>
    </row>
    <row r="2746" spans="2:2" x14ac:dyDescent="0.2">
      <c r="B2746" s="381"/>
    </row>
    <row r="2747" spans="2:2" x14ac:dyDescent="0.2">
      <c r="B2747" s="381"/>
    </row>
    <row r="2748" spans="2:2" x14ac:dyDescent="0.2">
      <c r="B2748" s="381"/>
    </row>
    <row r="2749" spans="2:2" x14ac:dyDescent="0.2">
      <c r="B2749" s="381"/>
    </row>
    <row r="2750" spans="2:2" x14ac:dyDescent="0.2">
      <c r="B2750" s="381"/>
    </row>
    <row r="2751" spans="2:2" x14ac:dyDescent="0.2">
      <c r="B2751" s="381"/>
    </row>
    <row r="2752" spans="2:2" x14ac:dyDescent="0.2">
      <c r="B2752" s="381"/>
    </row>
    <row r="2753" spans="2:2" x14ac:dyDescent="0.2">
      <c r="B2753" s="381"/>
    </row>
    <row r="2754" spans="2:2" x14ac:dyDescent="0.2">
      <c r="B2754" s="381"/>
    </row>
    <row r="2755" spans="2:2" x14ac:dyDescent="0.2">
      <c r="B2755" s="381"/>
    </row>
    <row r="2756" spans="2:2" x14ac:dyDescent="0.2">
      <c r="B2756" s="381"/>
    </row>
    <row r="2757" spans="2:2" x14ac:dyDescent="0.2">
      <c r="B2757" s="381"/>
    </row>
    <row r="2758" spans="2:2" x14ac:dyDescent="0.2">
      <c r="B2758" s="381"/>
    </row>
    <row r="2759" spans="2:2" x14ac:dyDescent="0.2">
      <c r="B2759" s="381"/>
    </row>
    <row r="2760" spans="2:2" x14ac:dyDescent="0.2">
      <c r="B2760" s="381"/>
    </row>
    <row r="2761" spans="2:2" x14ac:dyDescent="0.2">
      <c r="B2761" s="381"/>
    </row>
    <row r="2762" spans="2:2" x14ac:dyDescent="0.2">
      <c r="B2762" s="381"/>
    </row>
    <row r="2763" spans="2:2" x14ac:dyDescent="0.2">
      <c r="B2763" s="381"/>
    </row>
    <row r="2764" spans="2:2" x14ac:dyDescent="0.2">
      <c r="B2764" s="381"/>
    </row>
    <row r="2765" spans="2:2" x14ac:dyDescent="0.2">
      <c r="B2765" s="381"/>
    </row>
    <row r="2766" spans="2:2" x14ac:dyDescent="0.2">
      <c r="B2766" s="381"/>
    </row>
    <row r="2767" spans="2:2" x14ac:dyDescent="0.2">
      <c r="B2767" s="381"/>
    </row>
    <row r="2768" spans="2:2" x14ac:dyDescent="0.2">
      <c r="B2768" s="381"/>
    </row>
    <row r="2769" spans="2:2" x14ac:dyDescent="0.2">
      <c r="B2769" s="381"/>
    </row>
    <row r="2770" spans="2:2" x14ac:dyDescent="0.2">
      <c r="B2770" s="381"/>
    </row>
    <row r="2771" spans="2:2" x14ac:dyDescent="0.2">
      <c r="B2771" s="381"/>
    </row>
    <row r="2772" spans="2:2" x14ac:dyDescent="0.2">
      <c r="B2772" s="381"/>
    </row>
    <row r="2773" spans="2:2" x14ac:dyDescent="0.2">
      <c r="B2773" s="381"/>
    </row>
    <row r="2774" spans="2:2" x14ac:dyDescent="0.2">
      <c r="B2774" s="381"/>
    </row>
    <row r="2775" spans="2:2" x14ac:dyDescent="0.2">
      <c r="B2775" s="381"/>
    </row>
    <row r="2776" spans="2:2" x14ac:dyDescent="0.2">
      <c r="B2776" s="381"/>
    </row>
    <row r="2777" spans="2:2" x14ac:dyDescent="0.2">
      <c r="B2777" s="381"/>
    </row>
    <row r="2778" spans="2:2" x14ac:dyDescent="0.2">
      <c r="B2778" s="381"/>
    </row>
    <row r="2779" spans="2:2" x14ac:dyDescent="0.2">
      <c r="B2779" s="381"/>
    </row>
    <row r="2780" spans="2:2" x14ac:dyDescent="0.2">
      <c r="B2780" s="381"/>
    </row>
    <row r="2781" spans="2:2" x14ac:dyDescent="0.2">
      <c r="B2781" s="381"/>
    </row>
    <row r="2782" spans="2:2" x14ac:dyDescent="0.2">
      <c r="B2782" s="381"/>
    </row>
    <row r="2783" spans="2:2" x14ac:dyDescent="0.2">
      <c r="B2783" s="381"/>
    </row>
    <row r="2784" spans="2:2" x14ac:dyDescent="0.2">
      <c r="B2784" s="381"/>
    </row>
    <row r="2785" spans="2:2" x14ac:dyDescent="0.2">
      <c r="B2785" s="381"/>
    </row>
    <row r="2786" spans="2:2" x14ac:dyDescent="0.2">
      <c r="B2786" s="381"/>
    </row>
    <row r="2787" spans="2:2" x14ac:dyDescent="0.2">
      <c r="B2787" s="381"/>
    </row>
    <row r="2788" spans="2:2" x14ac:dyDescent="0.2">
      <c r="B2788" s="381"/>
    </row>
    <row r="2789" spans="2:2" x14ac:dyDescent="0.2">
      <c r="B2789" s="381"/>
    </row>
    <row r="2790" spans="2:2" x14ac:dyDescent="0.2">
      <c r="B2790" s="381"/>
    </row>
    <row r="2791" spans="2:2" x14ac:dyDescent="0.2">
      <c r="B2791" s="381"/>
    </row>
    <row r="2792" spans="2:2" x14ac:dyDescent="0.2">
      <c r="B2792" s="381"/>
    </row>
    <row r="2793" spans="2:2" x14ac:dyDescent="0.2">
      <c r="B2793" s="381"/>
    </row>
    <row r="2794" spans="2:2" x14ac:dyDescent="0.2">
      <c r="B2794" s="381"/>
    </row>
    <row r="2795" spans="2:2" x14ac:dyDescent="0.2">
      <c r="B2795" s="381"/>
    </row>
    <row r="2796" spans="2:2" x14ac:dyDescent="0.2">
      <c r="B2796" s="381"/>
    </row>
    <row r="2797" spans="2:2" x14ac:dyDescent="0.2">
      <c r="B2797" s="381"/>
    </row>
    <row r="2798" spans="2:2" x14ac:dyDescent="0.2">
      <c r="B2798" s="381"/>
    </row>
    <row r="2799" spans="2:2" x14ac:dyDescent="0.2">
      <c r="B2799" s="381"/>
    </row>
    <row r="2800" spans="2:2" x14ac:dyDescent="0.2">
      <c r="B2800" s="381"/>
    </row>
    <row r="2801" spans="2:2" x14ac:dyDescent="0.2">
      <c r="B2801" s="381"/>
    </row>
    <row r="2802" spans="2:2" x14ac:dyDescent="0.2">
      <c r="B2802" s="381"/>
    </row>
    <row r="2803" spans="2:2" x14ac:dyDescent="0.2">
      <c r="B2803" s="381"/>
    </row>
    <row r="2804" spans="2:2" x14ac:dyDescent="0.2">
      <c r="B2804" s="381"/>
    </row>
    <row r="2805" spans="2:2" x14ac:dyDescent="0.2">
      <c r="B2805" s="381"/>
    </row>
    <row r="2806" spans="2:2" x14ac:dyDescent="0.2">
      <c r="B2806" s="381"/>
    </row>
    <row r="2807" spans="2:2" x14ac:dyDescent="0.2">
      <c r="B2807" s="381"/>
    </row>
    <row r="2808" spans="2:2" x14ac:dyDescent="0.2">
      <c r="B2808" s="381"/>
    </row>
    <row r="2809" spans="2:2" x14ac:dyDescent="0.2">
      <c r="B2809" s="381"/>
    </row>
    <row r="2810" spans="2:2" x14ac:dyDescent="0.2">
      <c r="B2810" s="381"/>
    </row>
    <row r="2811" spans="2:2" x14ac:dyDescent="0.2">
      <c r="B2811" s="381"/>
    </row>
    <row r="2812" spans="2:2" x14ac:dyDescent="0.2">
      <c r="B2812" s="381"/>
    </row>
    <row r="2813" spans="2:2" x14ac:dyDescent="0.2">
      <c r="B2813" s="381"/>
    </row>
    <row r="2814" spans="2:2" x14ac:dyDescent="0.2">
      <c r="B2814" s="381"/>
    </row>
    <row r="2815" spans="2:2" x14ac:dyDescent="0.2">
      <c r="B2815" s="381"/>
    </row>
    <row r="2816" spans="2:2" x14ac:dyDescent="0.2">
      <c r="B2816" s="381"/>
    </row>
    <row r="2817" spans="2:2" x14ac:dyDescent="0.2">
      <c r="B2817" s="381"/>
    </row>
    <row r="2818" spans="2:2" x14ac:dyDescent="0.2">
      <c r="B2818" s="381"/>
    </row>
    <row r="2819" spans="2:2" x14ac:dyDescent="0.2">
      <c r="B2819" s="381"/>
    </row>
    <row r="2820" spans="2:2" x14ac:dyDescent="0.2">
      <c r="B2820" s="381"/>
    </row>
    <row r="2821" spans="2:2" x14ac:dyDescent="0.2">
      <c r="B2821" s="381"/>
    </row>
    <row r="2822" spans="2:2" x14ac:dyDescent="0.2">
      <c r="B2822" s="381"/>
    </row>
    <row r="2823" spans="2:2" x14ac:dyDescent="0.2">
      <c r="B2823" s="381"/>
    </row>
    <row r="2824" spans="2:2" x14ac:dyDescent="0.2">
      <c r="B2824" s="381"/>
    </row>
    <row r="2825" spans="2:2" x14ac:dyDescent="0.2">
      <c r="B2825" s="381"/>
    </row>
    <row r="2826" spans="2:2" x14ac:dyDescent="0.2">
      <c r="B2826" s="381"/>
    </row>
    <row r="2827" spans="2:2" x14ac:dyDescent="0.2">
      <c r="B2827" s="381"/>
    </row>
    <row r="2828" spans="2:2" x14ac:dyDescent="0.2">
      <c r="B2828" s="381"/>
    </row>
    <row r="2829" spans="2:2" x14ac:dyDescent="0.2">
      <c r="B2829" s="381"/>
    </row>
    <row r="2830" spans="2:2" x14ac:dyDescent="0.2">
      <c r="B2830" s="381"/>
    </row>
    <row r="2831" spans="2:2" x14ac:dyDescent="0.2">
      <c r="B2831" s="381"/>
    </row>
    <row r="2832" spans="2:2" x14ac:dyDescent="0.2">
      <c r="B2832" s="381"/>
    </row>
    <row r="2833" spans="2:2" x14ac:dyDescent="0.2">
      <c r="B2833" s="381"/>
    </row>
    <row r="2834" spans="2:2" x14ac:dyDescent="0.2">
      <c r="B2834" s="381"/>
    </row>
    <row r="2835" spans="2:2" x14ac:dyDescent="0.2">
      <c r="B2835" s="381"/>
    </row>
    <row r="2836" spans="2:2" x14ac:dyDescent="0.2">
      <c r="B2836" s="381"/>
    </row>
    <row r="2837" spans="2:2" x14ac:dyDescent="0.2">
      <c r="B2837" s="381"/>
    </row>
    <row r="2838" spans="2:2" x14ac:dyDescent="0.2">
      <c r="B2838" s="381"/>
    </row>
    <row r="2839" spans="2:2" x14ac:dyDescent="0.2">
      <c r="B2839" s="381"/>
    </row>
    <row r="2840" spans="2:2" x14ac:dyDescent="0.2">
      <c r="B2840" s="381"/>
    </row>
    <row r="2841" spans="2:2" x14ac:dyDescent="0.2">
      <c r="B2841" s="381"/>
    </row>
    <row r="2842" spans="2:2" x14ac:dyDescent="0.2">
      <c r="B2842" s="381"/>
    </row>
    <row r="2843" spans="2:2" x14ac:dyDescent="0.2">
      <c r="B2843" s="381"/>
    </row>
    <row r="2844" spans="2:2" x14ac:dyDescent="0.2">
      <c r="B2844" s="381"/>
    </row>
    <row r="2845" spans="2:2" x14ac:dyDescent="0.2">
      <c r="B2845" s="381"/>
    </row>
    <row r="2846" spans="2:2" x14ac:dyDescent="0.2">
      <c r="B2846" s="381"/>
    </row>
    <row r="2847" spans="2:2" x14ac:dyDescent="0.2">
      <c r="B2847" s="381"/>
    </row>
    <row r="2848" spans="2:2" x14ac:dyDescent="0.2">
      <c r="B2848" s="381"/>
    </row>
    <row r="2849" spans="2:2" x14ac:dyDescent="0.2">
      <c r="B2849" s="381"/>
    </row>
    <row r="2850" spans="2:2" x14ac:dyDescent="0.2">
      <c r="B2850" s="381"/>
    </row>
    <row r="2851" spans="2:2" x14ac:dyDescent="0.2">
      <c r="B2851" s="381"/>
    </row>
    <row r="2852" spans="2:2" x14ac:dyDescent="0.2">
      <c r="B2852" s="381"/>
    </row>
    <row r="2853" spans="2:2" x14ac:dyDescent="0.2">
      <c r="B2853" s="381"/>
    </row>
    <row r="2854" spans="2:2" x14ac:dyDescent="0.2">
      <c r="B2854" s="381"/>
    </row>
    <row r="2855" spans="2:2" x14ac:dyDescent="0.2">
      <c r="B2855" s="381"/>
    </row>
    <row r="2856" spans="2:2" x14ac:dyDescent="0.2">
      <c r="B2856" s="381"/>
    </row>
    <row r="2857" spans="2:2" x14ac:dyDescent="0.2">
      <c r="B2857" s="381"/>
    </row>
    <row r="2858" spans="2:2" x14ac:dyDescent="0.2">
      <c r="B2858" s="381"/>
    </row>
    <row r="2859" spans="2:2" x14ac:dyDescent="0.2">
      <c r="B2859" s="381"/>
    </row>
    <row r="2860" spans="2:2" x14ac:dyDescent="0.2">
      <c r="B2860" s="381"/>
    </row>
    <row r="2861" spans="2:2" x14ac:dyDescent="0.2">
      <c r="B2861" s="381"/>
    </row>
    <row r="2862" spans="2:2" x14ac:dyDescent="0.2">
      <c r="B2862" s="381"/>
    </row>
    <row r="2863" spans="2:2" x14ac:dyDescent="0.2">
      <c r="B2863" s="381"/>
    </row>
    <row r="2864" spans="2:2" x14ac:dyDescent="0.2">
      <c r="B2864" s="381"/>
    </row>
    <row r="2865" spans="2:2" x14ac:dyDescent="0.2">
      <c r="B2865" s="381"/>
    </row>
    <row r="2866" spans="2:2" x14ac:dyDescent="0.2">
      <c r="B2866" s="381"/>
    </row>
    <row r="2867" spans="2:2" x14ac:dyDescent="0.2">
      <c r="B2867" s="381"/>
    </row>
    <row r="2868" spans="2:2" x14ac:dyDescent="0.2">
      <c r="B2868" s="381"/>
    </row>
    <row r="2869" spans="2:2" x14ac:dyDescent="0.2">
      <c r="B2869" s="381"/>
    </row>
    <row r="2870" spans="2:2" x14ac:dyDescent="0.2">
      <c r="B2870" s="381"/>
    </row>
    <row r="2871" spans="2:2" x14ac:dyDescent="0.2">
      <c r="B2871" s="381"/>
    </row>
    <row r="2872" spans="2:2" x14ac:dyDescent="0.2">
      <c r="B2872" s="381"/>
    </row>
    <row r="2873" spans="2:2" x14ac:dyDescent="0.2">
      <c r="B2873" s="381"/>
    </row>
    <row r="2874" spans="2:2" x14ac:dyDescent="0.2">
      <c r="B2874" s="381"/>
    </row>
    <row r="2875" spans="2:2" x14ac:dyDescent="0.2">
      <c r="B2875" s="381"/>
    </row>
    <row r="2876" spans="2:2" x14ac:dyDescent="0.2">
      <c r="B2876" s="381"/>
    </row>
    <row r="2877" spans="2:2" x14ac:dyDescent="0.2">
      <c r="B2877" s="381"/>
    </row>
    <row r="2878" spans="2:2" x14ac:dyDescent="0.2">
      <c r="B2878" s="381"/>
    </row>
    <row r="2879" spans="2:2" x14ac:dyDescent="0.2">
      <c r="B2879" s="381"/>
    </row>
    <row r="2880" spans="2:2" x14ac:dyDescent="0.2">
      <c r="B2880" s="381"/>
    </row>
    <row r="2881" spans="2:2" x14ac:dyDescent="0.2">
      <c r="B2881" s="381"/>
    </row>
    <row r="2882" spans="2:2" x14ac:dyDescent="0.2">
      <c r="B2882" s="381"/>
    </row>
    <row r="2883" spans="2:2" x14ac:dyDescent="0.2">
      <c r="B2883" s="381"/>
    </row>
    <row r="2884" spans="2:2" x14ac:dyDescent="0.2">
      <c r="B2884" s="381"/>
    </row>
    <row r="2885" spans="2:2" x14ac:dyDescent="0.2">
      <c r="B2885" s="381"/>
    </row>
    <row r="2886" spans="2:2" x14ac:dyDescent="0.2">
      <c r="B2886" s="381"/>
    </row>
    <row r="2887" spans="2:2" x14ac:dyDescent="0.2">
      <c r="B2887" s="381"/>
    </row>
    <row r="2888" spans="2:2" x14ac:dyDescent="0.2">
      <c r="B2888" s="381"/>
    </row>
    <row r="2889" spans="2:2" x14ac:dyDescent="0.2">
      <c r="B2889" s="381"/>
    </row>
    <row r="2890" spans="2:2" x14ac:dyDescent="0.2">
      <c r="B2890" s="381"/>
    </row>
    <row r="2891" spans="2:2" x14ac:dyDescent="0.2">
      <c r="B2891" s="381"/>
    </row>
    <row r="2892" spans="2:2" x14ac:dyDescent="0.2">
      <c r="B2892" s="381"/>
    </row>
    <row r="2893" spans="2:2" x14ac:dyDescent="0.2">
      <c r="B2893" s="381"/>
    </row>
    <row r="2894" spans="2:2" x14ac:dyDescent="0.2">
      <c r="B2894" s="381"/>
    </row>
    <row r="2895" spans="2:2" x14ac:dyDescent="0.2">
      <c r="B2895" s="381"/>
    </row>
    <row r="2896" spans="2:2" x14ac:dyDescent="0.2">
      <c r="B2896" s="381"/>
    </row>
    <row r="2897" spans="2:2" x14ac:dyDescent="0.2">
      <c r="B2897" s="381"/>
    </row>
    <row r="2898" spans="2:2" x14ac:dyDescent="0.2">
      <c r="B2898" s="381"/>
    </row>
    <row r="2899" spans="2:2" x14ac:dyDescent="0.2">
      <c r="B2899" s="381"/>
    </row>
    <row r="2900" spans="2:2" x14ac:dyDescent="0.2">
      <c r="B2900" s="381"/>
    </row>
    <row r="2901" spans="2:2" x14ac:dyDescent="0.2">
      <c r="B2901" s="381"/>
    </row>
    <row r="2902" spans="2:2" x14ac:dyDescent="0.2">
      <c r="B2902" s="381"/>
    </row>
    <row r="2903" spans="2:2" x14ac:dyDescent="0.2">
      <c r="B2903" s="381"/>
    </row>
    <row r="2904" spans="2:2" x14ac:dyDescent="0.2">
      <c r="B2904" s="381"/>
    </row>
    <row r="2905" spans="2:2" x14ac:dyDescent="0.2">
      <c r="B2905" s="381"/>
    </row>
    <row r="2906" spans="2:2" x14ac:dyDescent="0.2">
      <c r="B2906" s="381"/>
    </row>
    <row r="2907" spans="2:2" x14ac:dyDescent="0.2">
      <c r="B2907" s="381"/>
    </row>
    <row r="2908" spans="2:2" x14ac:dyDescent="0.2">
      <c r="B2908" s="381"/>
    </row>
    <row r="2909" spans="2:2" x14ac:dyDescent="0.2">
      <c r="B2909" s="381"/>
    </row>
    <row r="2910" spans="2:2" x14ac:dyDescent="0.2">
      <c r="B2910" s="381"/>
    </row>
    <row r="2911" spans="2:2" x14ac:dyDescent="0.2">
      <c r="B2911" s="381"/>
    </row>
    <row r="2912" spans="2:2" x14ac:dyDescent="0.2">
      <c r="B2912" s="381"/>
    </row>
    <row r="2913" spans="2:2" x14ac:dyDescent="0.2">
      <c r="B2913" s="381"/>
    </row>
    <row r="2914" spans="2:2" x14ac:dyDescent="0.2">
      <c r="B2914" s="381"/>
    </row>
    <row r="2915" spans="2:2" x14ac:dyDescent="0.2">
      <c r="B2915" s="381"/>
    </row>
    <row r="2916" spans="2:2" x14ac:dyDescent="0.2">
      <c r="B2916" s="381"/>
    </row>
    <row r="2917" spans="2:2" x14ac:dyDescent="0.2">
      <c r="B2917" s="381"/>
    </row>
    <row r="2918" spans="2:2" x14ac:dyDescent="0.2">
      <c r="B2918" s="381"/>
    </row>
    <row r="2919" spans="2:2" x14ac:dyDescent="0.2">
      <c r="B2919" s="381"/>
    </row>
    <row r="2920" spans="2:2" x14ac:dyDescent="0.2">
      <c r="B2920" s="381"/>
    </row>
    <row r="2921" spans="2:2" x14ac:dyDescent="0.2">
      <c r="B2921" s="381"/>
    </row>
    <row r="2922" spans="2:2" x14ac:dyDescent="0.2">
      <c r="B2922" s="381"/>
    </row>
    <row r="2923" spans="2:2" x14ac:dyDescent="0.2">
      <c r="B2923" s="381"/>
    </row>
    <row r="2924" spans="2:2" x14ac:dyDescent="0.2">
      <c r="B2924" s="381"/>
    </row>
    <row r="2925" spans="2:2" x14ac:dyDescent="0.2">
      <c r="B2925" s="381"/>
    </row>
    <row r="2926" spans="2:2" x14ac:dyDescent="0.2">
      <c r="B2926" s="381"/>
    </row>
    <row r="2927" spans="2:2" x14ac:dyDescent="0.2">
      <c r="B2927" s="381"/>
    </row>
    <row r="2928" spans="2:2" x14ac:dyDescent="0.2">
      <c r="B2928" s="381"/>
    </row>
    <row r="2929" spans="2:2" x14ac:dyDescent="0.2">
      <c r="B2929" s="381"/>
    </row>
    <row r="2930" spans="2:2" x14ac:dyDescent="0.2">
      <c r="B2930" s="381"/>
    </row>
    <row r="2931" spans="2:2" x14ac:dyDescent="0.2">
      <c r="B2931" s="381"/>
    </row>
    <row r="2932" spans="2:2" x14ac:dyDescent="0.2">
      <c r="B2932" s="381"/>
    </row>
    <row r="2933" spans="2:2" x14ac:dyDescent="0.2">
      <c r="B2933" s="381"/>
    </row>
    <row r="2934" spans="2:2" x14ac:dyDescent="0.2">
      <c r="B2934" s="381"/>
    </row>
    <row r="2935" spans="2:2" x14ac:dyDescent="0.2">
      <c r="B2935" s="381"/>
    </row>
    <row r="2936" spans="2:2" x14ac:dyDescent="0.2">
      <c r="B2936" s="381"/>
    </row>
    <row r="2937" spans="2:2" x14ac:dyDescent="0.2">
      <c r="B2937" s="381"/>
    </row>
    <row r="2938" spans="2:2" x14ac:dyDescent="0.2">
      <c r="B2938" s="381"/>
    </row>
    <row r="2939" spans="2:2" x14ac:dyDescent="0.2">
      <c r="B2939" s="381"/>
    </row>
    <row r="2940" spans="2:2" x14ac:dyDescent="0.2">
      <c r="B2940" s="381"/>
    </row>
    <row r="2941" spans="2:2" x14ac:dyDescent="0.2">
      <c r="B2941" s="381"/>
    </row>
    <row r="2942" spans="2:2" x14ac:dyDescent="0.2">
      <c r="B2942" s="381"/>
    </row>
    <row r="2943" spans="2:2" x14ac:dyDescent="0.2">
      <c r="B2943" s="381"/>
    </row>
    <row r="2944" spans="2:2" x14ac:dyDescent="0.2">
      <c r="B2944" s="381"/>
    </row>
    <row r="2945" spans="2:2" x14ac:dyDescent="0.2">
      <c r="B2945" s="381"/>
    </row>
    <row r="2946" spans="2:2" x14ac:dyDescent="0.2">
      <c r="B2946" s="381"/>
    </row>
    <row r="2947" spans="2:2" x14ac:dyDescent="0.2">
      <c r="B2947" s="381"/>
    </row>
    <row r="2948" spans="2:2" x14ac:dyDescent="0.2">
      <c r="B2948" s="381"/>
    </row>
    <row r="2949" spans="2:2" x14ac:dyDescent="0.2">
      <c r="B2949" s="381"/>
    </row>
    <row r="2950" spans="2:2" x14ac:dyDescent="0.2">
      <c r="B2950" s="381"/>
    </row>
    <row r="2951" spans="2:2" x14ac:dyDescent="0.2">
      <c r="B2951" s="381"/>
    </row>
    <row r="2952" spans="2:2" x14ac:dyDescent="0.2">
      <c r="B2952" s="381"/>
    </row>
    <row r="2953" spans="2:2" x14ac:dyDescent="0.2">
      <c r="B2953" s="381"/>
    </row>
    <row r="2954" spans="2:2" x14ac:dyDescent="0.2">
      <c r="B2954" s="381"/>
    </row>
    <row r="2955" spans="2:2" x14ac:dyDescent="0.2">
      <c r="B2955" s="381"/>
    </row>
    <row r="2956" spans="2:2" x14ac:dyDescent="0.2">
      <c r="B2956" s="381"/>
    </row>
    <row r="2957" spans="2:2" x14ac:dyDescent="0.2">
      <c r="B2957" s="381"/>
    </row>
    <row r="2958" spans="2:2" x14ac:dyDescent="0.2">
      <c r="B2958" s="381"/>
    </row>
    <row r="2959" spans="2:2" x14ac:dyDescent="0.2">
      <c r="B2959" s="381"/>
    </row>
    <row r="2960" spans="2:2" x14ac:dyDescent="0.2">
      <c r="B2960" s="381"/>
    </row>
    <row r="2961" spans="2:2" x14ac:dyDescent="0.2">
      <c r="B2961" s="381"/>
    </row>
    <row r="2962" spans="2:2" x14ac:dyDescent="0.2">
      <c r="B2962" s="381"/>
    </row>
    <row r="2963" spans="2:2" x14ac:dyDescent="0.2">
      <c r="B2963" s="381"/>
    </row>
    <row r="2964" spans="2:2" x14ac:dyDescent="0.2">
      <c r="B2964" s="381"/>
    </row>
    <row r="2965" spans="2:2" x14ac:dyDescent="0.2">
      <c r="B2965" s="381"/>
    </row>
    <row r="2966" spans="2:2" x14ac:dyDescent="0.2">
      <c r="B2966" s="381"/>
    </row>
    <row r="2967" spans="2:2" x14ac:dyDescent="0.2">
      <c r="B2967" s="381"/>
    </row>
    <row r="2968" spans="2:2" x14ac:dyDescent="0.2">
      <c r="B2968" s="381"/>
    </row>
    <row r="2969" spans="2:2" x14ac:dyDescent="0.2">
      <c r="B2969" s="381"/>
    </row>
    <row r="2970" spans="2:2" x14ac:dyDescent="0.2">
      <c r="B2970" s="381"/>
    </row>
    <row r="2971" spans="2:2" x14ac:dyDescent="0.2">
      <c r="B2971" s="381"/>
    </row>
    <row r="2972" spans="2:2" x14ac:dyDescent="0.2">
      <c r="B2972" s="381"/>
    </row>
    <row r="2973" spans="2:2" x14ac:dyDescent="0.2">
      <c r="B2973" s="381"/>
    </row>
    <row r="2974" spans="2:2" x14ac:dyDescent="0.2">
      <c r="B2974" s="381"/>
    </row>
    <row r="2975" spans="2:2" x14ac:dyDescent="0.2">
      <c r="B2975" s="381"/>
    </row>
    <row r="2976" spans="2:2" x14ac:dyDescent="0.2">
      <c r="B2976" s="381"/>
    </row>
    <row r="2977" spans="2:2" x14ac:dyDescent="0.2">
      <c r="B2977" s="381"/>
    </row>
    <row r="2978" spans="2:2" x14ac:dyDescent="0.2">
      <c r="B2978" s="381"/>
    </row>
    <row r="2979" spans="2:2" x14ac:dyDescent="0.2">
      <c r="B2979" s="381"/>
    </row>
    <row r="2980" spans="2:2" x14ac:dyDescent="0.2">
      <c r="B2980" s="381"/>
    </row>
    <row r="2981" spans="2:2" x14ac:dyDescent="0.2">
      <c r="B2981" s="381"/>
    </row>
    <row r="2982" spans="2:2" x14ac:dyDescent="0.2">
      <c r="B2982" s="381"/>
    </row>
    <row r="2983" spans="2:2" x14ac:dyDescent="0.2">
      <c r="B2983" s="381"/>
    </row>
    <row r="2984" spans="2:2" x14ac:dyDescent="0.2">
      <c r="B2984" s="381"/>
    </row>
    <row r="2985" spans="2:2" x14ac:dyDescent="0.2">
      <c r="B2985" s="381"/>
    </row>
    <row r="2986" spans="2:2" x14ac:dyDescent="0.2">
      <c r="B2986" s="381"/>
    </row>
    <row r="2987" spans="2:2" x14ac:dyDescent="0.2">
      <c r="B2987" s="381"/>
    </row>
    <row r="2988" spans="2:2" x14ac:dyDescent="0.2">
      <c r="B2988" s="381"/>
    </row>
    <row r="2989" spans="2:2" x14ac:dyDescent="0.2">
      <c r="B2989" s="381"/>
    </row>
    <row r="2990" spans="2:2" x14ac:dyDescent="0.2">
      <c r="B2990" s="381"/>
    </row>
    <row r="2991" spans="2:2" x14ac:dyDescent="0.2">
      <c r="B2991" s="381"/>
    </row>
    <row r="2992" spans="2:2" x14ac:dyDescent="0.2">
      <c r="B2992" s="381"/>
    </row>
    <row r="2993" spans="2:2" x14ac:dyDescent="0.2">
      <c r="B2993" s="381"/>
    </row>
    <row r="2994" spans="2:2" x14ac:dyDescent="0.2">
      <c r="B2994" s="381"/>
    </row>
    <row r="2995" spans="2:2" x14ac:dyDescent="0.2">
      <c r="B2995" s="381"/>
    </row>
    <row r="2996" spans="2:2" x14ac:dyDescent="0.2">
      <c r="B2996" s="381"/>
    </row>
    <row r="2997" spans="2:2" x14ac:dyDescent="0.2">
      <c r="B2997" s="381"/>
    </row>
    <row r="2998" spans="2:2" x14ac:dyDescent="0.2">
      <c r="B2998" s="381"/>
    </row>
    <row r="2999" spans="2:2" x14ac:dyDescent="0.2">
      <c r="B2999" s="381"/>
    </row>
    <row r="3000" spans="2:2" x14ac:dyDescent="0.2">
      <c r="B3000" s="381"/>
    </row>
    <row r="3001" spans="2:2" x14ac:dyDescent="0.2">
      <c r="B3001" s="381"/>
    </row>
    <row r="3002" spans="2:2" x14ac:dyDescent="0.2">
      <c r="B3002" s="381"/>
    </row>
    <row r="3003" spans="2:2" x14ac:dyDescent="0.2">
      <c r="B3003" s="381"/>
    </row>
    <row r="3004" spans="2:2" x14ac:dyDescent="0.2">
      <c r="B3004" s="381"/>
    </row>
    <row r="3005" spans="2:2" x14ac:dyDescent="0.2">
      <c r="B3005" s="381"/>
    </row>
    <row r="3006" spans="2:2" x14ac:dyDescent="0.2">
      <c r="B3006" s="381"/>
    </row>
  </sheetData>
  <mergeCells count="4">
    <mergeCell ref="E53:E54"/>
    <mergeCell ref="D53:D54"/>
    <mergeCell ref="J1:Q1"/>
    <mergeCell ref="R1:Y1"/>
  </mergeCells>
  <conditionalFormatting sqref="A27 I27:O27 R27:W27 AA27:AB27 B28:F28">
    <cfRule type="expression" dxfId="149" priority="83" stopIfTrue="1">
      <formula>OR(COUNTA($F25:$AJ61)&gt;5* COUNTA($P25:$P61),COUNTA($F27:$AJ27)&gt;5)</formula>
    </cfRule>
  </conditionalFormatting>
  <conditionalFormatting sqref="A28 I28:O28 R28:W28 AA28:AB28 AE28:AF28 AH28:AJ28">
    <cfRule type="expression" dxfId="148" priority="88" stopIfTrue="1">
      <formula>OR(COUNTA($F25:$AJ61)&gt;5* COUNTA($P25:$P61),COUNTA($F28:$AJ28)&gt;5)</formula>
    </cfRule>
  </conditionalFormatting>
  <conditionalFormatting sqref="A36:D36 F36 I36:O36 R36:W36 AA36:AB36 AE36:AF36 AH36:AJ36 A41 A43">
    <cfRule type="expression" dxfId="147" priority="135" stopIfTrue="1">
      <formula>OR(COUNTA($F33:$AJ67)&gt;5* COUNTA($P33:$P67),COUNTA($F36:$AJ36)&gt;5)</formula>
    </cfRule>
  </conditionalFormatting>
  <conditionalFormatting sqref="A37:D37 F37 I37:O37 R37:W37 AA37:AB37 AE37:AF37 AH37:AJ37 AD40:AD41 AG40:AG41">
    <cfRule type="expression" dxfId="146" priority="113" stopIfTrue="1">
      <formula>OR(COUNTA($F33:$AJ68)&gt;5* COUNTA($P33:$P68),COUNTA($F37:$AJ37)&gt;5)</formula>
    </cfRule>
  </conditionalFormatting>
  <conditionalFormatting sqref="G15:H61">
    <cfRule type="expression" dxfId="145" priority="40" stopIfTrue="1">
      <formula>OR(COUNTA($F15:$AJ55)&gt;5* COUNTA($P15:$P55),COUNTA($F15:$AJ15)&gt;5)</formula>
    </cfRule>
  </conditionalFormatting>
  <conditionalFormatting sqref="AD22:AD24 AG22:AG24 AG15:AG18">
    <cfRule type="expression" dxfId="144" priority="48" stopIfTrue="1">
      <formula>OR(COUNTA($F15:$AJ53)&gt;5* COUNTA($P15:$P53),COUNTA($F15:$AJ15)&gt;5)</formula>
    </cfRule>
  </conditionalFormatting>
  <conditionalFormatting sqref="A23:F24 I23:O24 R23:W24 AA23:AB24 AE23:AF24 AH23:AJ24">
    <cfRule type="expression" dxfId="143" priority="47" stopIfTrue="1">
      <formula>OR(COUNTA($F23:$AJ60)&gt;5* COUNTA($P23:$P60),COUNTA($F23:$AJ23)&gt;5)</formula>
    </cfRule>
  </conditionalFormatting>
  <conditionalFormatting sqref="AD20:AD21 AG20:AG21 E39">
    <cfRule type="expression" dxfId="142" priority="50" stopIfTrue="1">
      <formula>OR(COUNTA($F20:$AJ56)&gt;5* COUNTA($P20:$P56),COUNTA($F20:$AJ20)&gt;5)</formula>
    </cfRule>
  </conditionalFormatting>
  <conditionalFormatting sqref="I15:I18 AA15:AB18 AF15:AF18 AH15:AH18 F15:F17">
    <cfRule type="expression" dxfId="141" priority="100" stopIfTrue="1">
      <formula>OR(COUNTA($F15:$AJ58)&gt;5* COUNTA($P15:$P58),COUNTA($F15:$AJ15)&gt;5)</formula>
    </cfRule>
  </conditionalFormatting>
  <conditionalFormatting sqref="AD25 AG25">
    <cfRule type="expression" dxfId="140" priority="123" stopIfTrue="1">
      <formula>OR(COUNTA($F25:$AJ67)&gt;5* COUNTA($P25:$P67),COUNTA($F25:$AJ25)&gt;5)</formula>
    </cfRule>
  </conditionalFormatting>
  <conditionalFormatting sqref="A19:F20 I19:O20 R20:W20 AA19:AB20 AE19:AF20 AH19:AJ20">
    <cfRule type="expression" dxfId="139" priority="118" stopIfTrue="1">
      <formula>OR(COUNTA($F19:$AJ51)&gt;5* COUNTA($P19:$P51),COUNTA($F19:$AJ19)&gt;5)</formula>
    </cfRule>
  </conditionalFormatting>
  <conditionalFormatting sqref="A21:F22 I21:O22 R21:W22 AA21:AB22 AE21:AF22 AH21:AJ22 E33 AD39 AG39">
    <cfRule type="expression" dxfId="138" priority="66" stopIfTrue="1">
      <formula>OR(COUNTA($F21:$AJ56)&gt;5* COUNTA($P21:$P56),COUNTA($F21:$AJ21)&gt;5)</formula>
    </cfRule>
  </conditionalFormatting>
  <conditionalFormatting sqref="A26:F26 I26:O26 R26:W26 AA26:AB26 AD26:AJ26">
    <cfRule type="expression" dxfId="137" priority="54" stopIfTrue="1">
      <formula>OR(COUNTA($F26:$AJ49)&gt;5* COUNTA($P26:$P49),COUNTA($F26:$AJ26)&gt;5)</formula>
    </cfRule>
  </conditionalFormatting>
  <conditionalFormatting sqref="A29:F29 I29:O29 R29:W29 AA29:AB29 AE29:AF29 AH29:AJ29 AD37 AG37">
    <cfRule type="expression" dxfId="136" priority="89" stopIfTrue="1">
      <formula>OR(COUNTA($F25:$AJ61)&gt;5* COUNTA($P25:$P61),COUNTA($F29:$AJ29)&gt;5)</formula>
    </cfRule>
  </conditionalFormatting>
  <conditionalFormatting sqref="A30:F32 I30:O32 R30:W32 AA30:AB32 AE30:AF32 AH30:AJ32">
    <cfRule type="expression" dxfId="135" priority="49" stopIfTrue="1">
      <formula>OR(COUNTA($F25:$AJ61)&gt;5* COUNTA($P25:$P61),COUNTA($F30:$AJ30)&gt;5)</formula>
    </cfRule>
  </conditionalFormatting>
  <conditionalFormatting sqref="A34:F34 I34:O34 R34:W34 AA34:AB34 AE34:AF34 AH34:AJ34">
    <cfRule type="expression" dxfId="134" priority="157" stopIfTrue="1">
      <formula>OR(COUNTA($F33:$AJ68)&gt;5* COUNTA($P33:$P68),COUNTA($F34:$AJ34)&gt;5)</formula>
    </cfRule>
  </conditionalFormatting>
  <conditionalFormatting sqref="A35:F35 I35:O35 R35:W35 AA35:AB35 AE35:AF35 AH35:AJ35">
    <cfRule type="expression" dxfId="133" priority="109" stopIfTrue="1">
      <formula>OR(COUNTA($F33:$AJ66)&gt;5* COUNTA($P33:$P66),COUNTA($F35:$AJ35)&gt;5)</formula>
    </cfRule>
  </conditionalFormatting>
  <conditionalFormatting sqref="A38:F38 I38:O38 R38:W38 AA38:AB38 AE38:AF38 AH38:AJ38 AI39:AI41 F41 B43:F43 I43:O43 AE43:AF43 AI43:AJ43 R43:W45 AA43:AB45 C44:E44 J44:O45 C45">
    <cfRule type="expression" dxfId="132" priority="104" stopIfTrue="1">
      <formula>OR(COUNTA($F33:$AJ67)&gt;5* COUNTA($P33:$P67),COUNTA($F38:$AJ38)&gt;5)</formula>
    </cfRule>
  </conditionalFormatting>
  <conditionalFormatting sqref="A40:F40 I40:O41 R40:W41 AA40:AB41 AE40:AF41 AH40:AH41 AJ40:AJ41 B41:E41 AH43">
    <cfRule type="expression" dxfId="131" priority="137" stopIfTrue="1">
      <formula>OR(COUNTA($F36:$AJ70)&gt;5* COUNTA($P36:$P70),COUNTA($F40:$AJ40)&gt;5)</formula>
    </cfRule>
  </conditionalFormatting>
  <conditionalFormatting sqref="AD19:AD72 C44:F44 A44:B49 C45:D49 J45:O49 E49:F49 I49 AE19:AJ49 A19:F43 I19:O44 R20:W49 G19:H61 AA15:AB49 F15:I17 AF15:AH18 G18:I18">
    <cfRule type="expression" dxfId="130" priority="37" stopIfTrue="1">
      <formula>AND(COUNT($Q15,$Y15)&gt;0,$Y15&gt;=$AD15,OR($AJ15="",$AJ15="Open",$AJ15="Occurred &amp; Open"))</formula>
    </cfRule>
    <cfRule type="expression" dxfId="129" priority="38" stopIfTrue="1">
      <formula>AND(COUNT($Q15,$Y15)&gt;0,$Y15&lt;$AD15,OR($AJ15="",$AJ15="Open",$AJ15="Occurred &amp; Open"))</formula>
    </cfRule>
  </conditionalFormatting>
  <conditionalFormatting sqref="B44:B45 D45 B48:C48 J48:O48">
    <cfRule type="expression" dxfId="128" priority="138" stopIfTrue="1">
      <formula>OR(COUNTA($F44:$AJ61)&gt;5* COUNTA($P44:$P61),COUNTA($F44:$AJ44)&gt;5)</formula>
    </cfRule>
  </conditionalFormatting>
  <conditionalFormatting sqref="B49:C49 AI49 D46:F47 I46:I47 A46:A47 AA46:AB47 AD46:AJ47 J49:O49">
    <cfRule type="expression" dxfId="127" priority="90" stopIfTrue="1">
      <formula>OR(COUNTA($F46:$AJ65)&gt;5* COUNTA($P46:$P65),COUNTA($F46:$AJ46)&gt;5)</formula>
    </cfRule>
  </conditionalFormatting>
  <conditionalFormatting sqref="B27:F27 AE27:AF27 AH27:AJ27 E42">
    <cfRule type="expression" dxfId="126" priority="129" stopIfTrue="1">
      <formula>OR(COUNTA($F25:$AJ57)&gt;5* COUNTA($P25:$P57),COUNTA($F27:$AJ27)&gt;5)</formula>
    </cfRule>
  </conditionalFormatting>
  <conditionalFormatting sqref="D49 I49 AF49:AG49">
    <cfRule type="expression" dxfId="125" priority="77" stopIfTrue="1">
      <formula>OR(COUNTA($F49:$AJ69)&gt;5* COUNTA($P49:$P69),COUNTA($F49:$AJ49)&gt;5)</formula>
    </cfRule>
  </conditionalFormatting>
  <conditionalFormatting sqref="E45:F48 I45:I49">
    <cfRule type="expression" dxfId="124" priority="41" stopIfTrue="1">
      <formula>AND(COUNT($Q45,$Y45)&gt;0,$Y45&lt;$AD45,OR($AJ45="",$AJ45="Open",$AJ45="Occurred &amp; Open"))</formula>
    </cfRule>
  </conditionalFormatting>
  <conditionalFormatting sqref="F51 F56">
    <cfRule type="duplicateValues" dxfId="123" priority="36"/>
  </conditionalFormatting>
  <conditionalFormatting sqref="I44:I45 A42:D42 F42 I42:O42 R42:W42 AA42:AB42 AE42:AF42 AH42:AJ42">
    <cfRule type="expression" dxfId="122" priority="136" stopIfTrue="1">
      <formula>OR(COUNTA($F36:$AJ70)&gt;5* COUNTA($P36:$P70),COUNTA($F42:$AJ42)&gt;5)</formula>
    </cfRule>
  </conditionalFormatting>
  <conditionalFormatting sqref="I45:I49 E45:F48">
    <cfRule type="expression" dxfId="121" priority="39" stopIfTrue="1">
      <formula>AND(COUNT($Q45,$Y45)&gt;0,$Y45&gt;=$AD45,OR($AJ45="",$AJ45="Open",$AJ45="Occurred &amp; Open"))</formula>
    </cfRule>
  </conditionalFormatting>
  <conditionalFormatting sqref="I49 A49 C49:F49 AA49:AB49 AE49 AH49:AJ49">
    <cfRule type="expression" dxfId="120" priority="62" stopIfTrue="1">
      <formula>OR(COUNTA($F49:$AJ71)&gt;5* COUNTA($P49:$P71),COUNTA($F49:$AJ49)&gt;5)</formula>
    </cfRule>
  </conditionalFormatting>
  <conditionalFormatting sqref="J62:O68">
    <cfRule type="expression" dxfId="119" priority="32" stopIfTrue="1">
      <formula>AND(COUNT($F62,$N62)&gt;0,$N62&gt;=$S62,OR($AB62="",$AB62="Open",$AB62="Occurred &amp; Open"))</formula>
    </cfRule>
    <cfRule type="expression" dxfId="118" priority="33" stopIfTrue="1">
      <formula>AND(COUNT($F62,$N62)&gt;0,$N62&lt;$S62,OR($AB62="",$AB62="Open",$AB62="Occurred &amp; Open"))</formula>
    </cfRule>
    <cfRule type="expression" dxfId="117" priority="34" stopIfTrue="1">
      <formula>OR(COUNTA($A62:$AB102)&gt;5* COUNTA($E62:$E102),COUNTA($A62:$AB62)&gt;5)</formula>
    </cfRule>
  </conditionalFormatting>
  <conditionalFormatting sqref="J69:O72">
    <cfRule type="expression" dxfId="116" priority="28" stopIfTrue="1">
      <formula>AND(COUNT($G69,$O69)&gt;0,$O69&gt;=$T69,OR($AC69="",$AC69="Open",$AC69="Occurred &amp; Open"))</formula>
    </cfRule>
    <cfRule type="expression" dxfId="115" priority="29" stopIfTrue="1">
      <formula>AND(COUNT($G69,$O69)&gt;0,$O69&lt;$T69,OR($AC69="",$AC69="Open",$AC69="Occurred &amp; Open"))</formula>
    </cfRule>
    <cfRule type="expression" dxfId="114" priority="30" stopIfTrue="1">
      <formula>OR(COUNTA($B69:$AC109)&gt;5* COUNTA($F69:$F109),COUNTA($B69:$AC69)&gt;5)</formula>
    </cfRule>
  </conditionalFormatting>
  <conditionalFormatting sqref="P3:Q3 Q4:Q5 Q8 P5:P72">
    <cfRule type="expression" dxfId="113" priority="42" stopIfTrue="1">
      <formula>OR(COUNTA($F3:$AJ3)&gt;5,COUNTA($F3:$AJ43)&gt;5* COUNTA($P3:$P43))</formula>
    </cfRule>
  </conditionalFormatting>
  <conditionalFormatting sqref="Q6:Q7 Q9:Q10">
    <cfRule type="expression" dxfId="112" priority="67" stopIfTrue="1">
      <formula>OR(COUNTA($F6:$AJ6)&gt;5,COUNTA($F6:$AJ45)&gt;5* COUNTA($P6:$P45))</formula>
    </cfRule>
  </conditionalFormatting>
  <conditionalFormatting sqref="Q11">
    <cfRule type="expression" dxfId="111" priority="51" stopIfTrue="1">
      <formula>OR(COUNTA($F11:$AJ11)&gt;5,COUNTA($F11:$AJ49)&gt;5* COUNTA($P11:$P49))</formula>
    </cfRule>
  </conditionalFormatting>
  <conditionalFormatting sqref="Q12 Q23:Q24">
    <cfRule type="expression" dxfId="110" priority="59" stopIfTrue="1">
      <formula>OR(COUNTA($F12:$AJ12)&gt;5,COUNTA($F12:$AJ49)&gt;5* COUNTA($P12:$P49))</formula>
    </cfRule>
  </conditionalFormatting>
  <conditionalFormatting sqref="Q13:Q14">
    <cfRule type="expression" dxfId="109" priority="70" stopIfTrue="1">
      <formula>OR(COUNTA($F13:$AJ13)&gt;5,COUNTA($F13:$AJ49)&gt;5* COUNTA($P13:$P49))</formula>
    </cfRule>
  </conditionalFormatting>
  <conditionalFormatting sqref="Q15:Q18">
    <cfRule type="expression" dxfId="108" priority="97" stopIfTrue="1">
      <formula>OR(COUNTA($F15:$AJ15)&gt;5,COUNTA($F15:$AJ58)&gt;5* COUNTA($P15:$P58))</formula>
    </cfRule>
  </conditionalFormatting>
  <conditionalFormatting sqref="Q25">
    <cfRule type="expression" dxfId="107" priority="158" stopIfTrue="1">
      <formula>OR(COUNTA($F25:$AJ25)&gt;5,COUNTA($F25:$AJ66)&gt;5* COUNTA($P25:$P66))</formula>
    </cfRule>
  </conditionalFormatting>
  <conditionalFormatting sqref="Q19:Q20">
    <cfRule type="expression" dxfId="106" priority="115" stopIfTrue="1">
      <formula>OR(COUNTA($F19:$AJ19)&gt;5,COUNTA($F19:$AJ51)&gt;5* COUNTA($P19:$P51))</formula>
    </cfRule>
  </conditionalFormatting>
  <conditionalFormatting sqref="Q21:Q22">
    <cfRule type="expression" dxfId="105" priority="63" stopIfTrue="1">
      <formula>OR(COUNTA($F21:$AJ21)&gt;5,COUNTA($F21:$AJ56)&gt;5* COUNTA($P21:$P56))</formula>
    </cfRule>
  </conditionalFormatting>
  <conditionalFormatting sqref="Q26">
    <cfRule type="expression" dxfId="104" priority="55" stopIfTrue="1">
      <formula>OR(COUNTA($F26:$AJ26)&gt;5,COUNTA($F26:$AJ49)&gt;5* COUNTA($P26:$P49))</formula>
    </cfRule>
  </conditionalFormatting>
  <conditionalFormatting sqref="Q27">
    <cfRule type="expression" dxfId="103" priority="139" stopIfTrue="1">
      <formula>OR(COUNTA($F27:$AJ27)&gt;5,COUNTA($F25:$AJ61)&gt;5* COUNTA($P25:$P61))</formula>
    </cfRule>
  </conditionalFormatting>
  <conditionalFormatting sqref="Q28">
    <cfRule type="expression" dxfId="102" priority="91" stopIfTrue="1">
      <formula>OR(COUNTA($F28:$AJ28)&gt;5,COUNTA($F25:$AJ61)&gt;5* COUNTA($P25:$P61))</formula>
    </cfRule>
  </conditionalFormatting>
  <conditionalFormatting sqref="Q29">
    <cfRule type="expression" dxfId="101" priority="101" stopIfTrue="1">
      <formula>OR(COUNTA($F29:$AJ29)&gt;5,COUNTA($F25:$AJ61)&gt;5* COUNTA($P25:$P61))</formula>
    </cfRule>
  </conditionalFormatting>
  <conditionalFormatting sqref="Q30:Q32">
    <cfRule type="expression" dxfId="100" priority="92" stopIfTrue="1">
      <formula>OR(COUNTA($F30:$AJ30)&gt;5,COUNTA($F25:$AJ61)&gt;5* COUNTA($P25:$P61))</formula>
    </cfRule>
  </conditionalFormatting>
  <conditionalFormatting sqref="Q33">
    <cfRule type="expression" dxfId="99" priority="105" stopIfTrue="1">
      <formula>OR(COUNTA($F33:$AJ33)&gt;5,COUNTA($F33:$AJ66)&gt;5* COUNTA($P33:$P66))</formula>
    </cfRule>
  </conditionalFormatting>
  <conditionalFormatting sqref="Q34">
    <cfRule type="expression" dxfId="98" priority="140" stopIfTrue="1">
      <formula>OR(COUNTA($F34:$AJ34)&gt;5,COUNTA($F33:$AJ68)&gt;5* COUNTA($P33:$P68))</formula>
    </cfRule>
  </conditionalFormatting>
  <conditionalFormatting sqref="Q35">
    <cfRule type="expression" dxfId="97" priority="141" stopIfTrue="1">
      <formula>OR(COUNTA($F35:$AJ35)&gt;5,COUNTA($F33:$AJ66)&gt;5* COUNTA($P33:$P66))</formula>
    </cfRule>
  </conditionalFormatting>
  <conditionalFormatting sqref="Q36">
    <cfRule type="expression" dxfId="96" priority="142" stopIfTrue="1">
      <formula>OR(COUNTA($F36:$AJ36)&gt;5,COUNTA($F33:$AJ67)&gt;5* COUNTA($P33:$P67))</formula>
    </cfRule>
  </conditionalFormatting>
  <conditionalFormatting sqref="Q37">
    <cfRule type="expression" dxfId="95" priority="124" stopIfTrue="1">
      <formula>OR(COUNTA($F37:$AJ37)&gt;5,COUNTA($F33:$AJ68)&gt;5* COUNTA($P33:$P68))</formula>
    </cfRule>
  </conditionalFormatting>
  <conditionalFormatting sqref="Q38 Q43:Q45">
    <cfRule type="expression" dxfId="94" priority="143" stopIfTrue="1">
      <formula>OR(COUNTA($F38:$AJ38)&gt;5,COUNTA($F33:$AJ67)&gt;5* COUNTA($P33:$P67))</formula>
    </cfRule>
  </conditionalFormatting>
  <conditionalFormatting sqref="Q39">
    <cfRule type="expression" dxfId="93" priority="78" stopIfTrue="1">
      <formula>OR(COUNTA($F39:$AJ39)&gt;5,COUNTA($F39:$AJ73)&gt;5* COUNTA($P39:$P73))</formula>
    </cfRule>
  </conditionalFormatting>
  <conditionalFormatting sqref="Q40:Q41">
    <cfRule type="expression" dxfId="92" priority="165" stopIfTrue="1">
      <formula>OR(COUNTA($F40:$AJ40)&gt;5,COUNTA($F36:$AJ70)&gt;5* COUNTA($P36:$P70))</formula>
    </cfRule>
  </conditionalFormatting>
  <conditionalFormatting sqref="Q42">
    <cfRule type="expression" dxfId="91" priority="144" stopIfTrue="1">
      <formula>OR(COUNTA($F42:$AJ42)&gt;5,COUNTA($F36:$AJ70)&gt;5* COUNTA($P36:$P70))</formula>
    </cfRule>
  </conditionalFormatting>
  <conditionalFormatting sqref="Q46:Q47">
    <cfRule type="expression" dxfId="90" priority="161" stopIfTrue="1">
      <formula>OR(COUNTA($F46:$AJ46)&gt;5,COUNTA($F46:$AJ65)&gt;5* COUNTA($P46:$P65))</formula>
    </cfRule>
  </conditionalFormatting>
  <conditionalFormatting sqref="Q48">
    <cfRule type="expression" dxfId="89" priority="130" stopIfTrue="1">
      <formula>OR(COUNTA($F48:$AJ48)&gt;5,COUNTA($F48:$AJ66)&gt;5* COUNTA($P48:$P66))</formula>
    </cfRule>
  </conditionalFormatting>
  <conditionalFormatting sqref="Q49:Q61">
    <cfRule type="expression" dxfId="88" priority="127" stopIfTrue="1">
      <formula>OR(COUNTA($F49:$AJ49)&gt;5,COUNTA($F49:$AJ71)&gt;5* COUNTA($P49:$P71))</formula>
    </cfRule>
  </conditionalFormatting>
  <conditionalFormatting sqref="Q62:Q68">
    <cfRule type="expression" dxfId="87" priority="35" stopIfTrue="1">
      <formula>OR(COUNTA($A62:$AB62)&gt;5,COUNTA($A62:$AB102)&gt;5* COUNTA($E62:$E102))</formula>
    </cfRule>
  </conditionalFormatting>
  <conditionalFormatting sqref="Q69:Q72">
    <cfRule type="expression" dxfId="86" priority="31" stopIfTrue="1">
      <formula>OR(COUNTA($B69:$AC69)&gt;5,COUNTA($B69:$AC109)&gt;5* COUNTA($F69:$F109))</formula>
    </cfRule>
  </conditionalFormatting>
  <conditionalFormatting sqref="R46:R47">
    <cfRule type="expression" dxfId="85" priority="162" stopIfTrue="1">
      <formula>OR(COUNTA($F46:$AJ64)&gt;5* COUNTA($P46:$P64),COUNTA($F46:$AJ46)&gt;5)</formula>
    </cfRule>
  </conditionalFormatting>
  <conditionalFormatting sqref="R46:R48">
    <cfRule type="expression" dxfId="84" priority="131" stopIfTrue="1">
      <formula>AND(COUNT($Q46,$Y46)&gt;0,$Y46&gt;=$AD46,OR($AJ46="",$AJ46="Open",$AJ46="Occurred &amp; Open"))</formula>
    </cfRule>
    <cfRule type="expression" dxfId="83" priority="132" stopIfTrue="1">
      <formula>AND(COUNT($Q46,$Y46)&gt;0,$Y46&lt;$AD46,OR($AJ46="",$AJ46="Open",$AJ46="Occurred &amp; Open"))</formula>
    </cfRule>
  </conditionalFormatting>
  <conditionalFormatting sqref="R49">
    <cfRule type="expression" dxfId="82" priority="85" stopIfTrue="1">
      <formula>AND(COUNT($Q49,$Y49)&gt;0,$Y49&gt;=$AD49,OR($AJ49="",$AJ49="Open",$AJ49="Occurred &amp; Open"))</formula>
    </cfRule>
    <cfRule type="expression" dxfId="81" priority="86" stopIfTrue="1">
      <formula>AND(COUNT($Q49,$Y49)&gt;0,$Y49&lt;$AD49,OR($AJ49="",$AJ49="Open",$AJ49="Occurred &amp; Open"))</formula>
    </cfRule>
  </conditionalFormatting>
  <conditionalFormatting sqref="R48:W48">
    <cfRule type="expression" dxfId="80" priority="133" stopIfTrue="1">
      <formula>OR(COUNTA($F48:$AJ65)&gt;5* COUNTA($P48:$P65),COUNTA($F48:$AJ48)&gt;5)</formula>
    </cfRule>
  </conditionalFormatting>
  <conditionalFormatting sqref="R49:W49">
    <cfRule type="expression" dxfId="79" priority="87" stopIfTrue="1">
      <formula>OR(COUNTA($F49:$AJ68)&gt;5* COUNTA($P49:$P68),COUNTA($F49:$AJ49)&gt;5)</formula>
    </cfRule>
  </conditionalFormatting>
  <conditionalFormatting sqref="X3:Y3 Y4:Y5 Y8 X4:X72">
    <cfRule type="expression" dxfId="78" priority="43" stopIfTrue="1">
      <formula>OR(COUNTA($F3:$AJ43)&gt;5* COUNTA($P3:$P43),COUNTA($F3:$AJ3)&gt;5)</formula>
    </cfRule>
  </conditionalFormatting>
  <conditionalFormatting sqref="Y6:Y7 Y9:Y10">
    <cfRule type="expression" dxfId="77" priority="68" stopIfTrue="1">
      <formula>OR(COUNTA($F6:$AJ45)&gt;5* COUNTA($P6:$P45),COUNTA($F6:$AJ6)&gt;5)</formula>
    </cfRule>
  </conditionalFormatting>
  <conditionalFormatting sqref="Y11">
    <cfRule type="expression" dxfId="76" priority="52" stopIfTrue="1">
      <formula>OR(COUNTA($F11:$AJ49)&gt;5* COUNTA($P11:$P49),COUNTA($F11:$AJ11)&gt;5)</formula>
    </cfRule>
  </conditionalFormatting>
  <conditionalFormatting sqref="Y12 Y23:Y24">
    <cfRule type="expression" dxfId="75" priority="60" stopIfTrue="1">
      <formula>OR(COUNTA($F12:$AJ49)&gt;5* COUNTA($P12:$P49),COUNTA($F12:$AJ12)&gt;5)</formula>
    </cfRule>
  </conditionalFormatting>
  <conditionalFormatting sqref="Y13:Y14">
    <cfRule type="expression" dxfId="74" priority="71" stopIfTrue="1">
      <formula>OR(COUNTA($F13:$AJ49)&gt;5* COUNTA($P13:$P49),COUNTA($F13:$AJ13)&gt;5)</formula>
    </cfRule>
  </conditionalFormatting>
  <conditionalFormatting sqref="Y15:Y18">
    <cfRule type="expression" dxfId="73" priority="98" stopIfTrue="1">
      <formula>OR(COUNTA($F15:$AJ58)&gt;5* COUNTA($P15:$P58),COUNTA($F15:$AJ15)&gt;5)</formula>
    </cfRule>
  </conditionalFormatting>
  <conditionalFormatting sqref="Y25">
    <cfRule type="expression" dxfId="72" priority="159" stopIfTrue="1">
      <formula>OR(COUNTA($F25:$AJ66)&gt;5* COUNTA($P25:$P66),COUNTA($F25:$AJ25)&gt;5)</formula>
    </cfRule>
  </conditionalFormatting>
  <conditionalFormatting sqref="Y19:Y20">
    <cfRule type="expression" dxfId="71" priority="116" stopIfTrue="1">
      <formula>OR(COUNTA($F19:$AJ51)&gt;5* COUNTA($P19:$P51),COUNTA($F19:$AJ19)&gt;5)</formula>
    </cfRule>
  </conditionalFormatting>
  <conditionalFormatting sqref="Y21:Y22">
    <cfRule type="expression" dxfId="70" priority="64" stopIfTrue="1">
      <formula>OR(COUNTA($F21:$AJ56)&gt;5* COUNTA($P21:$P56),COUNTA($F21:$AJ21)&gt;5)</formula>
    </cfRule>
  </conditionalFormatting>
  <conditionalFormatting sqref="Y26">
    <cfRule type="expression" dxfId="69" priority="56" stopIfTrue="1">
      <formula>OR(COUNTA($F26:$AJ49)&gt;5* COUNTA($P26:$P49),COUNTA($F26:$AJ26)&gt;5)</formula>
    </cfRule>
  </conditionalFormatting>
  <conditionalFormatting sqref="Y27">
    <cfRule type="expression" dxfId="68" priority="145" stopIfTrue="1">
      <formula>OR(COUNTA($F25:$AJ61)&gt;5* COUNTA($P25:$P61),COUNTA($F27:$AJ27)&gt;5)</formula>
    </cfRule>
  </conditionalFormatting>
  <conditionalFormatting sqref="Y28">
    <cfRule type="expression" dxfId="67" priority="93" stopIfTrue="1">
      <formula>OR(COUNTA($F25:$AJ61)&gt;5* COUNTA($P25:$P61),COUNTA($F28:$AJ28)&gt;5)</formula>
    </cfRule>
  </conditionalFormatting>
  <conditionalFormatting sqref="Y29">
    <cfRule type="expression" dxfId="66" priority="102" stopIfTrue="1">
      <formula>OR(COUNTA($F25:$AJ61)&gt;5* COUNTA($P25:$P61),COUNTA($F29:$AJ29)&gt;5)</formula>
    </cfRule>
  </conditionalFormatting>
  <conditionalFormatting sqref="Y30:Y32">
    <cfRule type="expression" dxfId="65" priority="94" stopIfTrue="1">
      <formula>OR(COUNTA($F25:$AJ61)&gt;5* COUNTA($P25:$P61),COUNTA($F30:$AJ30)&gt;5)</formula>
    </cfRule>
  </conditionalFormatting>
  <conditionalFormatting sqref="Y33">
    <cfRule type="expression" dxfId="64" priority="106" stopIfTrue="1">
      <formula>OR(COUNTA($F33:$AJ66)&gt;5* COUNTA($P33:$P66),COUNTA($F33:$AJ33)&gt;5)</formula>
    </cfRule>
  </conditionalFormatting>
  <conditionalFormatting sqref="Y34">
    <cfRule type="expression" dxfId="63" priority="146" stopIfTrue="1">
      <formula>OR(COUNTA($F33:$AJ68)&gt;5* COUNTA($P33:$P68),COUNTA($F34:$AJ34)&gt;5)</formula>
    </cfRule>
  </conditionalFormatting>
  <conditionalFormatting sqref="Y35">
    <cfRule type="expression" dxfId="62" priority="147" stopIfTrue="1">
      <formula>OR(COUNTA($F33:$AJ66)&gt;5* COUNTA($P33:$P66),COUNTA($F35:$AJ35)&gt;5)</formula>
    </cfRule>
  </conditionalFormatting>
  <conditionalFormatting sqref="Y36">
    <cfRule type="expression" dxfId="61" priority="148" stopIfTrue="1">
      <formula>OR(COUNTA($F33:$AJ67)&gt;5* COUNTA($P33:$P67),COUNTA($F36:$AJ36)&gt;5)</formula>
    </cfRule>
  </conditionalFormatting>
  <conditionalFormatting sqref="Y37">
    <cfRule type="expression" dxfId="60" priority="125" stopIfTrue="1">
      <formula>OR(COUNTA($F33:$AJ68)&gt;5* COUNTA($P33:$P68),COUNTA($F37:$AJ37)&gt;5)</formula>
    </cfRule>
  </conditionalFormatting>
  <conditionalFormatting sqref="Y38 Y43:Y45">
    <cfRule type="expression" dxfId="59" priority="149" stopIfTrue="1">
      <formula>OR(COUNTA($F33:$AJ67)&gt;5* COUNTA($P33:$P67),COUNTA($F38:$AJ38)&gt;5)</formula>
    </cfRule>
  </conditionalFormatting>
  <conditionalFormatting sqref="Y39">
    <cfRule type="expression" dxfId="58" priority="79" stopIfTrue="1">
      <formula>OR(COUNTA($F39:$AJ73)&gt;5* COUNTA($P39:$P73),COUNTA($F39:$AJ39)&gt;5)</formula>
    </cfRule>
  </conditionalFormatting>
  <conditionalFormatting sqref="Y40:Y41">
    <cfRule type="expression" dxfId="57" priority="166" stopIfTrue="1">
      <formula>OR(COUNTA($F36:$AJ70)&gt;5* COUNTA($P36:$P70),COUNTA($F40:$AJ40)&gt;5)</formula>
    </cfRule>
  </conditionalFormatting>
  <conditionalFormatting sqref="Y42">
    <cfRule type="expression" dxfId="56" priority="150" stopIfTrue="1">
      <formula>OR(COUNTA($F36:$AJ70)&gt;5* COUNTA($P36:$P70),COUNTA($F42:$AJ42)&gt;5)</formula>
    </cfRule>
  </conditionalFormatting>
  <conditionalFormatting sqref="Y46:Y47">
    <cfRule type="expression" dxfId="55" priority="163" stopIfTrue="1">
      <formula>OR(COUNTA($F46:$AJ65)&gt;5* COUNTA($P46:$P65),COUNTA($F46:$AJ46)&gt;5)</formula>
    </cfRule>
  </conditionalFormatting>
  <conditionalFormatting sqref="Y48">
    <cfRule type="expression" dxfId="54" priority="134" stopIfTrue="1">
      <formula>OR(COUNTA($F48:$AJ66)&gt;5* COUNTA($P48:$P66),COUNTA($F48:$AJ48)&gt;5)</formula>
    </cfRule>
  </conditionalFormatting>
  <conditionalFormatting sqref="Y49:Y72">
    <cfRule type="expression" dxfId="53" priority="128" stopIfTrue="1">
      <formula>OR(COUNTA($F49:$AJ71)&gt;5* COUNTA($P49:$P71),COUNTA($F49:$AJ49)&gt;5)</formula>
    </cfRule>
  </conditionalFormatting>
  <conditionalFormatting sqref="AC3:AC5 AC8">
    <cfRule type="expression" dxfId="52" priority="44" stopIfTrue="1">
      <formula>OR(COUNTA($F3:$AJ43)&gt;5* COUNTA($P3:$P43),COUNTA($F3:$AJ3)&gt;5)</formula>
    </cfRule>
  </conditionalFormatting>
  <conditionalFormatting sqref="AC6:AC7 AC9:AC10">
    <cfRule type="expression" dxfId="51" priority="69" stopIfTrue="1">
      <formula>OR(COUNTA($F6:$AJ45)&gt;5* COUNTA($P6:$P45),COUNTA($F6:$AJ6)&gt;5)</formula>
    </cfRule>
  </conditionalFormatting>
  <conditionalFormatting sqref="AC11">
    <cfRule type="expression" dxfId="50" priority="53" stopIfTrue="1">
      <formula>OR(COUNTA($F11:$AJ49)&gt;5* COUNTA($P11:$P49),COUNTA($F11:$AJ11)&gt;5)</formula>
    </cfRule>
  </conditionalFormatting>
  <conditionalFormatting sqref="AC12 AC23:AC24">
    <cfRule type="expression" dxfId="49" priority="61" stopIfTrue="1">
      <formula>OR(COUNTA($F12:$AJ49)&gt;5* COUNTA($P12:$P49),COUNTA($F12:$AJ12)&gt;5)</formula>
    </cfRule>
  </conditionalFormatting>
  <conditionalFormatting sqref="AC13:AC14">
    <cfRule type="expression" dxfId="48" priority="72" stopIfTrue="1">
      <formula>OR(COUNTA($F13:$AJ49)&gt;5* COUNTA($P13:$P49),COUNTA($F13:$AJ13)&gt;5)</formula>
    </cfRule>
  </conditionalFormatting>
  <conditionalFormatting sqref="AC15:AC18">
    <cfRule type="expression" dxfId="47" priority="99" stopIfTrue="1">
      <formula>OR(COUNTA($F15:$AJ58)&gt;5* COUNTA($P15:$P58),COUNTA($F15:$AJ15)&gt;5)</formula>
    </cfRule>
  </conditionalFormatting>
  <conditionalFormatting sqref="AC25">
    <cfRule type="expression" dxfId="46" priority="160" stopIfTrue="1">
      <formula>OR(COUNTA($F25:$AJ66)&gt;5* COUNTA($P25:$P66),COUNTA($F25:$AJ25)&gt;5)</formula>
    </cfRule>
  </conditionalFormatting>
  <conditionalFormatting sqref="AC19:AC20">
    <cfRule type="expression" dxfId="45" priority="117" stopIfTrue="1">
      <formula>OR(COUNTA($F19:$AJ51)&gt;5* COUNTA($P19:$P51),COUNTA($F19:$AJ19)&gt;5)</formula>
    </cfRule>
  </conditionalFormatting>
  <conditionalFormatting sqref="AC21:AC22">
    <cfRule type="expression" dxfId="44" priority="65" stopIfTrue="1">
      <formula>OR(COUNTA($F21:$AJ56)&gt;5* COUNTA($P21:$P56),COUNTA($F21:$AJ21)&gt;5)</formula>
    </cfRule>
  </conditionalFormatting>
  <conditionalFormatting sqref="AC26">
    <cfRule type="expression" dxfId="43" priority="57" stopIfTrue="1">
      <formula>OR(COUNTA($F26:$AJ49)&gt;5* COUNTA($P26:$P49),COUNTA($F26:$AJ26)&gt;5)</formula>
    </cfRule>
  </conditionalFormatting>
  <conditionalFormatting sqref="AC27">
    <cfRule type="expression" dxfId="42" priority="151" stopIfTrue="1">
      <formula>OR(COUNTA($F25:$AJ61)&gt;5* COUNTA($P25:$P61),COUNTA($F27:$AJ27)&gt;5)</formula>
    </cfRule>
  </conditionalFormatting>
  <conditionalFormatting sqref="AC28">
    <cfRule type="expression" dxfId="41" priority="95" stopIfTrue="1">
      <formula>OR(COUNTA($F25:$AJ61)&gt;5* COUNTA($P25:$P61),COUNTA($F28:$AJ28)&gt;5)</formula>
    </cfRule>
  </conditionalFormatting>
  <conditionalFormatting sqref="AC29">
    <cfRule type="expression" dxfId="40" priority="103" stopIfTrue="1">
      <formula>OR(COUNTA($F25:$AJ61)&gt;5* COUNTA($P25:$P61),COUNTA($F29:$AJ29)&gt;5)</formula>
    </cfRule>
  </conditionalFormatting>
  <conditionalFormatting sqref="AC30:AC32">
    <cfRule type="expression" dxfId="39" priority="96" stopIfTrue="1">
      <formula>OR(COUNTA($F25:$AJ61)&gt;5* COUNTA($P25:$P61),COUNTA($F30:$AJ30)&gt;5)</formula>
    </cfRule>
  </conditionalFormatting>
  <conditionalFormatting sqref="AC33">
    <cfRule type="expression" dxfId="38" priority="107" stopIfTrue="1">
      <formula>OR(COUNTA($F33:$AJ66)&gt;5* COUNTA($P33:$P66),COUNTA($F33:$AJ33)&gt;5)</formula>
    </cfRule>
  </conditionalFormatting>
  <conditionalFormatting sqref="AC34">
    <cfRule type="expression" dxfId="37" priority="152" stopIfTrue="1">
      <formula>OR(COUNTA($F33:$AJ68)&gt;5* COUNTA($P33:$P68),COUNTA($F34:$AJ34)&gt;5)</formula>
    </cfRule>
  </conditionalFormatting>
  <conditionalFormatting sqref="AC35">
    <cfRule type="expression" dxfId="36" priority="153" stopIfTrue="1">
      <formula>OR(COUNTA($F33:$AJ66)&gt;5* COUNTA($P33:$P66),COUNTA($F35:$AJ35)&gt;5)</formula>
    </cfRule>
  </conditionalFormatting>
  <conditionalFormatting sqref="AC36">
    <cfRule type="expression" dxfId="35" priority="154" stopIfTrue="1">
      <formula>OR(COUNTA($F33:$AJ67)&gt;5* COUNTA($P33:$P67),COUNTA($F36:$AJ36)&gt;5)</formula>
    </cfRule>
  </conditionalFormatting>
  <conditionalFormatting sqref="AC37">
    <cfRule type="expression" dxfId="34" priority="126" stopIfTrue="1">
      <formula>OR(COUNTA($F33:$AJ68)&gt;5* COUNTA($P33:$P68),COUNTA($F37:$AJ37)&gt;5)</formula>
    </cfRule>
  </conditionalFormatting>
  <conditionalFormatting sqref="AC38 AC43:AC45">
    <cfRule type="expression" dxfId="33" priority="155" stopIfTrue="1">
      <formula>OR(COUNTA($F33:$AJ67)&gt;5* COUNTA($P33:$P67),COUNTA($F38:$AJ38)&gt;5)</formula>
    </cfRule>
  </conditionalFormatting>
  <conditionalFormatting sqref="AC39">
    <cfRule type="expression" dxfId="32" priority="80" stopIfTrue="1">
      <formula>OR(COUNTA($F39:$AJ73)&gt;5* COUNTA($P39:$P73),COUNTA($F39:$AJ39)&gt;5)</formula>
    </cfRule>
  </conditionalFormatting>
  <conditionalFormatting sqref="AC40:AC41">
    <cfRule type="expression" dxfId="31" priority="167" stopIfTrue="1">
      <formula>OR(COUNTA($F36:$AJ70)&gt;5* COUNTA($P36:$P70),COUNTA($F40:$AJ40)&gt;5)</formula>
    </cfRule>
  </conditionalFormatting>
  <conditionalFormatting sqref="AC42">
    <cfRule type="expression" dxfId="30" priority="156" stopIfTrue="1">
      <formula>OR(COUNTA($F36:$AJ70)&gt;5* COUNTA($P36:$P70),COUNTA($F42:$AJ42)&gt;5)</formula>
    </cfRule>
  </conditionalFormatting>
  <conditionalFormatting sqref="AC46:AC72">
    <cfRule type="expression" dxfId="29" priority="164" stopIfTrue="1">
      <formula>OR(COUNTA($F46:$AJ65)&gt;5* COUNTA($P46:$P65),COUNTA($F46:$AJ46)&gt;5)</formula>
    </cfRule>
  </conditionalFormatting>
  <conditionalFormatting sqref="A25:F25 I25:O25 R25:W25 AA25:AB25 AE25:AF25 AH25:AJ25">
    <cfRule type="expression" dxfId="28" priority="45" stopIfTrue="1">
      <formula>OR(COUNTA($F25:$AJ66)&gt;5* COUNTA($P25:$P66),COUNTA($F25:$AJ25)&gt;5)</formula>
    </cfRule>
  </conditionalFormatting>
  <conditionalFormatting sqref="AD19 AG19 A33:D33 F33 I33:O33 R33:W33 AA33:AB33 AE33:AF33 AH33:AJ33 E36:E37">
    <cfRule type="expression" dxfId="27" priority="108" stopIfTrue="1">
      <formula>OR(COUNTA($F19:$AJ52)&gt;5* COUNTA($P19:$P52),COUNTA($F19:$AJ19)&gt;5)</formula>
    </cfRule>
  </conditionalFormatting>
  <conditionalFormatting sqref="AD27">
    <cfRule type="expression" dxfId="26" priority="58" stopIfTrue="1">
      <formula>OR(COUNTA($F25:$AJ62)&gt;5* COUNTA($P25:$P62),COUNTA($F27:$AJ27)&gt;5)</formula>
    </cfRule>
  </conditionalFormatting>
  <conditionalFormatting sqref="AD28 AG28">
    <cfRule type="expression" dxfId="25" priority="75" stopIfTrue="1">
      <formula>OR(COUNTA($F25:$AJ62)&gt;5* COUNTA($P25:$P62),COUNTA($F28:$AJ28)&gt;5)</formula>
    </cfRule>
  </conditionalFormatting>
  <conditionalFormatting sqref="AD29 AG29">
    <cfRule type="expression" dxfId="24" priority="76" stopIfTrue="1">
      <formula>OR(COUNTA($F25:$AJ62)&gt;5* COUNTA($P25:$P62),COUNTA($F29:$AJ29)&gt;5)</formula>
    </cfRule>
  </conditionalFormatting>
  <conditionalFormatting sqref="AD30:AD32 AG30:AG32">
    <cfRule type="expression" dxfId="23" priority="74" stopIfTrue="1">
      <formula>OR(COUNTA($F25:$AJ62)&gt;5* COUNTA($P25:$P62),COUNTA($F30:$AJ30)&gt;5)</formula>
    </cfRule>
  </conditionalFormatting>
  <conditionalFormatting sqref="AD33 AG33 A39:D39 F39 I39:O39 R39:W39 AA39:AB39 AE39:AF39 AH39 AJ39">
    <cfRule type="expression" dxfId="22" priority="81" stopIfTrue="1">
      <formula>OR(COUNTA($F33:$AJ67)&gt;5* COUNTA($P33:$P67),COUNTA($F33:$AJ33)&gt;5)</formula>
    </cfRule>
  </conditionalFormatting>
  <conditionalFormatting sqref="AD34 AG34">
    <cfRule type="expression" dxfId="21" priority="119" stopIfTrue="1">
      <formula>OR(COUNTA($F33:$AJ69)&gt;5* COUNTA($P33:$P69),COUNTA($F34:$AJ34)&gt;5)</formula>
    </cfRule>
  </conditionalFormatting>
  <conditionalFormatting sqref="AD35 AG35">
    <cfRule type="expression" dxfId="20" priority="84" stopIfTrue="1">
      <formula>OR(COUNTA($F33:$AJ67)&gt;5* COUNTA($P33:$P67),COUNTA($F35:$AJ35)&gt;5)</formula>
    </cfRule>
  </conditionalFormatting>
  <conditionalFormatting sqref="AD36 AG36">
    <cfRule type="expression" dxfId="19" priority="111" stopIfTrue="1">
      <formula>OR(COUNTA($F33:$AJ68)&gt;5* COUNTA($P33:$P68),COUNTA($F36:$AJ36)&gt;5)</formula>
    </cfRule>
  </conditionalFormatting>
  <conditionalFormatting sqref="AD38 AG38 AG43 AD43:AD45">
    <cfRule type="expression" dxfId="18" priority="110" stopIfTrue="1">
      <formula>OR(COUNTA($F33:$AJ68)&gt;5* COUNTA($P33:$P68),COUNTA($F38:$AJ38)&gt;5)</formula>
    </cfRule>
  </conditionalFormatting>
  <conditionalFormatting sqref="AD42 AG42">
    <cfRule type="expression" dxfId="17" priority="112" stopIfTrue="1">
      <formula>OR(COUNTA($F36:$AJ71)&gt;5* COUNTA($P36:$P71),COUNTA($F42:$AJ42)&gt;5)</formula>
    </cfRule>
  </conditionalFormatting>
  <conditionalFormatting sqref="AF49 E45:F45 D48:F48 I48 F44 A44:A45 AE44:AJ45 B46:C47 J46:O47 R46:W47 A48 AA48:AB48 AE48:AJ48 AD48:AD72">
    <cfRule type="expression" dxfId="16" priority="114" stopIfTrue="1">
      <formula>OR(COUNTA($F44:$AJ62)&gt;5* COUNTA($P44:$P62),COUNTA($F44:$AJ44)&gt;5)</formula>
    </cfRule>
  </conditionalFormatting>
  <conditionalFormatting sqref="AG27">
    <cfRule type="expression" dxfId="15" priority="73" stopIfTrue="1">
      <formula>OR(COUNTA($F25:$AJ60)&gt;5* COUNTA($P25:$P60),COUNTA($F27:$AJ27)&gt;5)</formula>
    </cfRule>
  </conditionalFormatting>
  <conditionalFormatting sqref="P4">
    <cfRule type="expression" dxfId="14" priority="1" stopIfTrue="1">
      <formula>OR(COUNTA($F4:$AJ4)&gt;5,COUNTA($F4:$AJ44)&gt;5* COUNTA($P4:$P44))</formula>
    </cfRule>
  </conditionalFormatting>
  <dataValidations count="13">
    <dataValidation type="textLength" operator="lessThanOrEqual" allowBlank="1" showInputMessage="1" showErrorMessage="1" prompt="Text length cannot exceed 32 chars. Risk title is used for easy identification and used in charts." sqref="E73:E65533 E53 E56:E62 E8:E14 E19:E50" xr:uid="{00000000-0002-0000-0900-000000000000}">
      <formula1>32</formula1>
    </dataValidation>
    <dataValidation type="list" allowBlank="1" showInputMessage="1" showErrorMessage="1" sqref="AG62:AG72 AG3:AG49" xr:uid="{00000000-0002-0000-0900-000001000000}">
      <formula1>"External, Internal"</formula1>
    </dataValidation>
    <dataValidation type="date" operator="greaterThanOrEqual" allowBlank="1" showInputMessage="1" showErrorMessage="1" errorTitle="Data error" error="This field takes only date values." sqref="A55:A65533 A3:A52" xr:uid="{00000000-0002-0000-0900-000002000000}">
      <formula1>36892</formula1>
    </dataValidation>
    <dataValidation type="decimal" operator="greaterThan" allowBlank="1" showInputMessage="1" showErrorMessage="1" errorTitle="Data error" error="This field takes only numeric inputs" sqref="AA73:AB65533 AA3:AB62" xr:uid="{00000000-0002-0000-0900-000003000000}">
      <formula1>0</formula1>
    </dataValidation>
    <dataValidation type="list" allowBlank="1" showInputMessage="1" showErrorMessage="1" sqref="AJ73:AJ65533 AJ3:AJ62" xr:uid="{00000000-0002-0000-0900-000004000000}">
      <formula1>"Open,Occurred &amp; Open,Occurred &amp; Closed,Didn't occur &amp; Closed"</formula1>
    </dataValidation>
    <dataValidation allowBlank="1" showInputMessage="1" showErrorMessage="1" sqref="X3:X72 P3:P72" xr:uid="{00000000-0002-0000-0900-000005000000}"/>
    <dataValidation type="list" allowBlank="1" showInputMessage="1" showErrorMessage="1" sqref="R73:R65533 R3:R61 J3:J65533" xr:uid="{00000000-0002-0000-0900-000006000000}">
      <formula1>"0.1,0.3,0.5,0.7,0.9"</formula1>
    </dataValidation>
    <dataValidation type="list" allowBlank="1" showInputMessage="1" showErrorMessage="1" sqref="S3:W65533 K3:O65533" xr:uid="{00000000-0002-0000-0900-000007000000}">
      <formula1>"0,1,3,5,7,9"</formula1>
    </dataValidation>
    <dataValidation type="list" allowBlank="1" showInputMessage="1" showErrorMessage="1" sqref="B50:B51 B53:B54 B56:B61 B73:B3006" xr:uid="{00000000-0002-0000-0900-000008000000}">
      <formula1>"Man, Machine, Method, Material, Mother Nature"</formula1>
    </dataValidation>
    <dataValidation type="list" allowBlank="1" showInputMessage="1" showErrorMessage="1" sqref="B3:B49" xr:uid="{00000000-0002-0000-0900-000009000000}">
      <formula1>"People or Man, Infrastructure or Machine, Process or Method, Supplier or Material, External Environment or Mother Nature"</formula1>
    </dataValidation>
    <dataValidation type="list" allowBlank="1" showInputMessage="1" showErrorMessage="1" sqref="H62:H72" xr:uid="{00000000-0002-0000-0900-00000A000000}">
      <formula1>"ISMS,QMS,Both"</formula1>
    </dataValidation>
    <dataValidation type="list" allowBlank="1" showInputMessage="1" showErrorMessage="1" sqref="B62:B72" xr:uid="{00000000-0002-0000-0900-00000B000000}">
      <formula1>"People or manpower, Infrastructure or Machine, Process or Method, Supplier or Material, External Environment or Mother Nature"</formula1>
    </dataValidation>
    <dataValidation type="list" allowBlank="1" showInputMessage="1" showErrorMessage="1" sqref="R62:R72" xr:uid="{00000000-0002-0000-0900-00000C000000}">
      <formula1>".1,.3,.5,.7,.9"</formula1>
    </dataValidation>
  </dataValidations>
  <pageMargins left="0.75" right="0.75" top="1" bottom="1" header="0.5" footer="0.5"/>
  <pageSetup paperSize="9" scale="95" orientation="landscape" r:id="rId1"/>
  <headerFooter alignWithMargins="0">
    <oddFooter>&amp;R&amp;P of &amp;N</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4">
    <tabColor rgb="FFFF0000"/>
  </sheetPr>
  <dimension ref="A1:AV496"/>
  <sheetViews>
    <sheetView topLeftCell="E1" zoomScale="82" zoomScaleNormal="80" workbookViewId="0">
      <selection activeCell="Q6" sqref="Q6"/>
    </sheetView>
  </sheetViews>
  <sheetFormatPr defaultColWidth="9.140625" defaultRowHeight="12.75" x14ac:dyDescent="0.2"/>
  <cols>
    <col min="1" max="1" width="38" style="4" bestFit="1" customWidth="1"/>
    <col min="2" max="2" width="14.28515625" style="5" bestFit="1" customWidth="1"/>
    <col min="3" max="3" width="15.140625" style="5" bestFit="1" customWidth="1"/>
    <col min="4" max="4" width="13.85546875" style="5" bestFit="1" customWidth="1"/>
    <col min="5" max="5" width="15.140625" style="5" bestFit="1" customWidth="1"/>
    <col min="6" max="7" width="12.85546875" style="5" customWidth="1"/>
    <col min="8" max="10" width="11.5703125" style="21" customWidth="1"/>
    <col min="11" max="12" width="16.28515625" style="1" customWidth="1"/>
    <col min="13" max="14" width="16.42578125" style="1" customWidth="1"/>
    <col min="15" max="15" width="13.5703125" style="4" customWidth="1"/>
    <col min="16" max="16" width="11" style="4" customWidth="1"/>
    <col min="17" max="17" width="25.85546875" style="4" customWidth="1"/>
    <col min="18" max="20" width="10.5703125" style="10" customWidth="1"/>
    <col min="21" max="21" width="11.28515625" style="10" customWidth="1"/>
    <col min="22" max="23" width="9.140625" style="10"/>
    <col min="24" max="24" width="12.28515625" style="22" customWidth="1"/>
    <col min="25" max="25" width="9.140625" style="22"/>
    <col min="26" max="31" width="9.140625" style="10"/>
    <col min="32" max="32" width="10.140625" style="57" customWidth="1"/>
    <col min="33" max="33" width="10.5703125" style="10" customWidth="1"/>
    <col min="34" max="34" width="12.7109375" style="10" bestFit="1" customWidth="1"/>
    <col min="35" max="35" width="34.85546875" style="22" customWidth="1"/>
    <col min="36" max="39" width="9.140625" style="22"/>
    <col min="40" max="47" width="9.140625" style="10"/>
    <col min="48" max="48" width="12.140625" style="22" customWidth="1"/>
    <col min="49" max="16384" width="9.140625" style="1"/>
  </cols>
  <sheetData>
    <row r="1" spans="1:48" ht="33" customHeight="1" x14ac:dyDescent="0.2">
      <c r="A1" s="220" t="s">
        <v>1030</v>
      </c>
      <c r="B1" s="564" t="s">
        <v>829</v>
      </c>
      <c r="C1" s="564"/>
      <c r="D1" s="564"/>
      <c r="E1" s="564"/>
      <c r="F1" s="564"/>
      <c r="G1" s="564"/>
      <c r="H1" s="565" t="s">
        <v>830</v>
      </c>
      <c r="I1" s="565"/>
      <c r="J1" s="565"/>
      <c r="K1" s="566" t="s">
        <v>1031</v>
      </c>
      <c r="L1" s="566"/>
      <c r="M1" s="566" t="s">
        <v>1032</v>
      </c>
      <c r="N1" s="566"/>
      <c r="O1" s="566" t="s">
        <v>13</v>
      </c>
      <c r="P1" s="566"/>
      <c r="Q1" s="220" t="s">
        <v>933</v>
      </c>
      <c r="U1" s="22" t="s">
        <v>1033</v>
      </c>
      <c r="V1" s="22" t="s">
        <v>1034</v>
      </c>
      <c r="W1" s="22" t="s">
        <v>1035</v>
      </c>
      <c r="X1" s="22" t="s">
        <v>1036</v>
      </c>
      <c r="Y1" s="22" t="s">
        <v>1037</v>
      </c>
      <c r="Z1" s="10">
        <f t="array" ref="Z1">MAX(IF(O3:O496="Completed",V3:V496,0))</f>
        <v>3</v>
      </c>
    </row>
    <row r="2" spans="1:48" ht="63.75" x14ac:dyDescent="0.2">
      <c r="A2" s="221" t="s">
        <v>1038</v>
      </c>
      <c r="B2" s="245" t="s">
        <v>1039</v>
      </c>
      <c r="C2" s="245" t="s">
        <v>1040</v>
      </c>
      <c r="D2" s="246" t="s">
        <v>1041</v>
      </c>
      <c r="E2" s="246" t="s">
        <v>1042</v>
      </c>
      <c r="F2" s="247" t="s">
        <v>28</v>
      </c>
      <c r="G2" s="247" t="s">
        <v>29</v>
      </c>
      <c r="H2" s="245" t="s">
        <v>1043</v>
      </c>
      <c r="I2" s="246" t="s">
        <v>1044</v>
      </c>
      <c r="J2" s="247" t="s">
        <v>1045</v>
      </c>
      <c r="K2" s="241" t="s">
        <v>1046</v>
      </c>
      <c r="L2" s="241" t="s">
        <v>1047</v>
      </c>
      <c r="M2" s="242" t="s">
        <v>1048</v>
      </c>
      <c r="N2" s="242" t="s">
        <v>1049</v>
      </c>
      <c r="O2" s="345" t="s">
        <v>1050</v>
      </c>
      <c r="P2" s="345" t="s">
        <v>1051</v>
      </c>
      <c r="Q2" s="346"/>
      <c r="R2" s="10" t="s">
        <v>1052</v>
      </c>
      <c r="S2" s="10" t="s">
        <v>1053</v>
      </c>
      <c r="T2" s="10" t="s">
        <v>1054</v>
      </c>
      <c r="U2" s="10" t="s">
        <v>1055</v>
      </c>
      <c r="V2" s="10" t="s">
        <v>1056</v>
      </c>
      <c r="X2" s="22" t="s">
        <v>1057</v>
      </c>
      <c r="Y2" s="22" t="s">
        <v>1058</v>
      </c>
      <c r="Z2" s="10" t="s">
        <v>1059</v>
      </c>
      <c r="AA2" s="10" t="s">
        <v>1060</v>
      </c>
      <c r="AB2" s="10" t="s">
        <v>1061</v>
      </c>
      <c r="AC2" s="10" t="s">
        <v>1062</v>
      </c>
      <c r="AD2" s="10" t="s">
        <v>1063</v>
      </c>
      <c r="AE2" s="10" t="s">
        <v>1064</v>
      </c>
      <c r="AF2" s="57" t="s">
        <v>1065</v>
      </c>
      <c r="AG2" s="10" t="s">
        <v>1066</v>
      </c>
      <c r="AH2" s="10" t="s">
        <v>1067</v>
      </c>
      <c r="AI2" s="22" t="s">
        <v>1068</v>
      </c>
      <c r="AJ2" s="22" t="s">
        <v>1069</v>
      </c>
      <c r="AK2" s="22" t="s">
        <v>1070</v>
      </c>
      <c r="AL2" s="22" t="s">
        <v>1071</v>
      </c>
      <c r="AM2" s="22" t="s">
        <v>1072</v>
      </c>
      <c r="AN2" s="10" t="s">
        <v>1073</v>
      </c>
      <c r="AP2" s="10" t="s">
        <v>1074</v>
      </c>
      <c r="AR2" s="10" t="s">
        <v>1075</v>
      </c>
      <c r="AT2" s="10" t="s">
        <v>1076</v>
      </c>
      <c r="AV2" s="22" t="s">
        <v>1077</v>
      </c>
    </row>
    <row r="3" spans="1:48" ht="36.75" customHeight="1" x14ac:dyDescent="0.25">
      <c r="A3" s="262" t="s">
        <v>1078</v>
      </c>
      <c r="B3" s="91"/>
      <c r="C3" s="91"/>
      <c r="D3" s="91"/>
      <c r="E3" s="91"/>
      <c r="F3" s="91"/>
      <c r="G3" s="91"/>
      <c r="H3" s="82"/>
      <c r="I3" s="82"/>
      <c r="J3" s="82"/>
      <c r="K3" s="243" t="str">
        <f>IF(AND(COUNTA(B3:C3)&gt;1,COUNTA(F3:G3)&gt;1,O3="Completed"),(G3-F3)/(C3-B3+1)%,"")</f>
        <v/>
      </c>
      <c r="L3" s="243" t="str">
        <f>IF(AND(COUNTA(D3:E3)&gt;1,COUNTA(F3:G3)&gt;1,O3="Completed"),(G3-F3)/(E3-D3+1)%,"")</f>
        <v/>
      </c>
      <c r="M3" s="248" t="e">
        <f>(H3-I3)/H3</f>
        <v>#DIV/0!</v>
      </c>
      <c r="N3" s="248" t="e">
        <f>(I3-J3)/I3</f>
        <v>#DIV/0!</v>
      </c>
      <c r="O3" s="249" t="s">
        <v>1037</v>
      </c>
      <c r="P3" s="249" t="s">
        <v>1028</v>
      </c>
      <c r="Q3" s="101"/>
      <c r="R3" s="10" t="str">
        <f>IF(H3&lt;&gt;"",SUMIF(H$3:H3,"&lt;&gt;" &amp; "",H$3:H3),"")</f>
        <v/>
      </c>
      <c r="S3" s="10">
        <f t="array" ref="S3">IF(O3="Completed",SUMIF(W$3:W3,"&lt;&gt;" &amp; "",W$3:W3),"")</f>
        <v>0</v>
      </c>
      <c r="T3" s="10" t="str">
        <f t="array" ref="T3">IF(AND(J3&lt;&gt;"",O3="Completed"),SUM(IF(O$3:O3="Completed",J$3:J3,0)),"")</f>
        <v/>
      </c>
      <c r="U3" s="10">
        <f t="shared" ref="U3:U66" si="0">IF(AND(A3&lt;&gt;"",P3="Yes"),ROW(),"")</f>
        <v>3</v>
      </c>
      <c r="V3" s="10">
        <f>ROW()</f>
        <v>3</v>
      </c>
      <c r="W3" s="10" t="str">
        <f t="shared" ref="W3:W8" si="1">IF(O3="Completed",IF(COUNT($I$3:$I$596)&gt;0,IF(I3&lt;&gt;"",I3,H3),""),"")</f>
        <v/>
      </c>
      <c r="X3" s="22" t="str">
        <f ca="1">IF(ISERROR(SMALL('Control panel'!E$3:E$23,ROW()-2)),"",INDIRECT("'Control panel'!A" &amp; SMALL('Control panel'!E$3:E$23,ROW()-2),1))</f>
        <v>Analysis and design</v>
      </c>
      <c r="Y3" s="22" t="str">
        <f ca="1">IF(ISERROR(SMALL('Control panel'!D$3:D$23,ROW()-2)),"",INDIRECT("'Control panel'!B" &amp; SMALL('Control panel'!D$3:D$23,ROW()-2),2))</f>
        <v>Hours</v>
      </c>
      <c r="Z3" s="10">
        <f>IF(A3&lt;&gt;"",'Metrics planning and tracking'!$K$4,"")</f>
        <v>10</v>
      </c>
      <c r="AA3" s="10">
        <f>IF(A3&lt;&gt;"",'Metrics planning and tracking'!$K$5,"")</f>
        <v>5</v>
      </c>
      <c r="AB3" s="10">
        <f>IF(A3&lt;&gt;"",'Metrics planning and tracking'!$K$2,"")</f>
        <v>10</v>
      </c>
      <c r="AC3" s="10">
        <f>IF(A3&lt;&gt;"",'Metrics planning and tracking'!$K$3,"")</f>
        <v>5</v>
      </c>
      <c r="AD3" s="10" t="e">
        <f>IF(A3&lt;&gt;"",IF(AND(#REF!&lt;&gt;"",#REF!&lt;&gt;"",#REF!&lt;&gt;0),#REF!/#REF!*100,"NA"),"")</f>
        <v>#REF!</v>
      </c>
      <c r="AE3" s="10" t="e">
        <f>IF(A3&lt;&gt;"",IF(AND(#REF!&lt;&gt;"",#REF!&lt;&gt;"",#REF!&lt;&gt;0),#REF!/#REF!*100,"NA"),"")</f>
        <v>#REF!</v>
      </c>
      <c r="AF3" s="57" t="e">
        <f>IF($O3="Completed",IF(#REF!&lt;&gt;"",#REF!,IF(#REF!&lt;&gt;"",#REF!,"")),"")</f>
        <v>#REF!</v>
      </c>
      <c r="AG3" s="57" t="e">
        <f>IF($O3="Completed",IF(#REF!&lt;&gt;"",#REF!,IF(#REF!&lt;&gt;"",#REF!,"")),"")</f>
        <v>#REF!</v>
      </c>
      <c r="AH3" s="58" t="str">
        <f t="shared" ref="AH3:AH8" si="2">IF(O3="Completed",IF(L3&lt;&gt;"",L3,IF(K3&lt;&gt;"",K3,"")),"")</f>
        <v/>
      </c>
      <c r="AI3" s="275" t="s">
        <v>1079</v>
      </c>
      <c r="AJ3" s="22" t="e">
        <f t="array" aca="1" ref="AJ3" ca="1">IF(AND(COUNTIF('Control panel'!$A$4:$A$23,$X3)&gt;=COLUMN(#REF!),$X3&lt;&gt;""),INDIRECT("'Control panel'!B" &amp; SMALL(IF('Control panel'!$A$4:$A$23=$X3,'Control panel'!$C$4:$C$23,100),COLUMN(#REF!)),1),"")</f>
        <v>#REF!</v>
      </c>
      <c r="AK3" s="22" t="e">
        <f t="array" aca="1" ref="AK3" ca="1">IF(AND(COUNTIF('Control panel'!$A$4:$A$23,$X3)&gt;=COLUMN(#REF!),$X3&lt;&gt;""),INDIRECT("'Control panel'!B" &amp; SMALL(IF('Control panel'!$A$4:$A$23=$X3,'Control panel'!$C$4:$C$23,100),COLUMN(#REF!)),1),"")</f>
        <v>#REF!</v>
      </c>
      <c r="AL3" s="22" t="e">
        <f t="array" aca="1" ref="AL3" ca="1">IF(AND(COUNTIF('Control panel'!$A$4:$A$23,$X3)&gt;=COLUMN(#REF!),$X3&lt;&gt;""),INDIRECT("'Control panel'!B" &amp; SMALL(IF('Control panel'!$A$4:$A$23=$X3,'Control panel'!$C$4:$C$23,100),COLUMN(#REF!)),1),"")</f>
        <v>#REF!</v>
      </c>
      <c r="AM3" s="22" t="e">
        <f t="array" aca="1" ref="AM3" ca="1">IF(AND(COUNTIF('Control panel'!$A$4:$A$23,$X3)&gt;=COLUMN(#REF!),$X3&lt;&gt;""),INDIRECT("'Control panel'!B" &amp; SMALL(IF('Control panel'!$A$4:$A$23=$X3,'Control panel'!$C$4:$C$23,100),COLUMN(#REF!)),1),"")</f>
        <v>#REF!</v>
      </c>
      <c r="AN3" s="10">
        <f>IF(A$3&lt;&gt;"",'Metrics planning and tracking'!$L$2,"")</f>
        <v>15</v>
      </c>
      <c r="AO3" s="10">
        <f>IF(A$3&lt;&gt;"",'Metrics planning and tracking'!$M$2,"")</f>
        <v>0</v>
      </c>
      <c r="AP3" s="10">
        <f>IF(A$3&lt;&gt;"",'Metrics planning and tracking'!$L$3,"")</f>
        <v>10</v>
      </c>
      <c r="AQ3" s="10">
        <f>IF(A$3&lt;&gt;"",'Metrics planning and tracking'!$M$3,"")</f>
        <v>0</v>
      </c>
      <c r="AR3" s="10">
        <f>IF(A$3&lt;&gt;"",'Metrics planning and tracking'!$L$4,"")</f>
        <v>15</v>
      </c>
      <c r="AS3" s="10">
        <f>IF(A$3&lt;&gt;"",'Metrics planning and tracking'!$M$4,"")</f>
        <v>0</v>
      </c>
      <c r="AT3" s="10">
        <f>IF(A$3&lt;&gt;"",'Metrics planning and tracking'!$L$5,"")</f>
        <v>10</v>
      </c>
      <c r="AU3" s="10">
        <f>IF(A$3&lt;&gt;"",'Metrics planning and tracking'!$M$5,"")</f>
        <v>0</v>
      </c>
      <c r="AV3" s="22" t="e">
        <f>IF(A3&lt;&gt;"",A3 &amp; "-" &amp;#REF! &amp; ROW(),"")</f>
        <v>#REF!</v>
      </c>
    </row>
    <row r="4" spans="1:48" ht="39.75" customHeight="1" x14ac:dyDescent="0.25">
      <c r="A4" s="262" t="s">
        <v>1080</v>
      </c>
      <c r="B4" s="91"/>
      <c r="C4" s="91"/>
      <c r="D4" s="91"/>
      <c r="E4" s="91"/>
      <c r="F4" s="91"/>
      <c r="G4" s="91"/>
      <c r="H4" s="82"/>
      <c r="I4" s="82"/>
      <c r="J4" s="82"/>
      <c r="K4" s="243" t="str">
        <f t="shared" ref="K4:K27" si="3">IF(AND(COUNTA(B4:C4)&gt;1,COUNTA(F4:G4)&gt;1,O4="Completed"),(G4-F4)/(C4-B4+1)%,"")</f>
        <v/>
      </c>
      <c r="L4" s="243" t="str">
        <f t="shared" ref="L4:L27" si="4">IF(AND(COUNTA(D4:E4)&gt;1,COUNTA(F4:G4)&gt;1,O4="Completed"),(G4-F4)/(E4-D4+1)%,"")</f>
        <v/>
      </c>
      <c r="M4" s="244" t="e">
        <f t="shared" ref="M4:M8" si="5">(H4-I4)/H4</f>
        <v>#DIV/0!</v>
      </c>
      <c r="N4" s="244" t="e">
        <f t="shared" ref="N4:N8" si="6">(I4-J4)/I4</f>
        <v>#DIV/0!</v>
      </c>
      <c r="O4" s="249" t="s">
        <v>1034</v>
      </c>
      <c r="P4" s="249" t="s">
        <v>1028</v>
      </c>
      <c r="Q4" s="101"/>
      <c r="R4" s="10" t="str">
        <f>IF(H4&lt;&gt;"",SUMIF(H$3:H4,"&lt;&gt;" &amp; "",H$3:H4),"")</f>
        <v/>
      </c>
      <c r="S4" s="10" t="str">
        <f t="array" ref="S4">IF(O4="Completed",SUMIF(W$3:W4,"&lt;&gt;" &amp; "",W$3:W4),"")</f>
        <v/>
      </c>
      <c r="T4" s="10" t="str">
        <f t="array" ref="T4">IF(AND(J4&lt;&gt;"",O4="Completed"),SUM(IF(O$3:O4="Completed",J$3:J4,0)),"")</f>
        <v/>
      </c>
      <c r="U4" s="10">
        <f t="shared" si="0"/>
        <v>4</v>
      </c>
      <c r="V4" s="10">
        <f>ROW()</f>
        <v>4</v>
      </c>
      <c r="W4" s="10" t="str">
        <f t="shared" si="1"/>
        <v/>
      </c>
      <c r="X4" s="22" t="str">
        <f ca="1">IF(ISERROR(SMALL('Control panel'!E$3:E$23,ROW()-2)),"",INDIRECT("'Control panel'!A" &amp; SMALL('Control panel'!E$3:E$23,ROW()-2),1))</f>
        <v>Coding and unit testing</v>
      </c>
      <c r="Y4" s="22" t="str">
        <f ca="1">IF(ISERROR(SMALL('Control panel'!D$3:D$23,ROW()-2)),"",INDIRECT("'Control panel'!B" &amp; SMALL('Control panel'!D$3:D$23,ROW()-2),2))</f>
        <v/>
      </c>
      <c r="Z4" s="10">
        <f>IF(A4&lt;&gt;"",'Metrics planning and tracking'!$K$4,"")</f>
        <v>10</v>
      </c>
      <c r="AA4" s="10">
        <f>IF(A4&lt;&gt;"",'Metrics planning and tracking'!$K$5,"")</f>
        <v>5</v>
      </c>
      <c r="AB4" s="10">
        <f>IF(A4&lt;&gt;"",'Metrics planning and tracking'!$K$2,"")</f>
        <v>10</v>
      </c>
      <c r="AC4" s="10">
        <f>IF(A4&lt;&gt;"",'Metrics planning and tracking'!$K$3,"")</f>
        <v>5</v>
      </c>
      <c r="AD4" s="10" t="e">
        <f>IF(A4&lt;&gt;"",IF(AND(#REF!&lt;&gt;"",#REF!&lt;&gt;"",#REF!&lt;&gt;0),#REF!/#REF!*100,"NA"),"")</f>
        <v>#REF!</v>
      </c>
      <c r="AE4" s="10" t="e">
        <f>IF(A4&lt;&gt;"",IF(AND(#REF!&lt;&gt;"",#REF!&lt;&gt;"",#REF!&lt;&gt;0),#REF!/#REF!*100,"NA"),"")</f>
        <v>#REF!</v>
      </c>
      <c r="AF4" s="57" t="str">
        <f>IF($O4="Completed",IF(#REF!&lt;&gt;"",#REF!,IF(B3&lt;&gt;"",B3,"")),"")</f>
        <v/>
      </c>
      <c r="AG4" s="57" t="str">
        <f>IF($O4="Completed",IF(#REF!&lt;&gt;"",#REF!,IF(C3&lt;&gt;"",C3,"")),"")</f>
        <v/>
      </c>
      <c r="AH4" s="58" t="str">
        <f t="shared" si="2"/>
        <v/>
      </c>
      <c r="AI4" s="275" t="s">
        <v>1081</v>
      </c>
      <c r="AJ4" s="22" t="e">
        <f t="array" aca="1" ref="AJ4" ca="1">IF(AND(COUNTIF('Control panel'!$A$4:$A$23,$X4)&gt;=COLUMN(#REF!),$X4&lt;&gt;""),INDIRECT("'Control panel'!B" &amp; SMALL(IF('Control panel'!$A$4:$A$23=$X4,'Control panel'!$C$4:$C$23,100),COLUMN(#REF!)),1),"")</f>
        <v>#REF!</v>
      </c>
      <c r="AK4" s="22" t="e">
        <f t="array" aca="1" ref="AK4" ca="1">IF(AND(COUNTIF('Control panel'!$A$4:$A$23,$X4)&gt;=COLUMN(#REF!),$X4&lt;&gt;""),INDIRECT("'Control panel'!B" &amp; SMALL(IF('Control panel'!$A$4:$A$23=$X4,'Control panel'!$C$4:$C$23,100),COLUMN(#REF!)),1),"")</f>
        <v>#REF!</v>
      </c>
      <c r="AL4" s="22" t="e">
        <f t="array" aca="1" ref="AL4" ca="1">IF(AND(COUNTIF('Control panel'!$A$4:$A$23,$X4)&gt;=COLUMN(#REF!),$X4&lt;&gt;""),INDIRECT("'Control panel'!B" &amp; SMALL(IF('Control panel'!$A$4:$A$23=$X4,'Control panel'!$C$4:$C$23,100),COLUMN(#REF!)),1),"")</f>
        <v>#REF!</v>
      </c>
      <c r="AM4" s="22" t="e">
        <f t="array" aca="1" ref="AM4" ca="1">IF(AND(COUNTIF('Control panel'!$A$4:$A$23,$X4)&gt;=COLUMN(#REF!),$X4&lt;&gt;""),INDIRECT("'Control panel'!B" &amp; SMALL(IF('Control panel'!$A$4:$A$23=$X4,'Control panel'!$C$4:$C$23,100),COLUMN(#REF!)),1),"")</f>
        <v>#REF!</v>
      </c>
      <c r="AV4" s="22" t="e">
        <f>IF(A4&lt;&gt;"",A4 &amp; "-" &amp;#REF! &amp; ROW(),"")</f>
        <v>#REF!</v>
      </c>
    </row>
    <row r="5" spans="1:48" ht="33" customHeight="1" x14ac:dyDescent="0.25">
      <c r="A5" s="262" t="s">
        <v>1082</v>
      </c>
      <c r="B5" s="91"/>
      <c r="C5" s="91"/>
      <c r="D5" s="91"/>
      <c r="E5" s="91"/>
      <c r="F5" s="91"/>
      <c r="G5" s="91"/>
      <c r="H5" s="82"/>
      <c r="I5" s="82"/>
      <c r="J5" s="82"/>
      <c r="K5" s="243" t="str">
        <f t="shared" si="3"/>
        <v/>
      </c>
      <c r="L5" s="243" t="str">
        <f t="shared" si="4"/>
        <v/>
      </c>
      <c r="M5" s="244" t="e">
        <f t="shared" si="5"/>
        <v>#DIV/0!</v>
      </c>
      <c r="N5" s="244" t="e">
        <f t="shared" si="6"/>
        <v>#DIV/0!</v>
      </c>
      <c r="O5" s="249" t="s">
        <v>1033</v>
      </c>
      <c r="P5" s="249" t="s">
        <v>1083</v>
      </c>
      <c r="Q5" s="101"/>
      <c r="R5" s="10" t="str">
        <f>IF(H5&lt;&gt;"",SUMIF(H$3:H5,"&lt;&gt;" &amp; "",H$3:H5),"")</f>
        <v/>
      </c>
      <c r="S5" s="10" t="str">
        <f t="array" ref="S5">IF(O5="Completed",SUMIF(W$3:W5,"&lt;&gt;" &amp; "",W$3:W5),"")</f>
        <v/>
      </c>
      <c r="T5" s="10" t="str">
        <f t="array" ref="T5">IF(AND(J5&lt;&gt;"",O5="Completed"),SUM(IF(O$3:O5="Completed",J$3:J5,0)),"")</f>
        <v/>
      </c>
      <c r="U5" s="10" t="str">
        <f t="shared" si="0"/>
        <v/>
      </c>
      <c r="V5" s="10">
        <f>ROW()</f>
        <v>5</v>
      </c>
      <c r="W5" s="10" t="str">
        <f t="shared" si="1"/>
        <v/>
      </c>
      <c r="X5" s="22" t="str">
        <f ca="1">IF(ISERROR(SMALL('Control panel'!E$3:E$23,ROW()-2)),"",INDIRECT("'Control panel'!A" &amp; SMALL('Control panel'!E$3:E$23,ROW()-2),1))</f>
        <v>System integration testing</v>
      </c>
      <c r="Y5" s="22" t="str">
        <f ca="1">IF(ISERROR(SMALL('Control panel'!D$3:D$23,ROW()-2)),"",INDIRECT("'Control panel'!B" &amp; SMALL('Control panel'!D$3:D$23,ROW()-2),2))</f>
        <v/>
      </c>
      <c r="Z5" s="10">
        <f>IF(A5&lt;&gt;"",'Metrics planning and tracking'!$K$4,"")</f>
        <v>10</v>
      </c>
      <c r="AA5" s="10">
        <f>IF(A5&lt;&gt;"",'Metrics planning and tracking'!$K$5,"")</f>
        <v>5</v>
      </c>
      <c r="AB5" s="10">
        <f>IF(A5&lt;&gt;"",'Metrics planning and tracking'!$K$2,"")</f>
        <v>10</v>
      </c>
      <c r="AC5" s="10">
        <f>IF(A5&lt;&gt;"",'Metrics planning and tracking'!$K$3,"")</f>
        <v>5</v>
      </c>
      <c r="AD5" s="10" t="e">
        <f>IF(A5&lt;&gt;"",IF(AND(#REF!&lt;&gt;"",#REF!&lt;&gt;"",#REF!&lt;&gt;0),#REF!/#REF!*100,"NA"),"")</f>
        <v>#REF!</v>
      </c>
      <c r="AE5" s="10" t="e">
        <f>IF(A5&lt;&gt;"",IF(AND(#REF!&lt;&gt;"",#REF!&lt;&gt;"",#REF!&lt;&gt;0),#REF!/#REF!*100,"NA"),"")</f>
        <v>#REF!</v>
      </c>
      <c r="AF5" s="57" t="str">
        <f>IF($O5="Completed",IF(D4&lt;&gt;"",D4,IF(#REF!&lt;&gt;"",#REF!,"")),"")</f>
        <v/>
      </c>
      <c r="AG5" s="57" t="str">
        <f>IF($O5="Completed",IF(E4&lt;&gt;"",E4,IF(#REF!&lt;&gt;"",#REF!,"")),"")</f>
        <v/>
      </c>
      <c r="AH5" s="58" t="str">
        <f t="shared" si="2"/>
        <v/>
      </c>
      <c r="AI5" s="275" t="s">
        <v>1084</v>
      </c>
      <c r="AJ5" s="22" t="e">
        <f t="array" aca="1" ref="AJ5" ca="1">IF(AND(COUNTIF('Control panel'!$A$4:$A$23,$X5)&gt;=COLUMN(#REF!),$X5&lt;&gt;""),INDIRECT("'Control panel'!B" &amp; SMALL(IF('Control panel'!$A$4:$A$23=$X5,'Control panel'!$C$4:$C$23,100),COLUMN(#REF!)),1),"")</f>
        <v>#REF!</v>
      </c>
      <c r="AK5" s="22" t="e">
        <f t="array" aca="1" ref="AK5" ca="1">IF(AND(COUNTIF('Control panel'!$A$4:$A$23,$X5)&gt;=COLUMN(#REF!),$X5&lt;&gt;""),INDIRECT("'Control panel'!B" &amp; SMALL(IF('Control panel'!$A$4:$A$23=$X5,'Control panel'!$C$4:$C$23,100),COLUMN(#REF!)),1),"")</f>
        <v>#REF!</v>
      </c>
      <c r="AL5" s="22" t="e">
        <f t="array" aca="1" ref="AL5" ca="1">IF(AND(COUNTIF('Control panel'!$A$4:$A$23,$X5)&gt;=COLUMN(#REF!),$X5&lt;&gt;""),INDIRECT("'Control panel'!B" &amp; SMALL(IF('Control panel'!$A$4:$A$23=$X5,'Control panel'!$C$4:$C$23,100),COLUMN(#REF!)),1),"")</f>
        <v>#REF!</v>
      </c>
      <c r="AM5" s="22" t="e">
        <f t="array" aca="1" ref="AM5" ca="1">IF(AND(COUNTIF('Control panel'!$A$4:$A$23,$X5)&gt;=COLUMN(#REF!),$X5&lt;&gt;""),INDIRECT("'Control panel'!B" &amp; SMALL(IF('Control panel'!$A$4:$A$23=$X5,'Control panel'!$C$4:$C$23,100),COLUMN(#REF!)),1),"")</f>
        <v>#REF!</v>
      </c>
      <c r="AV5" s="22" t="e">
        <f>IF(A5&lt;&gt;"",A5 &amp; "-" &amp;#REF! &amp; ROW(),"")</f>
        <v>#REF!</v>
      </c>
    </row>
    <row r="6" spans="1:48" ht="39.75" customHeight="1" x14ac:dyDescent="0.25">
      <c r="A6" s="262" t="s">
        <v>1085</v>
      </c>
      <c r="B6" s="91"/>
      <c r="C6" s="91"/>
      <c r="D6" s="91"/>
      <c r="E6" s="91"/>
      <c r="F6" s="91"/>
      <c r="G6" s="89"/>
      <c r="H6" s="82"/>
      <c r="I6" s="82"/>
      <c r="J6" s="82"/>
      <c r="K6" s="243" t="str">
        <f t="shared" si="3"/>
        <v/>
      </c>
      <c r="L6" s="243" t="str">
        <f t="shared" si="4"/>
        <v/>
      </c>
      <c r="M6" s="244" t="e">
        <f t="shared" si="5"/>
        <v>#DIV/0!</v>
      </c>
      <c r="N6" s="244" t="e">
        <f t="shared" si="6"/>
        <v>#DIV/0!</v>
      </c>
      <c r="O6" s="249" t="s">
        <v>1033</v>
      </c>
      <c r="P6" s="249" t="s">
        <v>1028</v>
      </c>
      <c r="Q6" s="101"/>
      <c r="R6" s="10" t="str">
        <f>IF(H6&lt;&gt;"",SUMIF(H$3:H6,"&lt;&gt;" &amp; "",H$3:H6),"")</f>
        <v/>
      </c>
      <c r="S6" s="10" t="str">
        <f t="array" ref="S6">IF(O6="Completed",SUMIF(W$3:W6,"&lt;&gt;" &amp; "",W$3:W6),"")</f>
        <v/>
      </c>
      <c r="T6" s="10" t="str">
        <f t="array" ref="T6">IF(AND(J6&lt;&gt;"",O6="Completed"),SUM(IF(O$3:O6="Completed",J$3:J6,0)),"")</f>
        <v/>
      </c>
      <c r="U6" s="10">
        <f t="shared" si="0"/>
        <v>6</v>
      </c>
      <c r="V6" s="10">
        <f>ROW()</f>
        <v>6</v>
      </c>
      <c r="W6" s="10" t="str">
        <f t="shared" si="1"/>
        <v/>
      </c>
      <c r="X6" s="22" t="str">
        <f ca="1">IF(ISERROR(SMALL('Control panel'!E$3:E$23,ROW()-2)),"",INDIRECT("'Control panel'!A" &amp; SMALL('Control panel'!E$3:E$23,ROW()-2),1))</f>
        <v>User acceptance testing</v>
      </c>
      <c r="Y6" s="22" t="str">
        <f ca="1">IF(ISERROR(SMALL('Control panel'!D$3:D$23,ROW()-2)),"",INDIRECT("'Control panel'!B" &amp; SMALL('Control panel'!D$3:D$23,ROW()-2),2))</f>
        <v/>
      </c>
      <c r="Z6" s="10">
        <f>IF(A6&lt;&gt;"",'Metrics planning and tracking'!$K$4,"")</f>
        <v>10</v>
      </c>
      <c r="AA6" s="10">
        <f>IF(A6&lt;&gt;"",'Metrics planning and tracking'!$K$5,"")</f>
        <v>5</v>
      </c>
      <c r="AB6" s="10">
        <f>IF(A6&lt;&gt;"",'Metrics planning and tracking'!$K$2,"")</f>
        <v>10</v>
      </c>
      <c r="AC6" s="10">
        <f>IF(A6&lt;&gt;"",'Metrics planning and tracking'!$K$3,"")</f>
        <v>5</v>
      </c>
      <c r="AD6" s="10" t="e">
        <f>IF(A6&lt;&gt;"",IF(AND(#REF!&lt;&gt;"",#REF!&lt;&gt;"",#REF!&lt;&gt;0),#REF!/#REF!*100,"NA"),"")</f>
        <v>#REF!</v>
      </c>
      <c r="AE6" s="10" t="e">
        <f>IF(A6&lt;&gt;"",IF(AND(#REF!&lt;&gt;"",#REF!&lt;&gt;"",#REF!&lt;&gt;0),#REF!/#REF!*100,"NA"),"")</f>
        <v>#REF!</v>
      </c>
      <c r="AF6" s="57" t="str">
        <f t="shared" ref="AF6:AG7" si="7">IF($O6="Completed",IF(D5&lt;&gt;"",D5,IF(B4&lt;&gt;"",B4,"")),"")</f>
        <v/>
      </c>
      <c r="AG6" s="57" t="str">
        <f t="shared" si="7"/>
        <v/>
      </c>
      <c r="AH6" s="58" t="str">
        <f t="shared" si="2"/>
        <v/>
      </c>
      <c r="AI6" s="275" t="s">
        <v>1086</v>
      </c>
      <c r="AJ6" s="22" t="e">
        <f t="array" aca="1" ref="AJ6" ca="1">IF(AND(COUNTIF('Control panel'!$A$4:$A$23,$X6)&gt;=COLUMN(#REF!),$X6&lt;&gt;""),INDIRECT("'Control panel'!B" &amp; SMALL(IF('Control panel'!$A$4:$A$23=$X6,'Control panel'!$C$4:$C$23,100),COLUMN(#REF!)),1),"")</f>
        <v>#REF!</v>
      </c>
      <c r="AK6" s="22" t="e">
        <f t="array" aca="1" ref="AK6" ca="1">IF(AND(COUNTIF('Control panel'!$A$4:$A$23,$X6)&gt;=COLUMN(#REF!),$X6&lt;&gt;""),INDIRECT("'Control panel'!B" &amp; SMALL(IF('Control panel'!$A$4:$A$23=$X6,'Control panel'!$C$4:$C$23,100),COLUMN(#REF!)),1),"")</f>
        <v>#REF!</v>
      </c>
      <c r="AL6" s="22" t="e">
        <f t="array" aca="1" ref="AL6" ca="1">IF(AND(COUNTIF('Control panel'!$A$4:$A$23,$X6)&gt;=COLUMN(#REF!),$X6&lt;&gt;""),INDIRECT("'Control panel'!B" &amp; SMALL(IF('Control panel'!$A$4:$A$23=$X6,'Control panel'!$C$4:$C$23,100),COLUMN(#REF!)),1),"")</f>
        <v>#REF!</v>
      </c>
      <c r="AM6" s="22" t="e">
        <f t="array" aca="1" ref="AM6" ca="1">IF(AND(COUNTIF('Control panel'!$A$4:$A$23,$X6)&gt;=COLUMN(#REF!),$X6&lt;&gt;""),INDIRECT("'Control panel'!B" &amp; SMALL(IF('Control panel'!$A$4:$A$23=$X6,'Control panel'!$C$4:$C$23,100),COLUMN(#REF!)),1),"")</f>
        <v>#REF!</v>
      </c>
      <c r="AV6" s="22" t="e">
        <f>IF(A6&lt;&gt;"",A6 &amp; "-" &amp;#REF! &amp; ROW(),"")</f>
        <v>#REF!</v>
      </c>
    </row>
    <row r="7" spans="1:48" ht="45" customHeight="1" x14ac:dyDescent="0.25">
      <c r="A7" s="262" t="s">
        <v>1087</v>
      </c>
      <c r="B7" s="91"/>
      <c r="C7" s="91"/>
      <c r="D7" s="91"/>
      <c r="E7" s="91"/>
      <c r="F7" s="91"/>
      <c r="G7" s="91"/>
      <c r="H7" s="82"/>
      <c r="I7" s="82"/>
      <c r="J7" s="82"/>
      <c r="K7" s="243" t="str">
        <f t="shared" si="3"/>
        <v/>
      </c>
      <c r="L7" s="243" t="str">
        <f t="shared" si="4"/>
        <v/>
      </c>
      <c r="M7" s="244" t="e">
        <f t="shared" si="5"/>
        <v>#DIV/0!</v>
      </c>
      <c r="N7" s="244" t="e">
        <f t="shared" si="6"/>
        <v>#DIV/0!</v>
      </c>
      <c r="O7" s="249" t="s">
        <v>1033</v>
      </c>
      <c r="P7" s="249" t="s">
        <v>1028</v>
      </c>
      <c r="Q7" s="101"/>
      <c r="R7" s="10" t="str">
        <f>IF(H7&lt;&gt;"",SUMIF(H$3:H7,"&lt;&gt;" &amp; "",H$3:H7),"")</f>
        <v/>
      </c>
      <c r="S7" s="10" t="str">
        <f t="array" ref="S7">IF(O7="Completed",SUMIF(W$3:W7,"&lt;&gt;" &amp; "",W$3:W7),"")</f>
        <v/>
      </c>
      <c r="T7" s="10" t="str">
        <f t="array" ref="T7">IF(AND(J7&lt;&gt;"",O7="Completed"),SUM(IF(O$3:O7="Completed",J$3:J7,0)),"")</f>
        <v/>
      </c>
      <c r="U7" s="10">
        <f t="shared" si="0"/>
        <v>7</v>
      </c>
      <c r="V7" s="10">
        <f>ROW()</f>
        <v>7</v>
      </c>
      <c r="W7" s="10" t="str">
        <f t="shared" si="1"/>
        <v/>
      </c>
      <c r="X7" s="22" t="str">
        <f ca="1">IF(ISERROR(SMALL('Control panel'!E$3:E$23,ROW()-2)),"",INDIRECT("'Control panel'!A" &amp; SMALL('Control panel'!E$3:E$23,ROW()-2),1))</f>
        <v>Production Deployment</v>
      </c>
      <c r="Y7" s="22" t="str">
        <f ca="1">IF(ISERROR(SMALL('Control panel'!D$3:D$23,ROW()-2)),"",INDIRECT("'Control panel'!B" &amp; SMALL('Control panel'!D$3:D$23,ROW()-2),2))</f>
        <v/>
      </c>
      <c r="Z7" s="10">
        <f>IF(A7&lt;&gt;"",'Metrics planning and tracking'!$K$4,"")</f>
        <v>10</v>
      </c>
      <c r="AA7" s="10">
        <f>IF(A7&lt;&gt;"",'Metrics planning and tracking'!$K$5,"")</f>
        <v>5</v>
      </c>
      <c r="AB7" s="10">
        <f>IF(A7&lt;&gt;"",'Metrics planning and tracking'!$K$2,"")</f>
        <v>10</v>
      </c>
      <c r="AC7" s="10">
        <f>IF(A7&lt;&gt;"",'Metrics planning and tracking'!$K$3,"")</f>
        <v>5</v>
      </c>
      <c r="AD7" s="10" t="e">
        <f>IF(A7&lt;&gt;"",IF(AND(#REF!&lt;&gt;"",#REF!&lt;&gt;"",#REF!&lt;&gt;0),#REF!/#REF!*100,"NA"),"")</f>
        <v>#REF!</v>
      </c>
      <c r="AE7" s="10" t="e">
        <f>IF(A7&lt;&gt;"",IF(AND(#REF!&lt;&gt;"",#REF!&lt;&gt;"",#REF!&lt;&gt;0),#REF!/#REF!*100,"NA"),"")</f>
        <v>#REF!</v>
      </c>
      <c r="AF7" s="57" t="str">
        <f t="shared" si="7"/>
        <v/>
      </c>
      <c r="AG7" s="57" t="str">
        <f t="shared" si="7"/>
        <v/>
      </c>
      <c r="AH7" s="58" t="str">
        <f t="shared" si="2"/>
        <v/>
      </c>
      <c r="AI7" s="275" t="s">
        <v>1088</v>
      </c>
      <c r="AJ7" s="22" t="e">
        <f t="array" aca="1" ref="AJ7" ca="1">IF(AND(COUNTIF('Control panel'!$A$4:$A$23,$X7)&gt;=COLUMN(#REF!),$X7&lt;&gt;""),INDIRECT("'Control panel'!B" &amp; SMALL(IF('Control panel'!$A$4:$A$23=$X7,'Control panel'!$C$4:$C$23,100),COLUMN(#REF!)),1),"")</f>
        <v>#REF!</v>
      </c>
      <c r="AK7" s="22" t="e">
        <f t="array" aca="1" ref="AK7" ca="1">IF(AND(COUNTIF('Control panel'!$A$4:$A$23,$X7)&gt;=COLUMN(#REF!),$X7&lt;&gt;""),INDIRECT("'Control panel'!B" &amp; SMALL(IF('Control panel'!$A$4:$A$23=$X7,'Control panel'!$C$4:$C$23,100),COLUMN(#REF!)),1),"")</f>
        <v>#REF!</v>
      </c>
      <c r="AL7" s="22" t="e">
        <f t="array" aca="1" ref="AL7" ca="1">IF(AND(COUNTIF('Control panel'!$A$4:$A$23,$X7)&gt;=COLUMN(#REF!),$X7&lt;&gt;""),INDIRECT("'Control panel'!B" &amp; SMALL(IF('Control panel'!$A$4:$A$23=$X7,'Control panel'!$C$4:$C$23,100),COLUMN(#REF!)),1),"")</f>
        <v>#REF!</v>
      </c>
      <c r="AM7" s="22" t="e">
        <f t="array" aca="1" ref="AM7" ca="1">IF(AND(COUNTIF('Control panel'!$A$4:$A$23,$X7)&gt;=COLUMN(#REF!),$X7&lt;&gt;""),INDIRECT("'Control panel'!B" &amp; SMALL(IF('Control panel'!$A$4:$A$23=$X7,'Control panel'!$C$4:$C$23,100),COLUMN(#REF!)),1),"")</f>
        <v>#REF!</v>
      </c>
      <c r="AV7" s="22" t="e">
        <f>IF(A7&lt;&gt;"",A7 &amp; "-" &amp;#REF! &amp; ROW(),"")</f>
        <v>#REF!</v>
      </c>
    </row>
    <row r="8" spans="1:48" ht="45" customHeight="1" x14ac:dyDescent="0.25">
      <c r="A8" s="262" t="s">
        <v>1089</v>
      </c>
      <c r="B8" s="91"/>
      <c r="C8" s="91"/>
      <c r="D8" s="91"/>
      <c r="E8" s="91"/>
      <c r="F8" s="91"/>
      <c r="G8" s="91"/>
      <c r="H8" s="82"/>
      <c r="I8" s="82"/>
      <c r="J8" s="82"/>
      <c r="K8" s="243" t="str">
        <f t="shared" si="3"/>
        <v/>
      </c>
      <c r="L8" s="243" t="str">
        <f t="shared" si="4"/>
        <v/>
      </c>
      <c r="M8" s="244" t="e">
        <f t="shared" si="5"/>
        <v>#DIV/0!</v>
      </c>
      <c r="N8" s="244" t="e">
        <f t="shared" si="6"/>
        <v>#DIV/0!</v>
      </c>
      <c r="O8" s="249" t="s">
        <v>1033</v>
      </c>
      <c r="P8" s="249" t="s">
        <v>1083</v>
      </c>
      <c r="Q8" s="101"/>
      <c r="U8" s="10" t="str">
        <f t="shared" si="0"/>
        <v/>
      </c>
      <c r="W8" s="10" t="str">
        <f t="shared" si="1"/>
        <v/>
      </c>
      <c r="AD8" s="10" t="e">
        <f>IF(A8&lt;&gt;"",IF(AND(#REF!&lt;&gt;"",#REF!&lt;&gt;"",#REF!&lt;&gt;0),#REF!/#REF!*100,"NA"),"")</f>
        <v>#REF!</v>
      </c>
      <c r="AE8" s="10" t="e">
        <f>IF(A8&lt;&gt;"",IF(AND(#REF!&lt;&gt;"",#REF!&lt;&gt;"",#REF!&lt;&gt;0),#REF!/#REF!*100,"NA"),"")</f>
        <v>#REF!</v>
      </c>
      <c r="AG8" s="57"/>
      <c r="AH8" s="58" t="str">
        <f t="shared" si="2"/>
        <v/>
      </c>
      <c r="AI8" s="275" t="s">
        <v>1090</v>
      </c>
    </row>
    <row r="9" spans="1:48" ht="15" x14ac:dyDescent="0.25">
      <c r="A9" s="262"/>
      <c r="B9" s="260"/>
      <c r="C9" s="260"/>
      <c r="D9" s="260"/>
      <c r="E9" s="260"/>
      <c r="F9" s="81"/>
      <c r="G9" s="81"/>
      <c r="H9" s="82"/>
      <c r="I9" s="83"/>
      <c r="J9" s="100"/>
      <c r="K9" s="243"/>
      <c r="L9" s="243"/>
      <c r="M9" s="244"/>
      <c r="N9" s="244"/>
      <c r="O9" s="249"/>
      <c r="P9" s="249"/>
      <c r="Q9" s="101"/>
      <c r="U9" s="10" t="str">
        <f t="shared" si="0"/>
        <v/>
      </c>
      <c r="AG9" s="57"/>
      <c r="AH9" s="58"/>
      <c r="AI9" s="275" t="s">
        <v>1091</v>
      </c>
    </row>
    <row r="10" spans="1:48" ht="15" x14ac:dyDescent="0.25">
      <c r="A10" s="262"/>
      <c r="B10" s="260"/>
      <c r="C10" s="260"/>
      <c r="D10" s="260"/>
      <c r="E10" s="260"/>
      <c r="F10" s="81"/>
      <c r="G10" s="81"/>
      <c r="H10" s="82"/>
      <c r="I10" s="83"/>
      <c r="J10" s="100"/>
      <c r="K10" s="243"/>
      <c r="L10" s="243"/>
      <c r="M10" s="244"/>
      <c r="N10" s="244"/>
      <c r="O10" s="249"/>
      <c r="P10" s="249"/>
      <c r="Q10" s="101"/>
      <c r="R10" s="10" t="str">
        <f>IF(H10&lt;&gt;"",SUMIF(H$3:H10,"&lt;&gt;" &amp; "",H$3:H10),"")</f>
        <v/>
      </c>
      <c r="S10" s="10" t="str">
        <f t="array" ref="S10">IF(O10="Completed",SUMIF(W$3:W10,"&lt;&gt;" &amp; "",W$3:W10),"")</f>
        <v/>
      </c>
      <c r="T10" s="10" t="str">
        <f t="array" ref="T10">IF(AND(J10&lt;&gt;"",O10="Completed"),SUM(IF(O$3:O10="Completed",J$3:J10,0)),"")</f>
        <v/>
      </c>
      <c r="U10" s="10" t="str">
        <f t="shared" si="0"/>
        <v/>
      </c>
      <c r="V10" s="10">
        <f>ROW()</f>
        <v>10</v>
      </c>
      <c r="W10" s="10" t="str">
        <f>IF(O10="Completed",IF(COUNT($I$3:$I$596)&gt;0,IF(I10&lt;&gt;"",I10,H10),""),"")</f>
        <v/>
      </c>
      <c r="X10" s="22" t="str">
        <f ca="1">IF(ISERROR(SMALL('Control panel'!E$3:E$23,ROW()-2)),"",INDIRECT("'Control panel'!A" &amp; SMALL('Control panel'!E$3:E$23,ROW()-2),1))</f>
        <v/>
      </c>
      <c r="Y10" s="22" t="str">
        <f ca="1">IF(ISERROR(SMALL('Control panel'!D$3:D$23,ROW()-2)),"",INDIRECT("'Control panel'!B" &amp; SMALL('Control panel'!D$3:D$23,ROW()-2),2))</f>
        <v/>
      </c>
      <c r="Z10" s="10" t="str">
        <f>IF(A10&lt;&gt;"",'Metrics planning and tracking'!$K$4,"")</f>
        <v/>
      </c>
      <c r="AA10" s="10" t="str">
        <f>IF(A10&lt;&gt;"",'Metrics planning and tracking'!$K$5,"")</f>
        <v/>
      </c>
      <c r="AB10" s="10" t="str">
        <f>IF(A10&lt;&gt;"",'Metrics planning and tracking'!$K$2,"")</f>
        <v/>
      </c>
      <c r="AC10" s="10" t="str">
        <f>IF(A10&lt;&gt;"",'Metrics planning and tracking'!$K$3,"")</f>
        <v/>
      </c>
      <c r="AD10" s="10" t="str">
        <f>IF(A10&lt;&gt;"",IF(AND(#REF!&lt;&gt;"",#REF!&lt;&gt;"",#REF!&lt;&gt;0),#REF!/#REF!*100,"NA"),"")</f>
        <v/>
      </c>
      <c r="AE10" s="10" t="str">
        <f>IF(A10&lt;&gt;"",IF(AND(#REF!&lt;&gt;"",#REF!&lt;&gt;"",#REF!&lt;&gt;0),#REF!/#REF!*100,"NA"),"")</f>
        <v/>
      </c>
      <c r="AF10" s="57" t="str">
        <f t="shared" ref="AF10:AG14" si="8">IF($O10="Completed",IF(D10&lt;&gt;"",D10,IF(B10&lt;&gt;"",B10,"")),"")</f>
        <v/>
      </c>
      <c r="AG10" s="57" t="str">
        <f t="shared" si="8"/>
        <v/>
      </c>
      <c r="AH10" s="58" t="str">
        <f>IF(O10="Completed",IF(L10&lt;&gt;"",L10,IF(K10&lt;&gt;"",K10,"")),"")</f>
        <v/>
      </c>
      <c r="AI10" s="275" t="s">
        <v>1092</v>
      </c>
      <c r="AJ10" s="22" t="e">
        <f t="array" aca="1" ref="AJ10" ca="1">IF(AND(COUNTIF('Control panel'!$A$4:$A$23,$X10)&gt;=COLUMN(#REF!),$X10&lt;&gt;""),INDIRECT("'Control panel'!B" &amp; SMALL(IF('Control panel'!$A$4:$A$23=$X10,'Control panel'!$C$4:$C$23,100),COLUMN(#REF!)),1),"")</f>
        <v>#REF!</v>
      </c>
      <c r="AK10" s="22" t="e">
        <f t="array" aca="1" ref="AK10" ca="1">IF(AND(COUNTIF('Control panel'!$A$4:$A$23,$X10)&gt;=COLUMN(#REF!),$X10&lt;&gt;""),INDIRECT("'Control panel'!B" &amp; SMALL(IF('Control panel'!$A$4:$A$23=$X10,'Control panel'!$C$4:$C$23,100),COLUMN(#REF!)),1),"")</f>
        <v>#REF!</v>
      </c>
      <c r="AL10" s="22" t="e">
        <f t="array" aca="1" ref="AL10" ca="1">IF(AND(COUNTIF('Control panel'!$A$4:$A$23,$X10)&gt;=COLUMN(#REF!),$X10&lt;&gt;""),INDIRECT("'Control panel'!B" &amp; SMALL(IF('Control panel'!$A$4:$A$23=$X10,'Control panel'!$C$4:$C$23,100),COLUMN(#REF!)),1),"")</f>
        <v>#REF!</v>
      </c>
      <c r="AM10" s="22" t="e">
        <f t="array" aca="1" ref="AM10" ca="1">IF(AND(COUNTIF('Control panel'!$A$4:$A$23,$X10)&gt;=COLUMN(#REF!),$X10&lt;&gt;""),INDIRECT("'Control panel'!B" &amp; SMALL(IF('Control panel'!$A$4:$A$23=$X10,'Control panel'!$C$4:$C$23,100),COLUMN(#REF!)),1),"")</f>
        <v>#REF!</v>
      </c>
      <c r="AV10" s="22" t="str">
        <f>IF(A10&lt;&gt;"",A10 &amp; "-" &amp;#REF! &amp; ROW(),"")</f>
        <v/>
      </c>
    </row>
    <row r="11" spans="1:48" ht="15" x14ac:dyDescent="0.25">
      <c r="A11" s="262"/>
      <c r="B11" s="260"/>
      <c r="C11" s="81"/>
      <c r="D11" s="260"/>
      <c r="E11" s="81"/>
      <c r="F11" s="81"/>
      <c r="G11" s="81"/>
      <c r="H11" s="82"/>
      <c r="I11" s="83"/>
      <c r="J11" s="100"/>
      <c r="K11" s="243"/>
      <c r="L11" s="243"/>
      <c r="M11" s="244"/>
      <c r="N11" s="244"/>
      <c r="O11" s="249"/>
      <c r="P11" s="249"/>
      <c r="Q11" s="101"/>
      <c r="R11" s="10" t="str">
        <f>IF(H11&lt;&gt;"",SUMIF(H$3:H11,"&lt;&gt;" &amp; "",H$3:H11),"")</f>
        <v/>
      </c>
      <c r="S11" s="10" t="str">
        <f t="array" ref="S11">IF(O11="Completed",SUMIF(W$3:W11,"&lt;&gt;" &amp; "",W$3:W11),"")</f>
        <v/>
      </c>
      <c r="T11" s="10" t="str">
        <f t="array" ref="T11">IF(AND(J11&lt;&gt;"",O11="Completed"),SUM(IF(O$3:O11="Completed",J$3:J11,0)),"")</f>
        <v/>
      </c>
      <c r="U11" s="10" t="str">
        <f t="shared" si="0"/>
        <v/>
      </c>
      <c r="V11" s="10">
        <f>ROW()</f>
        <v>11</v>
      </c>
      <c r="W11" s="10" t="str">
        <f>IF(O11="Completed",IF(COUNT($I$3:$I$596)&gt;0,IF(I11&lt;&gt;"",I11,H11),""),"")</f>
        <v/>
      </c>
      <c r="X11" s="22" t="str">
        <f ca="1">IF(ISERROR(SMALL('Control panel'!E$3:E$23,ROW()-2)),"",INDIRECT("'Control panel'!A" &amp; SMALL('Control panel'!E$3:E$23,ROW()-2),1))</f>
        <v/>
      </c>
      <c r="Y11" s="22" t="str">
        <f ca="1">IF(ISERROR(SMALL('Control panel'!D$3:D$23,ROW()-2)),"",INDIRECT("'Control panel'!B" &amp; SMALL('Control panel'!D$3:D$23,ROW()-2),2))</f>
        <v/>
      </c>
      <c r="Z11" s="10" t="str">
        <f>IF(A11&lt;&gt;"",'Metrics planning and tracking'!$K$4,"")</f>
        <v/>
      </c>
      <c r="AA11" s="10" t="str">
        <f>IF(A11&lt;&gt;"",'Metrics planning and tracking'!$K$5,"")</f>
        <v/>
      </c>
      <c r="AB11" s="10" t="str">
        <f>IF(A11&lt;&gt;"",'Metrics planning and tracking'!$K$2,"")</f>
        <v/>
      </c>
      <c r="AC11" s="10" t="str">
        <f>IF(A11&lt;&gt;"",'Metrics planning and tracking'!$K$3,"")</f>
        <v/>
      </c>
      <c r="AD11" s="10" t="str">
        <f>IF(A11&lt;&gt;"",IF(AND(#REF!&lt;&gt;"",#REF!&lt;&gt;"",#REF!&lt;&gt;0),#REF!/#REF!*100,"NA"),"")</f>
        <v/>
      </c>
      <c r="AE11" s="10" t="str">
        <f>IF(A11&lt;&gt;"",IF(AND(#REF!&lt;&gt;"",#REF!&lt;&gt;"",#REF!&lt;&gt;0),#REF!/#REF!*100,"NA"),"")</f>
        <v/>
      </c>
      <c r="AF11" s="57" t="str">
        <f t="shared" si="8"/>
        <v/>
      </c>
      <c r="AG11" s="57" t="str">
        <f t="shared" si="8"/>
        <v/>
      </c>
      <c r="AH11" s="58" t="str">
        <f>IF(O11="Completed",IF(L11&lt;&gt;"",L11,IF(K11&lt;&gt;"",K11,"")),"")</f>
        <v/>
      </c>
      <c r="AI11" s="275" t="s">
        <v>1093</v>
      </c>
      <c r="AJ11" s="22" t="e">
        <f t="array" aca="1" ref="AJ11" ca="1">IF(AND(COUNTIF('Control panel'!$A$4:$A$23,$X11)&gt;=COLUMN(#REF!),$X11&lt;&gt;""),INDIRECT("'Control panel'!B" &amp; SMALL(IF('Control panel'!$A$4:$A$23=$X11,'Control panel'!$C$4:$C$23,100),COLUMN(#REF!)),1),"")</f>
        <v>#REF!</v>
      </c>
      <c r="AK11" s="22" t="e">
        <f t="array" aca="1" ref="AK11" ca="1">IF(AND(COUNTIF('Control panel'!$A$4:$A$23,$X11)&gt;=COLUMN(#REF!),$X11&lt;&gt;""),INDIRECT("'Control panel'!B" &amp; SMALL(IF('Control panel'!$A$4:$A$23=$X11,'Control panel'!$C$4:$C$23,100),COLUMN(#REF!)),1),"")</f>
        <v>#REF!</v>
      </c>
      <c r="AL11" s="22" t="e">
        <f t="array" aca="1" ref="AL11" ca="1">IF(AND(COUNTIF('Control panel'!$A$4:$A$23,$X11)&gt;=COLUMN(#REF!),$X11&lt;&gt;""),INDIRECT("'Control panel'!B" &amp; SMALL(IF('Control panel'!$A$4:$A$23=$X11,'Control panel'!$C$4:$C$23,100),COLUMN(#REF!)),1),"")</f>
        <v>#REF!</v>
      </c>
      <c r="AM11" s="22" t="e">
        <f t="array" aca="1" ref="AM11" ca="1">IF(AND(COUNTIF('Control panel'!$A$4:$A$23,$X11)&gt;=COLUMN(#REF!),$X11&lt;&gt;""),INDIRECT("'Control panel'!B" &amp; SMALL(IF('Control panel'!$A$4:$A$23=$X11,'Control panel'!$C$4:$C$23,100),COLUMN(#REF!)),1),"")</f>
        <v>#REF!</v>
      </c>
      <c r="AV11" s="22" t="str">
        <f>IF(A11&lt;&gt;"",A11 &amp; "-" &amp;#REF! &amp; ROW(),"")</f>
        <v/>
      </c>
    </row>
    <row r="12" spans="1:48" ht="15" x14ac:dyDescent="0.25">
      <c r="A12" s="262"/>
      <c r="B12" s="260"/>
      <c r="C12" s="260"/>
      <c r="D12" s="260"/>
      <c r="E12" s="260"/>
      <c r="F12" s="81"/>
      <c r="G12" s="81"/>
      <c r="H12" s="82"/>
      <c r="I12" s="83"/>
      <c r="J12" s="100"/>
      <c r="K12" s="243"/>
      <c r="L12" s="243"/>
      <c r="M12" s="244"/>
      <c r="N12" s="244"/>
      <c r="O12" s="249"/>
      <c r="P12" s="249"/>
      <c r="Q12" s="101"/>
      <c r="R12" s="10" t="str">
        <f>IF(H12&lt;&gt;"",SUMIF(H$3:H12,"&lt;&gt;" &amp; "",H$3:H12),"")</f>
        <v/>
      </c>
      <c r="S12" s="10" t="str">
        <f t="array" ref="S12">IF(O12="Completed",SUMIF(W$3:W12,"&lt;&gt;" &amp; "",W$3:W12),"")</f>
        <v/>
      </c>
      <c r="T12" s="10" t="str">
        <f t="array" ref="T12">IF(AND(J12&lt;&gt;"",O12="Completed"),SUM(IF(O$3:O12="Completed",J$3:J12,0)),"")</f>
        <v/>
      </c>
      <c r="U12" s="10" t="str">
        <f t="shared" si="0"/>
        <v/>
      </c>
      <c r="V12" s="10">
        <f>ROW()</f>
        <v>12</v>
      </c>
      <c r="W12" s="10" t="str">
        <f>IF(O12="Completed",IF(COUNT($I$3:$I$596)&gt;0,IF(I12&lt;&gt;"",I12,H12),""),"")</f>
        <v/>
      </c>
      <c r="X12" s="22" t="str">
        <f ca="1">IF(ISERROR(SMALL('Control panel'!E$3:E$23,ROW()-2)),"",INDIRECT("'Control panel'!A" &amp; SMALL('Control panel'!E$3:E$23,ROW()-2),1))</f>
        <v/>
      </c>
      <c r="Y12" s="22" t="str">
        <f ca="1">IF(ISERROR(SMALL('Control panel'!D$3:D$23,ROW()-2)),"",INDIRECT("'Control panel'!B" &amp; SMALL('Control panel'!D$3:D$23,ROW()-2),2))</f>
        <v/>
      </c>
      <c r="Z12" s="10" t="str">
        <f>IF(A12&lt;&gt;"",'Metrics planning and tracking'!$K$4,"")</f>
        <v/>
      </c>
      <c r="AA12" s="10" t="str">
        <f>IF(A12&lt;&gt;"",'Metrics planning and tracking'!$K$5,"")</f>
        <v/>
      </c>
      <c r="AB12" s="10" t="str">
        <f>IF(A12&lt;&gt;"",'Metrics planning and tracking'!$K$2,"")</f>
        <v/>
      </c>
      <c r="AC12" s="10" t="str">
        <f>IF(A12&lt;&gt;"",'Metrics planning and tracking'!$K$3,"")</f>
        <v/>
      </c>
      <c r="AD12" s="10" t="str">
        <f>IF(A12&lt;&gt;"",IF(AND(#REF!&lt;&gt;"",#REF!&lt;&gt;"",#REF!&lt;&gt;0),#REF!/#REF!*100,"NA"),"")</f>
        <v/>
      </c>
      <c r="AE12" s="10" t="str">
        <f>IF(A12&lt;&gt;"",IF(AND(#REF!&lt;&gt;"",#REF!&lt;&gt;"",#REF!&lt;&gt;0),#REF!/#REF!*100,"NA"),"")</f>
        <v/>
      </c>
      <c r="AF12" s="57" t="str">
        <f t="shared" si="8"/>
        <v/>
      </c>
      <c r="AG12" s="57" t="str">
        <f t="shared" si="8"/>
        <v/>
      </c>
      <c r="AH12" s="58" t="str">
        <f>IF(O12="Completed",IF(L12&lt;&gt;"",L12,IF(K12&lt;&gt;"",K12,"")),"")</f>
        <v/>
      </c>
      <c r="AI12" s="275" t="s">
        <v>1094</v>
      </c>
      <c r="AJ12" s="22" t="e">
        <f t="array" aca="1" ref="AJ12" ca="1">IF(AND(COUNTIF('Control panel'!$A$4:$A$23,$X12)&gt;=COLUMN(#REF!),$X12&lt;&gt;""),INDIRECT("'Control panel'!B" &amp; SMALL(IF('Control panel'!$A$4:$A$23=$X12,'Control panel'!$C$4:$C$23,100),COLUMN(#REF!)),1),"")</f>
        <v>#REF!</v>
      </c>
      <c r="AK12" s="22" t="e">
        <f t="array" aca="1" ref="AK12" ca="1">IF(AND(COUNTIF('Control panel'!$A$4:$A$23,$X12)&gt;=COLUMN(#REF!),$X12&lt;&gt;""),INDIRECT("'Control panel'!B" &amp; SMALL(IF('Control panel'!$A$4:$A$23=$X12,'Control panel'!$C$4:$C$23,100),COLUMN(#REF!)),1),"")</f>
        <v>#REF!</v>
      </c>
      <c r="AL12" s="22" t="e">
        <f t="array" aca="1" ref="AL12" ca="1">IF(AND(COUNTIF('Control panel'!$A$4:$A$23,$X12)&gt;=COLUMN(#REF!),$X12&lt;&gt;""),INDIRECT("'Control panel'!B" &amp; SMALL(IF('Control panel'!$A$4:$A$23=$X12,'Control panel'!$C$4:$C$23,100),COLUMN(#REF!)),1),"")</f>
        <v>#REF!</v>
      </c>
      <c r="AM12" s="22" t="e">
        <f t="array" aca="1" ref="AM12" ca="1">IF(AND(COUNTIF('Control panel'!$A$4:$A$23,$X12)&gt;=COLUMN(#REF!),$X12&lt;&gt;""),INDIRECT("'Control panel'!B" &amp; SMALL(IF('Control panel'!$A$4:$A$23=$X12,'Control panel'!$C$4:$C$23,100),COLUMN(#REF!)),1),"")</f>
        <v>#REF!</v>
      </c>
      <c r="AV12" s="22" t="str">
        <f>IF(A12&lt;&gt;"",A12 &amp; "-" &amp;#REF! &amp; ROW(),"")</f>
        <v/>
      </c>
    </row>
    <row r="13" spans="1:48" ht="15" x14ac:dyDescent="0.25">
      <c r="A13" s="262"/>
      <c r="B13" s="260"/>
      <c r="C13" s="260"/>
      <c r="D13" s="260"/>
      <c r="E13" s="260"/>
      <c r="F13" s="81"/>
      <c r="G13" s="81"/>
      <c r="H13" s="82"/>
      <c r="I13" s="83"/>
      <c r="J13" s="100"/>
      <c r="K13" s="243"/>
      <c r="L13" s="243"/>
      <c r="M13" s="244"/>
      <c r="N13" s="244"/>
      <c r="O13" s="249"/>
      <c r="P13" s="249"/>
      <c r="Q13" s="101"/>
      <c r="R13" s="10" t="str">
        <f>IF(H13&lt;&gt;"",SUMIF(H$3:H13,"&lt;&gt;" &amp; "",H$3:H13),"")</f>
        <v/>
      </c>
      <c r="S13" s="10" t="str">
        <f t="array" ref="S13">IF(O13="Completed",SUMIF(W$3:W13,"&lt;&gt;" &amp; "",W$3:W13),"")</f>
        <v/>
      </c>
      <c r="T13" s="10" t="str">
        <f t="array" ref="T13">IF(AND(J13&lt;&gt;"",O13="Completed"),SUM(IF(O$3:O13="Completed",J$3:J13,0)),"")</f>
        <v/>
      </c>
      <c r="U13" s="10" t="str">
        <f t="shared" si="0"/>
        <v/>
      </c>
      <c r="V13" s="10">
        <f>ROW()</f>
        <v>13</v>
      </c>
      <c r="W13" s="10" t="str">
        <f>IF(O13="Completed",IF(COUNT($I$3:$I$596)&gt;0,IF(I13&lt;&gt;"",I13,H13),""),"")</f>
        <v/>
      </c>
      <c r="X13" s="22" t="str">
        <f ca="1">IF(ISERROR(SMALL('Control panel'!E$3:E$23,ROW()-2)),"",INDIRECT("'Control panel'!A" &amp; SMALL('Control panel'!E$3:E$23,ROW()-2),1))</f>
        <v/>
      </c>
      <c r="Y13" s="22" t="str">
        <f ca="1">IF(ISERROR(SMALL('Control panel'!D$3:D$23,ROW()-2)),"",INDIRECT("'Control panel'!B" &amp; SMALL('Control panel'!D$3:D$23,ROW()-2),2))</f>
        <v/>
      </c>
      <c r="Z13" s="10" t="str">
        <f>IF(A13&lt;&gt;"",'Metrics planning and tracking'!$K$4,"")</f>
        <v/>
      </c>
      <c r="AA13" s="10" t="str">
        <f>IF(A13&lt;&gt;"",'Metrics planning and tracking'!$K$5,"")</f>
        <v/>
      </c>
      <c r="AB13" s="10" t="str">
        <f>IF(A13&lt;&gt;"",'Metrics planning and tracking'!$K$2,"")</f>
        <v/>
      </c>
      <c r="AC13" s="10" t="str">
        <f>IF(A13&lt;&gt;"",'Metrics planning and tracking'!$K$3,"")</f>
        <v/>
      </c>
      <c r="AD13" s="10" t="str">
        <f>IF(A13&lt;&gt;"",IF(AND(#REF!&lt;&gt;"",#REF!&lt;&gt;"",#REF!&lt;&gt;0),#REF!/#REF!*100,"NA"),"")</f>
        <v/>
      </c>
      <c r="AE13" s="10" t="str">
        <f>IF(A13&lt;&gt;"",IF(AND(#REF!&lt;&gt;"",#REF!&lt;&gt;"",#REF!&lt;&gt;0),#REF!/#REF!*100,"NA"),"")</f>
        <v/>
      </c>
      <c r="AF13" s="57" t="str">
        <f t="shared" si="8"/>
        <v/>
      </c>
      <c r="AG13" s="57" t="str">
        <f t="shared" si="8"/>
        <v/>
      </c>
      <c r="AH13" s="58" t="str">
        <f>IF(O13="Completed",IF(L13&lt;&gt;"",L13,IF(K13&lt;&gt;"",K13,"")),"")</f>
        <v/>
      </c>
      <c r="AI13" s="275" t="s">
        <v>1095</v>
      </c>
      <c r="AJ13" s="22" t="e">
        <f t="array" aca="1" ref="AJ13" ca="1">IF(AND(COUNTIF('Control panel'!$A$4:$A$23,$X13)&gt;=COLUMN(#REF!),$X13&lt;&gt;""),INDIRECT("'Control panel'!B" &amp; SMALL(IF('Control panel'!$A$4:$A$23=$X13,'Control panel'!$C$4:$C$23,100),COLUMN(#REF!)),1),"")</f>
        <v>#REF!</v>
      </c>
      <c r="AK13" s="22" t="e">
        <f t="array" aca="1" ref="AK13" ca="1">IF(AND(COUNTIF('Control panel'!$A$4:$A$23,$X13)&gt;=COLUMN(#REF!),$X13&lt;&gt;""),INDIRECT("'Control panel'!B" &amp; SMALL(IF('Control panel'!$A$4:$A$23=$X13,'Control panel'!$C$4:$C$23,100),COLUMN(#REF!)),1),"")</f>
        <v>#REF!</v>
      </c>
      <c r="AL13" s="22" t="e">
        <f t="array" aca="1" ref="AL13" ca="1">IF(AND(COUNTIF('Control panel'!$A$4:$A$23,$X13)&gt;=COLUMN(#REF!),$X13&lt;&gt;""),INDIRECT("'Control panel'!B" &amp; SMALL(IF('Control panel'!$A$4:$A$23=$X13,'Control panel'!$C$4:$C$23,100),COLUMN(#REF!)),1),"")</f>
        <v>#REF!</v>
      </c>
      <c r="AM13" s="22" t="e">
        <f t="array" aca="1" ref="AM13" ca="1">IF(AND(COUNTIF('Control panel'!$A$4:$A$23,$X13)&gt;=COLUMN(#REF!),$X13&lt;&gt;""),INDIRECT("'Control panel'!B" &amp; SMALL(IF('Control panel'!$A$4:$A$23=$X13,'Control panel'!$C$4:$C$23,100),COLUMN(#REF!)),1),"")</f>
        <v>#REF!</v>
      </c>
      <c r="AV13" s="22" t="str">
        <f>IF(A13&lt;&gt;"",A13 &amp; "-" &amp;#REF! &amp; ROW(),"")</f>
        <v/>
      </c>
    </row>
    <row r="14" spans="1:48" ht="15" x14ac:dyDescent="0.25">
      <c r="A14" s="85"/>
      <c r="B14" s="81"/>
      <c r="C14" s="81"/>
      <c r="D14" s="81"/>
      <c r="E14" s="81"/>
      <c r="F14" s="81"/>
      <c r="G14" s="81"/>
      <c r="H14" s="82"/>
      <c r="I14" s="83"/>
      <c r="J14" s="100"/>
      <c r="K14" s="243" t="str">
        <f t="shared" si="3"/>
        <v/>
      </c>
      <c r="L14" s="243" t="str">
        <f t="shared" si="4"/>
        <v/>
      </c>
      <c r="M14" s="244"/>
      <c r="N14" s="244"/>
      <c r="O14" s="249"/>
      <c r="P14" s="249"/>
      <c r="Q14" s="101"/>
      <c r="R14" s="10" t="str">
        <f>IF(H14&lt;&gt;"",SUMIF(H$3:H14,"&lt;&gt;" &amp; "",H$3:H14),"")</f>
        <v/>
      </c>
      <c r="S14" s="10" t="str">
        <f t="array" ref="S14">IF(O14="Completed",SUMIF(W$3:W14,"&lt;&gt;" &amp; "",W$3:W14),"")</f>
        <v/>
      </c>
      <c r="T14" s="10" t="str">
        <f t="array" ref="T14">IF(AND(J14&lt;&gt;"",O14="Completed"),SUM(IF(O$3:O14="Completed",J$3:J14,0)),"")</f>
        <v/>
      </c>
      <c r="U14" s="10" t="str">
        <f t="shared" si="0"/>
        <v/>
      </c>
      <c r="V14" s="10">
        <f>ROW()</f>
        <v>14</v>
      </c>
      <c r="W14" s="10" t="str">
        <f>IF(O14="Completed",IF(COUNT($I$3:$I$596)&gt;0,IF(I14&lt;&gt;"",I14,H14),""),"")</f>
        <v/>
      </c>
      <c r="X14" s="22" t="str">
        <f ca="1">IF(ISERROR(SMALL('Control panel'!E$3:E$23,ROW()-2)),"",INDIRECT("'Control panel'!A" &amp; SMALL('Control panel'!E$3:E$23,ROW()-2),1))</f>
        <v/>
      </c>
      <c r="Y14" s="22" t="str">
        <f ca="1">IF(ISERROR(SMALL('Control panel'!D$3:D$23,ROW()-2)),"",INDIRECT("'Control panel'!B" &amp; SMALL('Control panel'!D$3:D$23,ROW()-2),2))</f>
        <v/>
      </c>
      <c r="Z14" s="10" t="str">
        <f>IF(A14&lt;&gt;"",'Metrics planning and tracking'!$K$4,"")</f>
        <v/>
      </c>
      <c r="AA14" s="10" t="str">
        <f>IF(A14&lt;&gt;"",'Metrics planning and tracking'!$K$5,"")</f>
        <v/>
      </c>
      <c r="AB14" s="10" t="str">
        <f>IF(A14&lt;&gt;"",'Metrics planning and tracking'!$K$2,"")</f>
        <v/>
      </c>
      <c r="AC14" s="10" t="str">
        <f>IF(A14&lt;&gt;"",'Metrics planning and tracking'!$K$3,"")</f>
        <v/>
      </c>
      <c r="AD14" s="10" t="str">
        <f>IF(A14&lt;&gt;"",IF(AND(#REF!&lt;&gt;"",#REF!&lt;&gt;"",#REF!&lt;&gt;0),#REF!/#REF!*100,"NA"),"")</f>
        <v/>
      </c>
      <c r="AE14" s="10" t="str">
        <f>IF(A14&lt;&gt;"",IF(AND(#REF!&lt;&gt;"",#REF!&lt;&gt;"",#REF!&lt;&gt;0),#REF!/#REF!*100,"NA"),"")</f>
        <v/>
      </c>
      <c r="AF14" s="57" t="str">
        <f t="shared" si="8"/>
        <v/>
      </c>
      <c r="AG14" s="57" t="str">
        <f t="shared" si="8"/>
        <v/>
      </c>
      <c r="AH14" s="58" t="str">
        <f>IF(O14="Completed",IF(L14&lt;&gt;"",L14,IF(K14&lt;&gt;"",K14,"")),"")</f>
        <v/>
      </c>
      <c r="AI14" s="275" t="s">
        <v>1096</v>
      </c>
      <c r="AJ14" s="22" t="e">
        <f t="array" aca="1" ref="AJ14" ca="1">IF(AND(COUNTIF('Control panel'!$A$4:$A$23,$X14)&gt;=COLUMN(#REF!),$X14&lt;&gt;""),INDIRECT("'Control panel'!B" &amp; SMALL(IF('Control panel'!$A$4:$A$23=$X14,'Control panel'!$C$4:$C$23,100),COLUMN(#REF!)),1),"")</f>
        <v>#REF!</v>
      </c>
      <c r="AK14" s="22" t="e">
        <f t="array" aca="1" ref="AK14" ca="1">IF(AND(COUNTIF('Control panel'!$A$4:$A$23,$X14)&gt;=COLUMN(#REF!),$X14&lt;&gt;""),INDIRECT("'Control panel'!B" &amp; SMALL(IF('Control panel'!$A$4:$A$23=$X14,'Control panel'!$C$4:$C$23,100),COLUMN(#REF!)),1),"")</f>
        <v>#REF!</v>
      </c>
      <c r="AL14" s="22" t="e">
        <f t="array" aca="1" ref="AL14" ca="1">IF(AND(COUNTIF('Control panel'!$A$4:$A$23,$X14)&gt;=COLUMN(#REF!),$X14&lt;&gt;""),INDIRECT("'Control panel'!B" &amp; SMALL(IF('Control panel'!$A$4:$A$23=$X14,'Control panel'!$C$4:$C$23,100),COLUMN(#REF!)),1),"")</f>
        <v>#REF!</v>
      </c>
      <c r="AM14" s="22" t="e">
        <f t="array" aca="1" ref="AM14" ca="1">IF(AND(COUNTIF('Control panel'!$A$4:$A$23,$X14)&gt;=COLUMN(#REF!),$X14&lt;&gt;""),INDIRECT("'Control panel'!B" &amp; SMALL(IF('Control panel'!$A$4:$A$23=$X14,'Control panel'!$C$4:$C$23,100),COLUMN(#REF!)),1),"")</f>
        <v>#REF!</v>
      </c>
      <c r="AV14" s="22" t="str">
        <f>IF(A14&lt;&gt;"",A14 &amp; "-" &amp;#REF! &amp; ROW(),"")</f>
        <v/>
      </c>
    </row>
    <row r="15" spans="1:48" ht="15" x14ac:dyDescent="0.25">
      <c r="A15" s="85"/>
      <c r="B15" s="81"/>
      <c r="C15" s="81"/>
      <c r="D15" s="81"/>
      <c r="E15" s="81"/>
      <c r="F15" s="81"/>
      <c r="H15" s="81"/>
      <c r="I15" s="83"/>
      <c r="J15" s="100"/>
      <c r="K15" s="243" t="str">
        <f>IF(AND(COUNTA(B15:C15)&gt;1,COUNTA(F15:H15)&gt;1,O15="Completed"),(H15-F15)/(C15-B15+1)%,"")</f>
        <v/>
      </c>
      <c r="L15" s="243" t="str">
        <f>IF(AND(COUNTA(D15:E15)&gt;1,COUNTA(F15:H15)&gt;1,O15="Completed"),(H15-F15)/(E15-D15+1)%,"")</f>
        <v/>
      </c>
      <c r="M15" s="244"/>
      <c r="N15" s="244"/>
      <c r="O15" s="249"/>
      <c r="P15" s="249"/>
      <c r="Q15" s="101"/>
      <c r="U15" s="10" t="str">
        <f t="shared" si="0"/>
        <v/>
      </c>
      <c r="AG15" s="57"/>
      <c r="AH15" s="58"/>
      <c r="AI15" s="275" t="s">
        <v>1097</v>
      </c>
    </row>
    <row r="16" spans="1:48" ht="15" x14ac:dyDescent="0.25">
      <c r="A16" s="85"/>
      <c r="B16" s="81"/>
      <c r="C16" s="81"/>
      <c r="D16" s="81"/>
      <c r="E16" s="81"/>
      <c r="F16" s="81"/>
      <c r="G16" s="81"/>
      <c r="H16" s="82"/>
      <c r="I16" s="83"/>
      <c r="J16" s="100"/>
      <c r="K16" s="243" t="str">
        <f t="shared" si="3"/>
        <v/>
      </c>
      <c r="L16" s="243" t="str">
        <f t="shared" si="4"/>
        <v/>
      </c>
      <c r="M16" s="244"/>
      <c r="N16" s="244"/>
      <c r="O16" s="249"/>
      <c r="P16" s="249"/>
      <c r="Q16" s="101"/>
      <c r="R16" s="10" t="str">
        <f>IF(H16&lt;&gt;"",SUMIF(H$3:H16,"&lt;&gt;" &amp; "",H$3:H16),"")</f>
        <v/>
      </c>
      <c r="S16" s="10" t="str">
        <f t="array" ref="S16">IF(O16="Completed",SUMIF(W$3:W16,"&lt;&gt;" &amp; "",W$3:W16),"")</f>
        <v/>
      </c>
      <c r="T16" s="10" t="str">
        <f t="array" ref="T16">IF(AND(J16&lt;&gt;"",O16="Completed"),SUM(IF(O$3:O16="Completed",J$3:J16,0)),"")</f>
        <v/>
      </c>
      <c r="U16" s="10" t="str">
        <f t="shared" si="0"/>
        <v/>
      </c>
      <c r="V16" s="10">
        <f>ROW()</f>
        <v>16</v>
      </c>
      <c r="W16" s="10" t="str">
        <f>IF(O16="Completed",IF(COUNT($I$3:$I$596)&gt;0,IF(I16&lt;&gt;"",I16,H16),""),"")</f>
        <v/>
      </c>
      <c r="X16" s="22" t="str">
        <f ca="1">IF(ISERROR(SMALL('Control panel'!E$3:E$23,ROW()-2)),"",INDIRECT("'Control panel'!A" &amp; SMALL('Control panel'!E$3:E$23,ROW()-2),1))</f>
        <v/>
      </c>
      <c r="Y16" s="22" t="str">
        <f ca="1">IF(ISERROR(SMALL('Control panel'!D$3:D$23,ROW()-2)),"",INDIRECT("'Control panel'!B" &amp; SMALL('Control panel'!D$3:D$23,ROW()-2),2))</f>
        <v/>
      </c>
      <c r="Z16" s="10" t="str">
        <f>IF(A16&lt;&gt;"",'Metrics planning and tracking'!$K$4,"")</f>
        <v/>
      </c>
      <c r="AA16" s="10" t="str">
        <f>IF(A16&lt;&gt;"",'Metrics planning and tracking'!$K$5,"")</f>
        <v/>
      </c>
      <c r="AB16" s="10" t="str">
        <f>IF(A16&lt;&gt;"",'Metrics planning and tracking'!$K$2,"")</f>
        <v/>
      </c>
      <c r="AC16" s="10" t="str">
        <f>IF(A16&lt;&gt;"",'Metrics planning and tracking'!$K$3,"")</f>
        <v/>
      </c>
      <c r="AD16" s="10" t="str">
        <f>IF(A16&lt;&gt;"",IF(AND(#REF!&lt;&gt;"",#REF!&lt;&gt;"",#REF!&lt;&gt;0),#REF!/#REF!*100,"NA"),"")</f>
        <v/>
      </c>
      <c r="AE16" s="10" t="str">
        <f>IF(A16&lt;&gt;"",IF(AND(#REF!&lt;&gt;"",#REF!&lt;&gt;"",#REF!&lt;&gt;0),#REF!/#REF!*100,"NA"),"")</f>
        <v/>
      </c>
      <c r="AF16" s="57" t="str">
        <f t="shared" ref="AF16:AG20" si="9">IF($O16="Completed",IF(D16&lt;&gt;"",D16,IF(B16&lt;&gt;"",B16,"")),"")</f>
        <v/>
      </c>
      <c r="AG16" s="57" t="str">
        <f t="shared" si="9"/>
        <v/>
      </c>
      <c r="AH16" s="58" t="str">
        <f>IF(O16="Completed",IF(L16&lt;&gt;"",L16,IF(K16&lt;&gt;"",K16,"")),"")</f>
        <v/>
      </c>
      <c r="AI16" s="275" t="s">
        <v>1098</v>
      </c>
      <c r="AV16" s="22" t="str">
        <f>IF(A16&lt;&gt;"",A16 &amp; "-" &amp;#REF! &amp; ROW(),"")</f>
        <v/>
      </c>
    </row>
    <row r="17" spans="1:48" ht="15" x14ac:dyDescent="0.25">
      <c r="A17" s="85"/>
      <c r="B17" s="81"/>
      <c r="C17" s="81"/>
      <c r="D17" s="81"/>
      <c r="E17" s="81"/>
      <c r="F17" s="81"/>
      <c r="G17" s="81"/>
      <c r="H17" s="82"/>
      <c r="I17" s="83"/>
      <c r="J17" s="100"/>
      <c r="K17" s="243" t="str">
        <f t="shared" si="3"/>
        <v/>
      </c>
      <c r="L17" s="243" t="str">
        <f t="shared" si="4"/>
        <v/>
      </c>
      <c r="M17" s="244"/>
      <c r="N17" s="244"/>
      <c r="O17" s="249"/>
      <c r="P17" s="249"/>
      <c r="Q17" s="101"/>
      <c r="R17" s="10" t="str">
        <f>IF(H17&lt;&gt;"",SUMIF(H$3:H17,"&lt;&gt;" &amp; "",H$3:H17),"")</f>
        <v/>
      </c>
      <c r="S17" s="10" t="str">
        <f t="array" ref="S17">IF(O17="Completed",SUMIF(W$3:W17,"&lt;&gt;" &amp; "",W$3:W17),"")</f>
        <v/>
      </c>
      <c r="T17" s="10" t="str">
        <f t="array" ref="T17">IF(AND(J17&lt;&gt;"",O17="Completed"),SUM(IF(O$3:O17="Completed",J$3:J17,0)),"")</f>
        <v/>
      </c>
      <c r="U17" s="10" t="str">
        <f t="shared" si="0"/>
        <v/>
      </c>
      <c r="V17" s="10">
        <f>ROW()</f>
        <v>17</v>
      </c>
      <c r="W17" s="10" t="str">
        <f>IF(O17="Completed",IF(COUNT($I$3:$I$596)&gt;0,IF(I17&lt;&gt;"",I17,H17),""),"")</f>
        <v/>
      </c>
      <c r="X17" s="22" t="str">
        <f ca="1">IF(ISERROR(SMALL('Control panel'!E$3:E$23,ROW()-2)),"",INDIRECT("'Control panel'!A" &amp; SMALL('Control panel'!E$3:E$23,ROW()-2),1))</f>
        <v/>
      </c>
      <c r="Y17" s="22" t="str">
        <f ca="1">IF(ISERROR(SMALL('Control panel'!D$3:D$23,ROW()-2)),"",INDIRECT("'Control panel'!B" &amp; SMALL('Control panel'!D$3:D$23,ROW()-2),2))</f>
        <v/>
      </c>
      <c r="Z17" s="10" t="str">
        <f>IF(A17&lt;&gt;"",'Metrics planning and tracking'!$K$4,"")</f>
        <v/>
      </c>
      <c r="AA17" s="10" t="str">
        <f>IF(A17&lt;&gt;"",'Metrics planning and tracking'!$K$5,"")</f>
        <v/>
      </c>
      <c r="AB17" s="10" t="str">
        <f>IF(A17&lt;&gt;"",'Metrics planning and tracking'!$K$2,"")</f>
        <v/>
      </c>
      <c r="AC17" s="10" t="str">
        <f>IF(A17&lt;&gt;"",'Metrics planning and tracking'!$K$3,"")</f>
        <v/>
      </c>
      <c r="AD17" s="10" t="str">
        <f>IF(A17&lt;&gt;"",IF(AND(#REF!&lt;&gt;"",#REF!&lt;&gt;"",#REF!&lt;&gt;0),#REF!/#REF!*100,"NA"),"")</f>
        <v/>
      </c>
      <c r="AE17" s="10" t="str">
        <f>IF(A17&lt;&gt;"",IF(AND(#REF!&lt;&gt;"",#REF!&lt;&gt;"",#REF!&lt;&gt;0),#REF!/#REF!*100,"NA"),"")</f>
        <v/>
      </c>
      <c r="AF17" s="57" t="str">
        <f t="shared" si="9"/>
        <v/>
      </c>
      <c r="AG17" s="57" t="str">
        <f t="shared" si="9"/>
        <v/>
      </c>
      <c r="AH17" s="58" t="str">
        <f>IF(O17="Completed",IF(L17&lt;&gt;"",L17,IF(K17&lt;&gt;"",K17,"")),"")</f>
        <v/>
      </c>
      <c r="AI17" s="275" t="s">
        <v>1099</v>
      </c>
      <c r="AV17" s="22" t="str">
        <f>IF(A17&lt;&gt;"",A17 &amp; "-" &amp;#REF! &amp; ROW(),"")</f>
        <v/>
      </c>
    </row>
    <row r="18" spans="1:48" ht="15" x14ac:dyDescent="0.25">
      <c r="A18" s="85"/>
      <c r="B18" s="81"/>
      <c r="C18" s="81"/>
      <c r="D18" s="81"/>
      <c r="E18" s="81"/>
      <c r="F18" s="81"/>
      <c r="G18" s="81"/>
      <c r="H18" s="82"/>
      <c r="I18" s="83"/>
      <c r="J18" s="100"/>
      <c r="K18" s="243" t="str">
        <f t="shared" si="3"/>
        <v/>
      </c>
      <c r="L18" s="243" t="str">
        <f t="shared" si="4"/>
        <v/>
      </c>
      <c r="M18" s="244"/>
      <c r="N18" s="244"/>
      <c r="O18" s="249"/>
      <c r="P18" s="249"/>
      <c r="Q18" s="101"/>
      <c r="R18" s="10" t="str">
        <f>IF(H18&lt;&gt;"",SUMIF(H$3:H18,"&lt;&gt;" &amp; "",H$3:H18),"")</f>
        <v/>
      </c>
      <c r="S18" s="10" t="str">
        <f t="array" ref="S18">IF(O18="Completed",SUMIF(W$3:W18,"&lt;&gt;" &amp; "",W$3:W18),"")</f>
        <v/>
      </c>
      <c r="T18" s="10" t="str">
        <f t="array" ref="T18">IF(AND(J18&lt;&gt;"",O18="Completed"),SUM(IF(O$3:O18="Completed",J$3:J18,0)),"")</f>
        <v/>
      </c>
      <c r="U18" s="10" t="str">
        <f t="shared" si="0"/>
        <v/>
      </c>
      <c r="V18" s="10">
        <f>ROW()</f>
        <v>18</v>
      </c>
      <c r="W18" s="10" t="str">
        <f>IF(O18="Completed",IF(COUNT($I$3:$I$596)&gt;0,IF(I18&lt;&gt;"",I18,H18),""),"")</f>
        <v/>
      </c>
      <c r="X18" s="22" t="str">
        <f ca="1">IF(ISERROR(SMALL('Control panel'!E$3:E$23,ROW()-2)),"",INDIRECT("'Control panel'!A" &amp; SMALL('Control panel'!E$3:E$23,ROW()-2),1))</f>
        <v/>
      </c>
      <c r="Y18" s="22" t="str">
        <f ca="1">IF(ISERROR(SMALL('Control panel'!D$3:D$23,ROW()-2)),"",INDIRECT("'Control panel'!B" &amp; SMALL('Control panel'!D$3:D$23,ROW()-2),2))</f>
        <v/>
      </c>
      <c r="Z18" s="10" t="str">
        <f>IF(A18&lt;&gt;"",'Metrics planning and tracking'!$K$4,"")</f>
        <v/>
      </c>
      <c r="AA18" s="10" t="str">
        <f>IF(A18&lt;&gt;"",'Metrics planning and tracking'!$K$5,"")</f>
        <v/>
      </c>
      <c r="AB18" s="10" t="str">
        <f>IF(A18&lt;&gt;"",'Metrics planning and tracking'!$K$2,"")</f>
        <v/>
      </c>
      <c r="AC18" s="10" t="str">
        <f>IF(A18&lt;&gt;"",'Metrics planning and tracking'!$K$3,"")</f>
        <v/>
      </c>
      <c r="AD18" s="10" t="str">
        <f>IF(A18&lt;&gt;"",IF(AND(#REF!&lt;&gt;"",#REF!&lt;&gt;"",#REF!&lt;&gt;0),#REF!/#REF!*100,"NA"),"")</f>
        <v/>
      </c>
      <c r="AE18" s="10" t="str">
        <f>IF(A18&lt;&gt;"",IF(AND(#REF!&lt;&gt;"",#REF!&lt;&gt;"",#REF!&lt;&gt;0),#REF!/#REF!*100,"NA"),"")</f>
        <v/>
      </c>
      <c r="AF18" s="57" t="str">
        <f t="shared" si="9"/>
        <v/>
      </c>
      <c r="AG18" s="57" t="str">
        <f t="shared" si="9"/>
        <v/>
      </c>
      <c r="AH18" s="58" t="str">
        <f>IF(O18="Completed",IF(L18&lt;&gt;"",L18,IF(K18&lt;&gt;"",K18,"")),"")</f>
        <v/>
      </c>
      <c r="AI18" s="275" t="s">
        <v>1100</v>
      </c>
      <c r="AV18" s="22" t="str">
        <f>IF(A18&lt;&gt;"",A18 &amp; "-" &amp;#REF! &amp; ROW(),"")</f>
        <v/>
      </c>
    </row>
    <row r="19" spans="1:48" ht="15" x14ac:dyDescent="0.25">
      <c r="A19" s="85"/>
      <c r="B19" s="81"/>
      <c r="C19" s="81"/>
      <c r="D19" s="81"/>
      <c r="E19" s="81"/>
      <c r="F19" s="81"/>
      <c r="G19" s="81"/>
      <c r="H19" s="82"/>
      <c r="I19" s="83"/>
      <c r="J19" s="100"/>
      <c r="K19" s="243" t="str">
        <f t="shared" si="3"/>
        <v/>
      </c>
      <c r="L19" s="243" t="str">
        <f t="shared" si="4"/>
        <v/>
      </c>
      <c r="M19" s="244"/>
      <c r="N19" s="244"/>
      <c r="O19" s="249"/>
      <c r="P19" s="249"/>
      <c r="Q19" s="101"/>
      <c r="R19" s="10" t="str">
        <f>IF(H19&lt;&gt;"",SUMIF(H$3:H19,"&lt;&gt;" &amp; "",H$3:H19),"")</f>
        <v/>
      </c>
      <c r="S19" s="10" t="str">
        <f t="array" ref="S19">IF(O19="Completed",SUMIF(W$3:W19,"&lt;&gt;" &amp; "",W$3:W19),"")</f>
        <v/>
      </c>
      <c r="T19" s="10" t="str">
        <f t="array" ref="T19">IF(AND(J19&lt;&gt;"",O19="Completed"),SUM(IF(O$3:O19="Completed",J$3:J19,0)),"")</f>
        <v/>
      </c>
      <c r="U19" s="10" t="str">
        <f t="shared" si="0"/>
        <v/>
      </c>
      <c r="V19" s="10">
        <f>ROW()</f>
        <v>19</v>
      </c>
      <c r="W19" s="10" t="str">
        <f>IF(O19="Completed",IF(COUNT($I$3:$I$596)&gt;0,IF(I19&lt;&gt;"",I19,H19),""),"")</f>
        <v/>
      </c>
      <c r="Z19" s="10" t="str">
        <f>IF(A19&lt;&gt;"",'Metrics planning and tracking'!$K$4,"")</f>
        <v/>
      </c>
      <c r="AA19" s="10" t="str">
        <f>IF(A19&lt;&gt;"",'Metrics planning and tracking'!$K$5,"")</f>
        <v/>
      </c>
      <c r="AB19" s="10" t="str">
        <f>IF(A19&lt;&gt;"",'Metrics planning and tracking'!$K$2,"")</f>
        <v/>
      </c>
      <c r="AC19" s="10" t="str">
        <f>IF(A19&lt;&gt;"",'Metrics planning and tracking'!$K$3,"")</f>
        <v/>
      </c>
      <c r="AD19" s="10" t="str">
        <f>IF(A19&lt;&gt;"",IF(AND(#REF!&lt;&gt;"",#REF!&lt;&gt;"",#REF!&lt;&gt;0),#REF!/#REF!*100,"NA"),"")</f>
        <v/>
      </c>
      <c r="AE19" s="10" t="str">
        <f>IF(A19&lt;&gt;"",IF(AND(#REF!&lt;&gt;"",#REF!&lt;&gt;"",#REF!&lt;&gt;0),#REF!/#REF!*100,"NA"),"")</f>
        <v/>
      </c>
      <c r="AF19" s="57" t="str">
        <f t="shared" si="9"/>
        <v/>
      </c>
      <c r="AG19" s="57" t="str">
        <f t="shared" si="9"/>
        <v/>
      </c>
      <c r="AH19" s="58" t="str">
        <f>IF(O19="Completed",IF(L19&lt;&gt;"",L19,IF(K19&lt;&gt;"",K19,"")),"")</f>
        <v/>
      </c>
      <c r="AI19" s="275" t="s">
        <v>1101</v>
      </c>
      <c r="AV19" s="22" t="str">
        <f>IF(A19&lt;&gt;"",A19 &amp; "-" &amp;#REF! &amp; ROW(),"")</f>
        <v/>
      </c>
    </row>
    <row r="20" spans="1:48" ht="15" x14ac:dyDescent="0.25">
      <c r="A20" s="85"/>
      <c r="B20" s="81"/>
      <c r="C20" s="81"/>
      <c r="D20" s="81"/>
      <c r="E20" s="81"/>
      <c r="F20" s="81"/>
      <c r="G20" s="81"/>
      <c r="H20" s="82"/>
      <c r="I20" s="83"/>
      <c r="J20" s="100"/>
      <c r="K20" s="243" t="str">
        <f t="shared" si="3"/>
        <v/>
      </c>
      <c r="L20" s="243" t="str">
        <f t="shared" si="4"/>
        <v/>
      </c>
      <c r="M20" s="244"/>
      <c r="N20" s="244"/>
      <c r="O20" s="249"/>
      <c r="P20" s="249"/>
      <c r="Q20" s="101"/>
      <c r="R20" s="10" t="str">
        <f>IF(H20&lt;&gt;"",SUMIF(H$3:H20,"&lt;&gt;" &amp; "",H$3:H20),"")</f>
        <v/>
      </c>
      <c r="S20" s="10" t="str">
        <f t="array" ref="S20">IF(O20="Completed",SUMIF(W$3:W20,"&lt;&gt;" &amp; "",W$3:W20),"")</f>
        <v/>
      </c>
      <c r="T20" s="10" t="str">
        <f t="array" ref="T20">IF(AND(J20&lt;&gt;"",O20="Completed"),SUM(IF(O$3:O20="Completed",J$3:J20,0)),"")</f>
        <v/>
      </c>
      <c r="U20" s="10" t="str">
        <f t="shared" si="0"/>
        <v/>
      </c>
      <c r="V20" s="10">
        <f>ROW()</f>
        <v>20</v>
      </c>
      <c r="W20" s="10" t="str">
        <f>IF(O20="Completed",IF(COUNT($I$3:$I$596)&gt;0,IF(I20&lt;&gt;"",I20,H20),""),"")</f>
        <v/>
      </c>
      <c r="Z20" s="10" t="str">
        <f>IF(A20&lt;&gt;"",'Metrics planning and tracking'!$K$4,"")</f>
        <v/>
      </c>
      <c r="AA20" s="10" t="str">
        <f>IF(A20&lt;&gt;"",'Metrics planning and tracking'!$K$5,"")</f>
        <v/>
      </c>
      <c r="AB20" s="10" t="str">
        <f>IF(A20&lt;&gt;"",'Metrics planning and tracking'!$K$2,"")</f>
        <v/>
      </c>
      <c r="AC20" s="10" t="str">
        <f>IF(A20&lt;&gt;"",'Metrics planning and tracking'!$K$3,"")</f>
        <v/>
      </c>
      <c r="AD20" s="10" t="str">
        <f>IF(A20&lt;&gt;"",IF(AND(#REF!&lt;&gt;"",#REF!&lt;&gt;"",#REF!&lt;&gt;0),#REF!/#REF!*100,"NA"),"")</f>
        <v/>
      </c>
      <c r="AE20" s="10" t="str">
        <f>IF(A20&lt;&gt;"",IF(AND(#REF!&lt;&gt;"",#REF!&lt;&gt;"",#REF!&lt;&gt;0),#REF!/#REF!*100,"NA"),"")</f>
        <v/>
      </c>
      <c r="AF20" s="57" t="str">
        <f t="shared" si="9"/>
        <v/>
      </c>
      <c r="AG20" s="57" t="str">
        <f t="shared" si="9"/>
        <v/>
      </c>
      <c r="AH20" s="58" t="str">
        <f>IF(O20="Completed",IF(L20&lt;&gt;"",L20,IF(K20&lt;&gt;"",K20,"")),"")</f>
        <v/>
      </c>
      <c r="AI20" s="275" t="s">
        <v>1102</v>
      </c>
      <c r="AV20" s="22" t="str">
        <f>IF(A20&lt;&gt;"",A20 &amp; "-" &amp;#REF! &amp; ROW(),"")</f>
        <v/>
      </c>
    </row>
    <row r="21" spans="1:48" ht="15" x14ac:dyDescent="0.25">
      <c r="A21" s="85"/>
      <c r="B21" s="81"/>
      <c r="C21" s="81"/>
      <c r="D21" s="81"/>
      <c r="E21" s="81"/>
      <c r="F21" s="81"/>
      <c r="G21" s="81"/>
      <c r="H21" s="82"/>
      <c r="I21" s="83"/>
      <c r="J21" s="100"/>
      <c r="K21" s="243" t="str">
        <f t="shared" si="3"/>
        <v/>
      </c>
      <c r="L21" s="243" t="str">
        <f t="shared" si="4"/>
        <v/>
      </c>
      <c r="M21" s="244"/>
      <c r="N21" s="244"/>
      <c r="O21" s="249"/>
      <c r="P21" s="249"/>
      <c r="Q21" s="101"/>
      <c r="U21" s="10" t="str">
        <f t="shared" si="0"/>
        <v/>
      </c>
      <c r="AG21" s="57"/>
      <c r="AH21" s="58"/>
      <c r="AI21" s="275" t="s">
        <v>1103</v>
      </c>
    </row>
    <row r="22" spans="1:48" ht="15" x14ac:dyDescent="0.25">
      <c r="A22" s="85"/>
      <c r="B22" s="81"/>
      <c r="C22" s="81"/>
      <c r="D22" s="81"/>
      <c r="E22" s="81"/>
      <c r="F22" s="81"/>
      <c r="G22" s="81"/>
      <c r="H22" s="82"/>
      <c r="I22" s="83"/>
      <c r="J22" s="100"/>
      <c r="K22" s="243" t="str">
        <f t="shared" si="3"/>
        <v/>
      </c>
      <c r="L22" s="243" t="str">
        <f t="shared" si="4"/>
        <v/>
      </c>
      <c r="M22" s="244"/>
      <c r="N22" s="244"/>
      <c r="O22" s="249"/>
      <c r="P22" s="249"/>
      <c r="Q22" s="101"/>
      <c r="R22" s="10" t="str">
        <f>IF(H22&lt;&gt;"",SUMIF(H$3:H22,"&lt;&gt;" &amp; "",H$3:H22),"")</f>
        <v/>
      </c>
      <c r="S22" s="10" t="str">
        <f t="array" ref="S22">IF(O22="Completed",SUMIF(W$3:W22,"&lt;&gt;" &amp; "",W$3:W22),"")</f>
        <v/>
      </c>
      <c r="T22" s="10" t="str">
        <f t="array" ref="T22">IF(AND(J22&lt;&gt;"",O22="Completed"),SUM(IF(O$3:O22="Completed",J$3:J22,0)),"")</f>
        <v/>
      </c>
      <c r="U22" s="10" t="str">
        <f t="shared" si="0"/>
        <v/>
      </c>
      <c r="V22" s="10">
        <f>ROW()</f>
        <v>22</v>
      </c>
      <c r="W22" s="10" t="str">
        <f t="shared" ref="W22:W85" si="10">IF(O22="Completed",IF(COUNT($I$3:$I$596)&gt;0,IF(I22&lt;&gt;"",I22,H22),""),"")</f>
        <v/>
      </c>
      <c r="Z22" s="10" t="str">
        <f>IF(A22&lt;&gt;"",'Metrics planning and tracking'!$K$4,"")</f>
        <v/>
      </c>
      <c r="AA22" s="10" t="str">
        <f>IF(A22&lt;&gt;"",'Metrics planning and tracking'!$K$5,"")</f>
        <v/>
      </c>
      <c r="AB22" s="10" t="str">
        <f>IF(A22&lt;&gt;"",'Metrics planning and tracking'!$K$2,"")</f>
        <v/>
      </c>
      <c r="AC22" s="10" t="str">
        <f>IF(A22&lt;&gt;"",'Metrics planning and tracking'!$K$3,"")</f>
        <v/>
      </c>
      <c r="AD22" s="10" t="str">
        <f>IF(A22&lt;&gt;"",IF(AND(#REF!&lt;&gt;"",#REF!&lt;&gt;"",#REF!&lt;&gt;0),#REF!/#REF!*100,"NA"),"")</f>
        <v/>
      </c>
      <c r="AE22" s="10" t="str">
        <f>IF(A22&lt;&gt;"",IF(AND(#REF!&lt;&gt;"",#REF!&lt;&gt;"",#REF!&lt;&gt;0),#REF!/#REF!*100,"NA"),"")</f>
        <v/>
      </c>
      <c r="AF22" s="57" t="str">
        <f t="shared" ref="AF22:AF85" si="11">IF($O22="Completed",IF(D22&lt;&gt;"",D22,IF(B22&lt;&gt;"",B22,"")),"")</f>
        <v/>
      </c>
      <c r="AG22" s="57" t="str">
        <f t="shared" ref="AG22:AG85" si="12">IF($O22="Completed",IF(E22&lt;&gt;"",E22,IF(C22&lt;&gt;"",C22,"")),"")</f>
        <v/>
      </c>
      <c r="AH22" s="58" t="str">
        <f t="shared" ref="AH22:AH85" si="13">IF(O22="Completed",IF(L22&lt;&gt;"",L22,IF(K22&lt;&gt;"",K22,"")),"")</f>
        <v/>
      </c>
      <c r="AI22" s="275" t="s">
        <v>1104</v>
      </c>
      <c r="AV22" s="22" t="str">
        <f>IF(A22&lt;&gt;"",A22 &amp; "-" &amp;#REF! &amp; ROW(),"")</f>
        <v/>
      </c>
    </row>
    <row r="23" spans="1:48" ht="15" x14ac:dyDescent="0.25">
      <c r="A23" s="85"/>
      <c r="B23" s="81"/>
      <c r="C23" s="81"/>
      <c r="D23" s="81"/>
      <c r="E23" s="81"/>
      <c r="F23" s="81"/>
      <c r="G23" s="81"/>
      <c r="H23" s="82"/>
      <c r="I23" s="83"/>
      <c r="J23" s="100"/>
      <c r="K23" s="243" t="str">
        <f t="shared" si="3"/>
        <v/>
      </c>
      <c r="L23" s="243" t="str">
        <f t="shared" si="4"/>
        <v/>
      </c>
      <c r="M23" s="244"/>
      <c r="N23" s="244"/>
      <c r="O23" s="249"/>
      <c r="P23" s="249"/>
      <c r="Q23" s="101"/>
      <c r="R23" s="10" t="str">
        <f>IF(H23&lt;&gt;"",SUMIF(H$3:H23,"&lt;&gt;" &amp; "",H$3:H23),"")</f>
        <v/>
      </c>
      <c r="S23" s="10" t="str">
        <f t="array" ref="S23">IF(O23="Completed",SUMIF(W$3:W23,"&lt;&gt;" &amp; "",W$3:W23),"")</f>
        <v/>
      </c>
      <c r="T23" s="10" t="str">
        <f t="array" ref="T23">IF(AND(J23&lt;&gt;"",O23="Completed"),SUM(IF(O$3:O23="Completed",J$3:J23,0)),"")</f>
        <v/>
      </c>
      <c r="U23" s="10" t="str">
        <f t="shared" si="0"/>
        <v/>
      </c>
      <c r="V23" s="10">
        <f>ROW()</f>
        <v>23</v>
      </c>
      <c r="W23" s="10" t="str">
        <f t="shared" si="10"/>
        <v/>
      </c>
      <c r="Z23" s="10" t="str">
        <f>IF(A23&lt;&gt;"",'Metrics planning and tracking'!$K$4,"")</f>
        <v/>
      </c>
      <c r="AA23" s="10" t="str">
        <f>IF(A23&lt;&gt;"",'Metrics planning and tracking'!$K$5,"")</f>
        <v/>
      </c>
      <c r="AB23" s="10" t="str">
        <f>IF(A23&lt;&gt;"",'Metrics planning and tracking'!$K$2,"")</f>
        <v/>
      </c>
      <c r="AC23" s="10" t="str">
        <f>IF(A23&lt;&gt;"",'Metrics planning and tracking'!$K$3,"")</f>
        <v/>
      </c>
      <c r="AD23" s="10" t="str">
        <f>IF(A23&lt;&gt;"",IF(AND(#REF!&lt;&gt;"",#REF!&lt;&gt;"",#REF!&lt;&gt;0),#REF!/#REF!*100,"NA"),"")</f>
        <v/>
      </c>
      <c r="AE23" s="10" t="str">
        <f>IF(A23&lt;&gt;"",IF(AND(#REF!&lt;&gt;"",#REF!&lt;&gt;"",#REF!&lt;&gt;0),#REF!/#REF!*100,"NA"),"")</f>
        <v/>
      </c>
      <c r="AF23" s="57" t="str">
        <f t="shared" si="11"/>
        <v/>
      </c>
      <c r="AG23" s="57" t="str">
        <f t="shared" si="12"/>
        <v/>
      </c>
      <c r="AH23" s="58" t="str">
        <f t="shared" si="13"/>
        <v/>
      </c>
      <c r="AI23" s="275" t="s">
        <v>1105</v>
      </c>
      <c r="AV23" s="22" t="str">
        <f>IF(A23&lt;&gt;"",A23 &amp; "-" &amp;#REF! &amp; ROW(),"")</f>
        <v/>
      </c>
    </row>
    <row r="24" spans="1:48" ht="15" x14ac:dyDescent="0.25">
      <c r="A24" s="85"/>
      <c r="B24" s="81"/>
      <c r="C24" s="81"/>
      <c r="D24" s="81"/>
      <c r="E24" s="81"/>
      <c r="F24" s="81"/>
      <c r="G24" s="81"/>
      <c r="H24" s="82"/>
      <c r="I24" s="83"/>
      <c r="J24" s="100"/>
      <c r="K24" s="243" t="str">
        <f t="shared" si="3"/>
        <v/>
      </c>
      <c r="L24" s="243" t="str">
        <f t="shared" si="4"/>
        <v/>
      </c>
      <c r="M24" s="244"/>
      <c r="N24" s="244"/>
      <c r="O24" s="249"/>
      <c r="P24" s="249"/>
      <c r="Q24" s="101"/>
      <c r="R24" s="10" t="str">
        <f>IF(H24&lt;&gt;"",SUMIF(H$3:H24,"&lt;&gt;" &amp; "",H$3:H24),"")</f>
        <v/>
      </c>
      <c r="S24" s="10" t="str">
        <f t="array" ref="S24">IF(O24="Completed",SUMIF(W$3:W24,"&lt;&gt;" &amp; "",W$3:W24),"")</f>
        <v/>
      </c>
      <c r="T24" s="10" t="str">
        <f t="array" ref="T24">IF(AND(J24&lt;&gt;"",O24="Completed"),SUM(IF(O$3:O24="Completed",J$3:J24,0)),"")</f>
        <v/>
      </c>
      <c r="U24" s="10" t="str">
        <f t="shared" si="0"/>
        <v/>
      </c>
      <c r="V24" s="10">
        <f>ROW()</f>
        <v>24</v>
      </c>
      <c r="W24" s="10" t="str">
        <f t="shared" si="10"/>
        <v/>
      </c>
      <c r="Z24" s="10" t="str">
        <f>IF(A24&lt;&gt;"",'Metrics planning and tracking'!$K$4,"")</f>
        <v/>
      </c>
      <c r="AA24" s="10" t="str">
        <f>IF(A24&lt;&gt;"",'Metrics planning and tracking'!$K$5,"")</f>
        <v/>
      </c>
      <c r="AB24" s="10" t="str">
        <f>IF(A24&lt;&gt;"",'Metrics planning and tracking'!$K$2,"")</f>
        <v/>
      </c>
      <c r="AC24" s="10" t="str">
        <f>IF(A24&lt;&gt;"",'Metrics planning and tracking'!$K$3,"")</f>
        <v/>
      </c>
      <c r="AD24" s="10" t="str">
        <f>IF(A24&lt;&gt;"",IF(AND(#REF!&lt;&gt;"",#REF!&lt;&gt;"",#REF!&lt;&gt;0),#REF!/#REF!*100,"NA"),"")</f>
        <v/>
      </c>
      <c r="AE24" s="10" t="str">
        <f>IF(A24&lt;&gt;"",IF(AND(#REF!&lt;&gt;"",#REF!&lt;&gt;"",#REF!&lt;&gt;0),#REF!/#REF!*100,"NA"),"")</f>
        <v/>
      </c>
      <c r="AF24" s="57" t="str">
        <f t="shared" si="11"/>
        <v/>
      </c>
      <c r="AG24" s="57" t="str">
        <f t="shared" si="12"/>
        <v/>
      </c>
      <c r="AH24" s="58" t="str">
        <f t="shared" si="13"/>
        <v/>
      </c>
      <c r="AI24" s="275" t="s">
        <v>1106</v>
      </c>
      <c r="AV24" s="22" t="str">
        <f>IF(A24&lt;&gt;"",A24 &amp; "-" &amp;#REF! &amp; ROW(),"")</f>
        <v/>
      </c>
    </row>
    <row r="25" spans="1:48" ht="15" x14ac:dyDescent="0.25">
      <c r="A25" s="85"/>
      <c r="B25" s="81"/>
      <c r="C25" s="81"/>
      <c r="D25" s="81"/>
      <c r="E25" s="81"/>
      <c r="F25" s="81"/>
      <c r="G25" s="81"/>
      <c r="H25" s="82"/>
      <c r="I25" s="83"/>
      <c r="J25" s="100"/>
      <c r="K25" s="243" t="str">
        <f t="shared" si="3"/>
        <v/>
      </c>
      <c r="L25" s="243" t="str">
        <f t="shared" si="4"/>
        <v/>
      </c>
      <c r="M25" s="244"/>
      <c r="N25" s="244"/>
      <c r="O25" s="249"/>
      <c r="P25" s="249"/>
      <c r="Q25" s="101"/>
      <c r="R25" s="10" t="str">
        <f>IF(H25&lt;&gt;"",SUMIF(H$3:H25,"&lt;&gt;" &amp; "",H$3:H25),"")</f>
        <v/>
      </c>
      <c r="S25" s="10" t="str">
        <f t="array" ref="S25">IF(O25="Completed",SUMIF(W$3:W25,"&lt;&gt;" &amp; "",W$3:W25),"")</f>
        <v/>
      </c>
      <c r="T25" s="10" t="str">
        <f t="array" ref="T25">IF(AND(J25&lt;&gt;"",O25="Completed"),SUM(IF(O$3:O25="Completed",J$3:J25,0)),"")</f>
        <v/>
      </c>
      <c r="U25" s="10" t="str">
        <f t="shared" si="0"/>
        <v/>
      </c>
      <c r="V25" s="10">
        <f>ROW()</f>
        <v>25</v>
      </c>
      <c r="W25" s="10" t="str">
        <f t="shared" si="10"/>
        <v/>
      </c>
      <c r="Z25" s="10" t="str">
        <f>IF(A25&lt;&gt;"",'Metrics planning and tracking'!$K$4,"")</f>
        <v/>
      </c>
      <c r="AA25" s="10" t="str">
        <f>IF(A25&lt;&gt;"",'Metrics planning and tracking'!$K$5,"")</f>
        <v/>
      </c>
      <c r="AB25" s="10" t="str">
        <f>IF(A25&lt;&gt;"",'Metrics planning and tracking'!$K$2,"")</f>
        <v/>
      </c>
      <c r="AC25" s="10" t="str">
        <f>IF(A25&lt;&gt;"",'Metrics planning and tracking'!$K$3,"")</f>
        <v/>
      </c>
      <c r="AD25" s="10" t="str">
        <f>IF(A25&lt;&gt;"",IF(AND(#REF!&lt;&gt;"",#REF!&lt;&gt;"",#REF!&lt;&gt;0),#REF!/#REF!*100,"NA"),"")</f>
        <v/>
      </c>
      <c r="AE25" s="10" t="str">
        <f>IF(A25&lt;&gt;"",IF(AND(#REF!&lt;&gt;"",#REF!&lt;&gt;"",#REF!&lt;&gt;0),#REF!/#REF!*100,"NA"),"")</f>
        <v/>
      </c>
      <c r="AF25" s="57" t="str">
        <f t="shared" si="11"/>
        <v/>
      </c>
      <c r="AG25" s="57" t="str">
        <f t="shared" si="12"/>
        <v/>
      </c>
      <c r="AH25" s="58" t="str">
        <f t="shared" si="13"/>
        <v/>
      </c>
      <c r="AI25" s="275" t="s">
        <v>1107</v>
      </c>
      <c r="AV25" s="22" t="str">
        <f>IF(A25&lt;&gt;"",A25 &amp; "-" &amp;#REF! &amp; ROW(),"")</f>
        <v/>
      </c>
    </row>
    <row r="26" spans="1:48" ht="15" x14ac:dyDescent="0.25">
      <c r="A26" s="85"/>
      <c r="B26" s="81"/>
      <c r="C26" s="81"/>
      <c r="D26" s="81"/>
      <c r="E26" s="81"/>
      <c r="F26" s="81"/>
      <c r="G26" s="81"/>
      <c r="H26" s="82"/>
      <c r="I26" s="83"/>
      <c r="J26" s="100"/>
      <c r="K26" s="243" t="str">
        <f t="shared" si="3"/>
        <v/>
      </c>
      <c r="L26" s="243" t="str">
        <f t="shared" si="4"/>
        <v/>
      </c>
      <c r="M26" s="244"/>
      <c r="N26" s="244"/>
      <c r="O26" s="249"/>
      <c r="P26" s="249"/>
      <c r="Q26" s="101"/>
      <c r="R26" s="10" t="str">
        <f>IF(H26&lt;&gt;"",SUMIF(H$3:H26,"&lt;&gt;" &amp; "",H$3:H26),"")</f>
        <v/>
      </c>
      <c r="S26" s="10" t="str">
        <f t="array" ref="S26">IF(O26="Completed",SUMIF(W$3:W26,"&lt;&gt;" &amp; "",W$3:W26),"")</f>
        <v/>
      </c>
      <c r="T26" s="10" t="str">
        <f t="array" ref="T26">IF(AND(J26&lt;&gt;"",O26="Completed"),SUM(IF(O$3:O26="Completed",J$3:J26,0)),"")</f>
        <v/>
      </c>
      <c r="U26" s="10" t="str">
        <f t="shared" si="0"/>
        <v/>
      </c>
      <c r="V26" s="10">
        <f>ROW()</f>
        <v>26</v>
      </c>
      <c r="W26" s="10" t="str">
        <f t="shared" si="10"/>
        <v/>
      </c>
      <c r="Z26" s="10" t="str">
        <f>IF(A26&lt;&gt;"",'Metrics planning and tracking'!$K$4,"")</f>
        <v/>
      </c>
      <c r="AA26" s="10" t="str">
        <f>IF(A26&lt;&gt;"",'Metrics planning and tracking'!$K$5,"")</f>
        <v/>
      </c>
      <c r="AB26" s="10" t="str">
        <f>IF(A26&lt;&gt;"",'Metrics planning and tracking'!$K$2,"")</f>
        <v/>
      </c>
      <c r="AC26" s="10" t="str">
        <f>IF(A26&lt;&gt;"",'Metrics planning and tracking'!$K$3,"")</f>
        <v/>
      </c>
      <c r="AD26" s="10" t="str">
        <f>IF(A26&lt;&gt;"",IF(AND(#REF!&lt;&gt;"",#REF!&lt;&gt;"",#REF!&lt;&gt;0),#REF!/#REF!*100,"NA"),"")</f>
        <v/>
      </c>
      <c r="AE26" s="10" t="str">
        <f>IF(A26&lt;&gt;"",IF(AND(#REF!&lt;&gt;"",#REF!&lt;&gt;"",#REF!&lt;&gt;0),#REF!/#REF!*100,"NA"),"")</f>
        <v/>
      </c>
      <c r="AF26" s="57" t="str">
        <f t="shared" si="11"/>
        <v/>
      </c>
      <c r="AG26" s="57" t="str">
        <f t="shared" si="12"/>
        <v/>
      </c>
      <c r="AH26" s="58" t="str">
        <f t="shared" si="13"/>
        <v/>
      </c>
      <c r="AI26" s="275" t="s">
        <v>1108</v>
      </c>
      <c r="AV26" s="22" t="str">
        <f>IF(A26&lt;&gt;"",A26 &amp; "-" &amp;#REF! &amp; ROW(),"")</f>
        <v/>
      </c>
    </row>
    <row r="27" spans="1:48" ht="15" x14ac:dyDescent="0.25">
      <c r="A27" s="85"/>
      <c r="B27" s="81"/>
      <c r="C27" s="81"/>
      <c r="D27" s="81"/>
      <c r="E27" s="81"/>
      <c r="F27" s="84"/>
      <c r="G27" s="84"/>
      <c r="H27" s="82"/>
      <c r="I27" s="82"/>
      <c r="J27" s="82"/>
      <c r="K27" s="243" t="str">
        <f t="shared" si="3"/>
        <v/>
      </c>
      <c r="L27" s="243" t="str">
        <f t="shared" si="4"/>
        <v/>
      </c>
      <c r="M27" s="244"/>
      <c r="N27" s="244"/>
      <c r="O27" s="249"/>
      <c r="P27" s="249"/>
      <c r="Q27" s="101"/>
      <c r="R27" s="10" t="str">
        <f>IF(H27&lt;&gt;"",SUMIF(H$3:H27,"&lt;&gt;" &amp; "",H$3:H27),"")</f>
        <v/>
      </c>
      <c r="S27" s="10" t="str">
        <f t="array" ref="S27">IF(O27="Completed",SUMIF(W$3:W27,"&lt;&gt;" &amp; "",W$3:W27),"")</f>
        <v/>
      </c>
      <c r="T27" s="10" t="str">
        <f t="array" ref="T27">IF(AND(J27&lt;&gt;"",O27="Completed"),SUM(IF(O$3:O27="Completed",J$3:J27,0)),"")</f>
        <v/>
      </c>
      <c r="U27" s="10" t="str">
        <f t="shared" si="0"/>
        <v/>
      </c>
      <c r="V27" s="10">
        <f>ROW()</f>
        <v>27</v>
      </c>
      <c r="W27" s="10" t="str">
        <f t="shared" si="10"/>
        <v/>
      </c>
      <c r="Z27" s="10" t="str">
        <f>IF(A27&lt;&gt;"",'Metrics planning and tracking'!$K$4,"")</f>
        <v/>
      </c>
      <c r="AA27" s="10" t="str">
        <f>IF(A27&lt;&gt;"",'Metrics planning and tracking'!$K$5,"")</f>
        <v/>
      </c>
      <c r="AB27" s="10" t="str">
        <f>IF(A27&lt;&gt;"",'Metrics planning and tracking'!$K$2,"")</f>
        <v/>
      </c>
      <c r="AC27" s="10" t="str">
        <f>IF(A27&lt;&gt;"",'Metrics planning and tracking'!$K$3,"")</f>
        <v/>
      </c>
      <c r="AD27" s="10" t="str">
        <f>IF(A27&lt;&gt;"",IF(AND(#REF!&lt;&gt;"",#REF!&lt;&gt;"",#REF!&lt;&gt;0),#REF!/#REF!*100,"NA"),"")</f>
        <v/>
      </c>
      <c r="AE27" s="10" t="str">
        <f>IF(A27&lt;&gt;"",IF(AND(#REF!&lt;&gt;"",#REF!&lt;&gt;"",#REF!&lt;&gt;0),#REF!/#REF!*100,"NA"),"")</f>
        <v/>
      </c>
      <c r="AF27" s="57" t="str">
        <f t="shared" si="11"/>
        <v/>
      </c>
      <c r="AG27" s="57" t="str">
        <f t="shared" si="12"/>
        <v/>
      </c>
      <c r="AH27" s="58" t="str">
        <f t="shared" si="13"/>
        <v/>
      </c>
      <c r="AI27" s="275" t="s">
        <v>1109</v>
      </c>
      <c r="AV27" s="22" t="str">
        <f>IF(A27&lt;&gt;"",A27 &amp; "-" &amp;#REF! &amp; ROW(),"")</f>
        <v/>
      </c>
    </row>
    <row r="28" spans="1:48" x14ac:dyDescent="0.2">
      <c r="B28" s="87"/>
      <c r="C28" s="87"/>
      <c r="D28" s="87"/>
      <c r="E28" s="87"/>
      <c r="F28" s="88"/>
      <c r="G28" s="88"/>
      <c r="K28" s="11" t="str">
        <f>IF(AND(COUNTA(B28:C28)&gt;1,COUNTA(F28:G28)&gt;1,O28="Completed"),(G28-C28)/(C28-#REF!+1)%,"")</f>
        <v/>
      </c>
      <c r="L28" s="11" t="str">
        <f>IF(AND(COUNT(D28:E28)&gt;0,COUNTA(F28:G28)&gt;1,O28="Completed"),(G28-AG28)/(AG28-#REF!+1)%,"")</f>
        <v/>
      </c>
      <c r="M28" s="11" t="str">
        <f t="shared" ref="M28:M85" si="14">IF(AND(T28&lt;&gt;"",T28&lt;&gt;0,R28&lt;&gt;"",R28&lt;&gt;0),(T28-R28)/R28%,IF(AND(H28&lt;&gt;"",H28&lt;&gt;0,OR(J28="",J28=0)),"Actual Effort reqd.",""))</f>
        <v/>
      </c>
      <c r="N28" s="11" t="str">
        <f t="shared" ref="N28:N85" si="15">IF(AND(T28&lt;&gt;"",T28&lt;&gt;0,S28&lt;&gt;"",S28&lt;&gt;0),(T28-S28)/S28%,IF(AND(I28&lt;&gt;"",I28&lt;&gt;0,OR(J28="",J28=0)),"Actual Effort reqd.",""))</f>
        <v/>
      </c>
      <c r="O28" s="12"/>
      <c r="P28" s="12"/>
      <c r="R28" s="10" t="str">
        <f>IF(H28&lt;&gt;"",SUMIF(H$3:H28,"&lt;&gt;" &amp; "",H$3:H28),"")</f>
        <v/>
      </c>
      <c r="S28" s="10" t="str">
        <f t="array" ref="S28">IF(O28="Completed",SUMIF(W$3:W28,"&lt;&gt;" &amp; "",W$3:W28),"")</f>
        <v/>
      </c>
      <c r="T28" s="10" t="str">
        <f t="array" ref="T28">IF(AND(J28&lt;&gt;"",O28="Completed"),SUM(IF(O$3:O28="Completed",J$3:J28,0)),"")</f>
        <v/>
      </c>
      <c r="U28" s="10" t="str">
        <f t="shared" si="0"/>
        <v/>
      </c>
      <c r="V28" s="10">
        <f>ROW()</f>
        <v>28</v>
      </c>
      <c r="W28" s="10" t="str">
        <f t="shared" si="10"/>
        <v/>
      </c>
      <c r="Z28" s="10" t="str">
        <f>IF(A28&lt;&gt;"",'Metrics planning and tracking'!$K$4,"")</f>
        <v/>
      </c>
      <c r="AA28" s="10" t="str">
        <f>IF(A28&lt;&gt;"",'Metrics planning and tracking'!$K$5,"")</f>
        <v/>
      </c>
      <c r="AB28" s="10" t="str">
        <f>IF(A28&lt;&gt;"",'Metrics planning and tracking'!$K$2,"")</f>
        <v/>
      </c>
      <c r="AC28" s="10" t="str">
        <f>IF(A28&lt;&gt;"",'Metrics planning and tracking'!$K$3,"")</f>
        <v/>
      </c>
      <c r="AD28" s="10" t="str">
        <f>IF(A28&lt;&gt;"",IF(AND(#REF!&lt;&gt;"",#REF!&lt;&gt;"",#REF!&lt;&gt;0),#REF!/#REF!*100,"NA"),"")</f>
        <v/>
      </c>
      <c r="AE28" s="10" t="str">
        <f>IF(A28&lt;&gt;"",IF(AND(#REF!&lt;&gt;"",#REF!&lt;&gt;"",#REF!&lt;&gt;0),#REF!/#REF!*100,"NA"),"")</f>
        <v/>
      </c>
      <c r="AF28" s="57" t="str">
        <f t="shared" si="11"/>
        <v/>
      </c>
      <c r="AG28" s="57" t="str">
        <f t="shared" si="12"/>
        <v/>
      </c>
      <c r="AH28" s="58" t="str">
        <f t="shared" si="13"/>
        <v/>
      </c>
      <c r="AI28" s="275" t="s">
        <v>1110</v>
      </c>
      <c r="AV28" s="22" t="str">
        <f>IF(A28&lt;&gt;"",A28 &amp; "-" &amp;#REF! &amp; ROW(),"")</f>
        <v/>
      </c>
    </row>
    <row r="29" spans="1:48" x14ac:dyDescent="0.2">
      <c r="B29" s="87"/>
      <c r="C29" s="87"/>
      <c r="D29" s="87"/>
      <c r="E29" s="87"/>
      <c r="F29" s="88"/>
      <c r="G29" s="88"/>
      <c r="K29" s="11" t="str">
        <f>IF(AND(COUNTA(B29:C29)&gt;1,COUNTA(F29:G29)&gt;1,O29="Completed"),(G29-C29)/(C29-#REF!+1)%,"")</f>
        <v/>
      </c>
      <c r="L29" s="11" t="str">
        <f>IF(AND(COUNT(D29:E29)&gt;0,COUNTA(F29:G29)&gt;1,O29="Completed"),(G29-AG29)/(AG29-#REF!+1)%,"")</f>
        <v/>
      </c>
      <c r="M29" s="11" t="str">
        <f t="shared" si="14"/>
        <v/>
      </c>
      <c r="N29" s="11" t="str">
        <f t="shared" si="15"/>
        <v/>
      </c>
      <c r="O29" s="12"/>
      <c r="P29" s="12"/>
      <c r="R29" s="10" t="str">
        <f>IF(H29&lt;&gt;"",SUMIF(H$3:H29,"&lt;&gt;" &amp; "",H$3:H29),"")</f>
        <v/>
      </c>
      <c r="S29" s="10" t="str">
        <f t="array" ref="S29">IF(O29="Completed",SUMIF(W$3:W29,"&lt;&gt;" &amp; "",W$3:W29),"")</f>
        <v/>
      </c>
      <c r="T29" s="10" t="str">
        <f t="array" ref="T29">IF(AND(J29&lt;&gt;"",O29="Completed"),SUM(IF(O$3:O29="Completed",J$3:J29,0)),"")</f>
        <v/>
      </c>
      <c r="U29" s="10" t="str">
        <f t="shared" si="0"/>
        <v/>
      </c>
      <c r="V29" s="10">
        <f>ROW()</f>
        <v>29</v>
      </c>
      <c r="W29" s="10" t="str">
        <f t="shared" si="10"/>
        <v/>
      </c>
      <c r="Z29" s="10" t="str">
        <f>IF(A29&lt;&gt;"",'Metrics planning and tracking'!$K$4,"")</f>
        <v/>
      </c>
      <c r="AA29" s="10" t="str">
        <f>IF(A29&lt;&gt;"",'Metrics planning and tracking'!$K$5,"")</f>
        <v/>
      </c>
      <c r="AB29" s="10" t="str">
        <f>IF(A29&lt;&gt;"",'Metrics planning and tracking'!$K$2,"")</f>
        <v/>
      </c>
      <c r="AC29" s="10" t="str">
        <f>IF(A29&lt;&gt;"",'Metrics planning and tracking'!$K$3,"")</f>
        <v/>
      </c>
      <c r="AD29" s="10" t="str">
        <f>IF(A29&lt;&gt;"",IF(AND(#REF!&lt;&gt;"",#REF!&lt;&gt;"",#REF!&lt;&gt;0),#REF!/#REF!*100,"NA"),"")</f>
        <v/>
      </c>
      <c r="AE29" s="10" t="str">
        <f>IF(A29&lt;&gt;"",IF(AND(#REF!&lt;&gt;"",#REF!&lt;&gt;"",#REF!&lt;&gt;0),#REF!/#REF!*100,"NA"),"")</f>
        <v/>
      </c>
      <c r="AF29" s="57" t="str">
        <f t="shared" si="11"/>
        <v/>
      </c>
      <c r="AG29" s="57" t="str">
        <f t="shared" si="12"/>
        <v/>
      </c>
      <c r="AH29" s="58" t="str">
        <f t="shared" si="13"/>
        <v/>
      </c>
      <c r="AI29" s="275" t="s">
        <v>1111</v>
      </c>
      <c r="AV29" s="22" t="str">
        <f>IF(A29&lt;&gt;"",A29 &amp; "-" &amp;#REF! &amp; ROW(),"")</f>
        <v/>
      </c>
    </row>
    <row r="30" spans="1:48" x14ac:dyDescent="0.2">
      <c r="B30" s="87"/>
      <c r="C30" s="87"/>
      <c r="D30" s="87"/>
      <c r="E30" s="87"/>
      <c r="F30" s="88"/>
      <c r="G30" s="88"/>
      <c r="K30" s="11" t="str">
        <f>IF(AND(COUNTA(B30:C30)&gt;1,COUNTA(F30:G30)&gt;1,O30="Completed"),(G30-C30)/(C30-#REF!+1)%,"")</f>
        <v/>
      </c>
      <c r="L30" s="11" t="str">
        <f>IF(AND(COUNT(D30:E30)&gt;0,COUNTA(F30:G30)&gt;1,O30="Completed"),(G30-AG30)/(AG30-#REF!+1)%,"")</f>
        <v/>
      </c>
      <c r="M30" s="11" t="str">
        <f t="shared" si="14"/>
        <v/>
      </c>
      <c r="N30" s="11" t="str">
        <f t="shared" si="15"/>
        <v/>
      </c>
      <c r="O30" s="12"/>
      <c r="P30" s="12"/>
      <c r="R30" s="10" t="str">
        <f>IF(H30&lt;&gt;"",SUMIF(H$3:H30,"&lt;&gt;" &amp; "",H$3:H30),"")</f>
        <v/>
      </c>
      <c r="S30" s="10" t="str">
        <f t="array" ref="S30">IF(O30="Completed",SUMIF(W$3:W30,"&lt;&gt;" &amp; "",W$3:W30),"")</f>
        <v/>
      </c>
      <c r="T30" s="10" t="str">
        <f t="array" ref="T30">IF(AND(J30&lt;&gt;"",O30="Completed"),SUM(IF(O$3:O30="Completed",J$3:J30,0)),"")</f>
        <v/>
      </c>
      <c r="U30" s="10" t="str">
        <f t="shared" si="0"/>
        <v/>
      </c>
      <c r="V30" s="10">
        <f>ROW()</f>
        <v>30</v>
      </c>
      <c r="W30" s="10" t="str">
        <f t="shared" si="10"/>
        <v/>
      </c>
      <c r="Z30" s="10" t="str">
        <f>IF(A30&lt;&gt;"",'Metrics planning and tracking'!$K$4,"")</f>
        <v/>
      </c>
      <c r="AA30" s="10" t="str">
        <f>IF(A30&lt;&gt;"",'Metrics planning and tracking'!$K$5,"")</f>
        <v/>
      </c>
      <c r="AB30" s="10" t="str">
        <f>IF(A30&lt;&gt;"",'Metrics planning and tracking'!$K$2,"")</f>
        <v/>
      </c>
      <c r="AC30" s="10" t="str">
        <f>IF(A30&lt;&gt;"",'Metrics planning and tracking'!$K$3,"")</f>
        <v/>
      </c>
      <c r="AD30" s="10" t="str">
        <f>IF(A30&lt;&gt;"",IF(AND(#REF!&lt;&gt;"",#REF!&lt;&gt;"",#REF!&lt;&gt;0),#REF!/#REF!*100,"NA"),"")</f>
        <v/>
      </c>
      <c r="AE30" s="10" t="str">
        <f>IF(A30&lt;&gt;"",IF(AND(#REF!&lt;&gt;"",#REF!&lt;&gt;"",#REF!&lt;&gt;0),#REF!/#REF!*100,"NA"),"")</f>
        <v/>
      </c>
      <c r="AF30" s="57" t="str">
        <f t="shared" si="11"/>
        <v/>
      </c>
      <c r="AG30" s="57" t="str">
        <f t="shared" si="12"/>
        <v/>
      </c>
      <c r="AH30" s="58" t="str">
        <f t="shared" si="13"/>
        <v/>
      </c>
      <c r="AI30" s="275" t="s">
        <v>1112</v>
      </c>
      <c r="AV30" s="22" t="str">
        <f>IF(A30&lt;&gt;"",A30 &amp; "-" &amp;#REF! &amp; ROW(),"")</f>
        <v/>
      </c>
    </row>
    <row r="31" spans="1:48" x14ac:dyDescent="0.2">
      <c r="B31" s="87"/>
      <c r="C31" s="87"/>
      <c r="D31" s="87"/>
      <c r="E31" s="87"/>
      <c r="F31" s="88"/>
      <c r="G31" s="88"/>
      <c r="K31" s="11" t="str">
        <f>IF(AND(COUNTA(B31:C31)&gt;1,COUNTA(F31:G31)&gt;1,O31="Completed"),(G31-C31)/(C31-#REF!+1)%,"")</f>
        <v/>
      </c>
      <c r="L31" s="11" t="str">
        <f>IF(AND(COUNT(D31:E31)&gt;0,COUNTA(F31:G31)&gt;1,O31="Completed"),(G31-AG31)/(AG31-#REF!+1)%,"")</f>
        <v/>
      </c>
      <c r="M31" s="11" t="str">
        <f t="shared" si="14"/>
        <v/>
      </c>
      <c r="N31" s="11" t="str">
        <f t="shared" si="15"/>
        <v/>
      </c>
      <c r="O31" s="12"/>
      <c r="P31" s="12"/>
      <c r="R31" s="10" t="str">
        <f>IF(H31&lt;&gt;"",SUMIF(H$3:H31,"&lt;&gt;" &amp; "",H$3:H31),"")</f>
        <v/>
      </c>
      <c r="S31" s="10" t="str">
        <f t="array" ref="S31">IF(O31="Completed",SUMIF(W$3:W31,"&lt;&gt;" &amp; "",W$3:W31),"")</f>
        <v/>
      </c>
      <c r="T31" s="10" t="str">
        <f t="array" ref="T31">IF(AND(J31&lt;&gt;"",O31="Completed"),SUM(IF(O$3:O31="Completed",J$3:J31,0)),"")</f>
        <v/>
      </c>
      <c r="U31" s="10" t="str">
        <f t="shared" si="0"/>
        <v/>
      </c>
      <c r="V31" s="10">
        <f>ROW()</f>
        <v>31</v>
      </c>
      <c r="W31" s="10" t="str">
        <f t="shared" si="10"/>
        <v/>
      </c>
      <c r="Z31" s="10" t="str">
        <f>IF(A31&lt;&gt;"",'Metrics planning and tracking'!$K$4,"")</f>
        <v/>
      </c>
      <c r="AA31" s="10" t="str">
        <f>IF(A31&lt;&gt;"",'Metrics planning and tracking'!$K$5,"")</f>
        <v/>
      </c>
      <c r="AB31" s="10" t="str">
        <f>IF(A31&lt;&gt;"",'Metrics planning and tracking'!$K$2,"")</f>
        <v/>
      </c>
      <c r="AC31" s="10" t="str">
        <f>IF(A31&lt;&gt;"",'Metrics planning and tracking'!$K$3,"")</f>
        <v/>
      </c>
      <c r="AD31" s="10" t="str">
        <f>IF(A31&lt;&gt;"",IF(AND(#REF!&lt;&gt;"",#REF!&lt;&gt;"",#REF!&lt;&gt;0),#REF!/#REF!*100,"NA"),"")</f>
        <v/>
      </c>
      <c r="AE31" s="10" t="str">
        <f>IF(A31&lt;&gt;"",IF(AND(#REF!&lt;&gt;"",#REF!&lt;&gt;"",#REF!&lt;&gt;0),#REF!/#REF!*100,"NA"),"")</f>
        <v/>
      </c>
      <c r="AF31" s="57" t="str">
        <f t="shared" si="11"/>
        <v/>
      </c>
      <c r="AG31" s="57" t="str">
        <f t="shared" si="12"/>
        <v/>
      </c>
      <c r="AH31" s="58" t="str">
        <f t="shared" si="13"/>
        <v/>
      </c>
      <c r="AI31" s="275" t="s">
        <v>1113</v>
      </c>
      <c r="AV31" s="22" t="str">
        <f>IF(A31&lt;&gt;"",A31 &amp; "-" &amp;#REF! &amp; ROW(),"")</f>
        <v/>
      </c>
    </row>
    <row r="32" spans="1:48" x14ac:dyDescent="0.2">
      <c r="B32" s="87"/>
      <c r="C32" s="87"/>
      <c r="D32" s="87"/>
      <c r="E32" s="87"/>
      <c r="F32" s="88"/>
      <c r="G32" s="88"/>
      <c r="K32" s="11" t="str">
        <f>IF(AND(COUNTA(B32:C32)&gt;1,COUNTA(F32:G32)&gt;1,O32="Completed"),(G32-C32)/(C32-#REF!+1)%,"")</f>
        <v/>
      </c>
      <c r="L32" s="11" t="str">
        <f>IF(AND(COUNT(D32:E32)&gt;0,COUNTA(F32:G32)&gt;1,O32="Completed"),(G32-AG32)/(AG32-#REF!+1)%,"")</f>
        <v/>
      </c>
      <c r="M32" s="11" t="str">
        <f t="shared" si="14"/>
        <v/>
      </c>
      <c r="N32" s="11" t="str">
        <f t="shared" si="15"/>
        <v/>
      </c>
      <c r="O32" s="12"/>
      <c r="P32" s="12"/>
      <c r="R32" s="10" t="str">
        <f>IF(H32&lt;&gt;"",SUMIF(H$3:H32,"&lt;&gt;" &amp; "",H$3:H32),"")</f>
        <v/>
      </c>
      <c r="S32" s="10" t="str">
        <f t="array" ref="S32">IF(O32="Completed",SUMIF(W$3:W32,"&lt;&gt;" &amp; "",W$3:W32),"")</f>
        <v/>
      </c>
      <c r="T32" s="10" t="str">
        <f t="array" ref="T32">IF(AND(J32&lt;&gt;"",O32="Completed"),SUM(IF(O$3:O32="Completed",J$3:J32,0)),"")</f>
        <v/>
      </c>
      <c r="U32" s="10" t="str">
        <f t="shared" si="0"/>
        <v/>
      </c>
      <c r="V32" s="10">
        <f>ROW()</f>
        <v>32</v>
      </c>
      <c r="W32" s="10" t="str">
        <f t="shared" si="10"/>
        <v/>
      </c>
      <c r="Z32" s="10" t="str">
        <f>IF(A32&lt;&gt;"",'Metrics planning and tracking'!$K$4,"")</f>
        <v/>
      </c>
      <c r="AA32" s="10" t="str">
        <f>IF(A32&lt;&gt;"",'Metrics planning and tracking'!$K$5,"")</f>
        <v/>
      </c>
      <c r="AB32" s="10" t="str">
        <f>IF(A32&lt;&gt;"",'Metrics planning and tracking'!$K$2,"")</f>
        <v/>
      </c>
      <c r="AC32" s="10" t="str">
        <f>IF(A32&lt;&gt;"",'Metrics planning and tracking'!$K$3,"")</f>
        <v/>
      </c>
      <c r="AD32" s="10" t="str">
        <f>IF(A32&lt;&gt;"",IF(AND(#REF!&lt;&gt;"",#REF!&lt;&gt;"",#REF!&lt;&gt;0),#REF!/#REF!*100,"NA"),"")</f>
        <v/>
      </c>
      <c r="AE32" s="10" t="str">
        <f>IF(A32&lt;&gt;"",IF(AND(#REF!&lt;&gt;"",#REF!&lt;&gt;"",#REF!&lt;&gt;0),#REF!/#REF!*100,"NA"),"")</f>
        <v/>
      </c>
      <c r="AF32" s="57" t="str">
        <f t="shared" si="11"/>
        <v/>
      </c>
      <c r="AG32" s="57" t="str">
        <f t="shared" si="12"/>
        <v/>
      </c>
      <c r="AH32" s="58" t="str">
        <f t="shared" si="13"/>
        <v/>
      </c>
      <c r="AI32" s="275" t="s">
        <v>1114</v>
      </c>
      <c r="AV32" s="22" t="str">
        <f>IF(A32&lt;&gt;"",A32 &amp; "-" &amp;#REF! &amp; ROW(),"")</f>
        <v/>
      </c>
    </row>
    <row r="33" spans="2:48" x14ac:dyDescent="0.2">
      <c r="B33" s="87"/>
      <c r="C33" s="87"/>
      <c r="D33" s="87"/>
      <c r="E33" s="87"/>
      <c r="F33" s="88"/>
      <c r="G33" s="88"/>
      <c r="K33" s="11" t="str">
        <f>IF(AND(COUNTA(B33:C33)&gt;1,COUNTA(F33:G33)&gt;1,O33="Completed"),(G33-C33)/(C33-#REF!+1)%,"")</f>
        <v/>
      </c>
      <c r="L33" s="11" t="str">
        <f>IF(AND(COUNT(D33:E33)&gt;0,COUNTA(F33:G33)&gt;1,O33="Completed"),(G33-AG33)/(AG33-#REF!+1)%,"")</f>
        <v/>
      </c>
      <c r="M33" s="11" t="str">
        <f t="shared" si="14"/>
        <v/>
      </c>
      <c r="N33" s="11" t="str">
        <f t="shared" si="15"/>
        <v/>
      </c>
      <c r="O33" s="12"/>
      <c r="P33" s="12"/>
      <c r="R33" s="10" t="str">
        <f>IF(H33&lt;&gt;"",SUMIF(H$3:H33,"&lt;&gt;" &amp; "",H$3:H33),"")</f>
        <v/>
      </c>
      <c r="S33" s="10" t="str">
        <f t="array" ref="S33">IF(O33="Completed",SUMIF(W$3:W33,"&lt;&gt;" &amp; "",W$3:W33),"")</f>
        <v/>
      </c>
      <c r="T33" s="10" t="str">
        <f t="array" ref="T33">IF(AND(J33&lt;&gt;"",O33="Completed"),SUM(IF(O$3:O33="Completed",J$3:J33,0)),"")</f>
        <v/>
      </c>
      <c r="U33" s="10" t="str">
        <f t="shared" si="0"/>
        <v/>
      </c>
      <c r="V33" s="10">
        <f>ROW()</f>
        <v>33</v>
      </c>
      <c r="W33" s="10" t="str">
        <f t="shared" si="10"/>
        <v/>
      </c>
      <c r="Z33" s="10" t="str">
        <f>IF(A33&lt;&gt;"",'Metrics planning and tracking'!$K$4,"")</f>
        <v/>
      </c>
      <c r="AA33" s="10" t="str">
        <f>IF(A33&lt;&gt;"",'Metrics planning and tracking'!$K$5,"")</f>
        <v/>
      </c>
      <c r="AB33" s="10" t="str">
        <f>IF(A33&lt;&gt;"",'Metrics planning and tracking'!$K$2,"")</f>
        <v/>
      </c>
      <c r="AC33" s="10" t="str">
        <f>IF(A33&lt;&gt;"",'Metrics planning and tracking'!$K$3,"")</f>
        <v/>
      </c>
      <c r="AD33" s="10" t="str">
        <f>IF(A33&lt;&gt;"",IF(AND(#REF!&lt;&gt;"",#REF!&lt;&gt;"",#REF!&lt;&gt;0),#REF!/#REF!*100,"NA"),"")</f>
        <v/>
      </c>
      <c r="AE33" s="10" t="str">
        <f>IF(A33&lt;&gt;"",IF(AND(#REF!&lt;&gt;"",#REF!&lt;&gt;"",#REF!&lt;&gt;0),#REF!/#REF!*100,"NA"),"")</f>
        <v/>
      </c>
      <c r="AF33" s="57" t="str">
        <f t="shared" si="11"/>
        <v/>
      </c>
      <c r="AG33" s="57" t="str">
        <f t="shared" si="12"/>
        <v/>
      </c>
      <c r="AH33" s="58" t="str">
        <f t="shared" si="13"/>
        <v/>
      </c>
      <c r="AI33" s="275" t="s">
        <v>1115</v>
      </c>
      <c r="AV33" s="22" t="str">
        <f>IF(A33&lt;&gt;"",A33 &amp; "-" &amp;#REF! &amp; ROW(),"")</f>
        <v/>
      </c>
    </row>
    <row r="34" spans="2:48" x14ac:dyDescent="0.2">
      <c r="K34" s="11" t="str">
        <f>IF(AND(COUNTA(B34:C34)&gt;1,COUNTA(F34:G34)&gt;1,O34="Completed"),(G34-C34)/(C34-#REF!+1)%,"")</f>
        <v/>
      </c>
      <c r="L34" s="11" t="str">
        <f>IF(AND(COUNT(D34:E34)&gt;0,COUNTA(F34:G34)&gt;1,O34="Completed"),(G34-AG34)/(AG34-#REF!+1)%,"")</f>
        <v/>
      </c>
      <c r="M34" s="11" t="str">
        <f t="shared" si="14"/>
        <v/>
      </c>
      <c r="N34" s="11" t="str">
        <f t="shared" si="15"/>
        <v/>
      </c>
      <c r="O34" s="12"/>
      <c r="P34" s="12"/>
      <c r="R34" s="10" t="str">
        <f>IF(H34&lt;&gt;"",SUMIF(H$3:H34,"&lt;&gt;" &amp; "",H$3:H34),"")</f>
        <v/>
      </c>
      <c r="S34" s="10" t="str">
        <f t="array" ref="S34">IF(O34="Completed",SUMIF(W$3:W34,"&lt;&gt;" &amp; "",W$3:W34),"")</f>
        <v/>
      </c>
      <c r="T34" s="10" t="str">
        <f t="array" ref="T34">IF(AND(J34&lt;&gt;"",O34="Completed"),SUM(IF(O$3:O34="Completed",J$3:J34,0)),"")</f>
        <v/>
      </c>
      <c r="U34" s="10" t="str">
        <f t="shared" si="0"/>
        <v/>
      </c>
      <c r="V34" s="10">
        <f>ROW()</f>
        <v>34</v>
      </c>
      <c r="W34" s="10" t="str">
        <f t="shared" si="10"/>
        <v/>
      </c>
      <c r="Z34" s="10" t="str">
        <f>IF(A34&lt;&gt;"",'Metrics planning and tracking'!$K$4,"")</f>
        <v/>
      </c>
      <c r="AA34" s="10" t="str">
        <f>IF(A34&lt;&gt;"",'Metrics planning and tracking'!$K$5,"")</f>
        <v/>
      </c>
      <c r="AB34" s="10" t="str">
        <f>IF(A34&lt;&gt;"",'Metrics planning and tracking'!$K$2,"")</f>
        <v/>
      </c>
      <c r="AC34" s="10" t="str">
        <f>IF(A34&lt;&gt;"",'Metrics planning and tracking'!$K$3,"")</f>
        <v/>
      </c>
      <c r="AD34" s="10" t="str">
        <f>IF(A34&lt;&gt;"",IF(AND(#REF!&lt;&gt;"",#REF!&lt;&gt;"",#REF!&lt;&gt;0),#REF!/#REF!*100,"NA"),"")</f>
        <v/>
      </c>
      <c r="AE34" s="10" t="str">
        <f>IF(A34&lt;&gt;"",IF(AND(#REF!&lt;&gt;"",#REF!&lt;&gt;"",#REF!&lt;&gt;0),#REF!/#REF!*100,"NA"),"")</f>
        <v/>
      </c>
      <c r="AF34" s="57" t="str">
        <f t="shared" si="11"/>
        <v/>
      </c>
      <c r="AG34" s="57" t="str">
        <f t="shared" si="12"/>
        <v/>
      </c>
      <c r="AH34" s="58" t="str">
        <f t="shared" si="13"/>
        <v/>
      </c>
      <c r="AI34" s="275" t="s">
        <v>1115</v>
      </c>
      <c r="AV34" s="22" t="str">
        <f>IF(A34&lt;&gt;"",A34 &amp; "-" &amp;#REF! &amp; ROW(),"")</f>
        <v/>
      </c>
    </row>
    <row r="35" spans="2:48" x14ac:dyDescent="0.2">
      <c r="K35" s="11" t="str">
        <f>IF(AND(COUNTA(B35:C35)&gt;1,COUNTA(F35:G35)&gt;1,O35="Completed"),(G35-C35)/(C35-#REF!+1)%,"")</f>
        <v/>
      </c>
      <c r="L35" s="11" t="str">
        <f>IF(AND(COUNT(D35:E35)&gt;0,COUNTA(F35:G35)&gt;1,O35="Completed"),(G35-AG35)/(AG35-#REF!+1)%,"")</f>
        <v/>
      </c>
      <c r="M35" s="11" t="str">
        <f t="shared" si="14"/>
        <v/>
      </c>
      <c r="N35" s="11" t="str">
        <f t="shared" si="15"/>
        <v/>
      </c>
      <c r="O35" s="12"/>
      <c r="P35" s="12"/>
      <c r="R35" s="10" t="str">
        <f>IF(H35&lt;&gt;"",SUMIF(H$3:H35,"&lt;&gt;" &amp; "",H$3:H35),"")</f>
        <v/>
      </c>
      <c r="S35" s="10" t="str">
        <f t="array" ref="S35">IF(O35="Completed",SUMIF(W$3:W35,"&lt;&gt;" &amp; "",W$3:W35),"")</f>
        <v/>
      </c>
      <c r="T35" s="10" t="str">
        <f t="array" ref="T35">IF(AND(J35&lt;&gt;"",O35="Completed"),SUM(IF(O$3:O35="Completed",J$3:J35,0)),"")</f>
        <v/>
      </c>
      <c r="U35" s="10" t="str">
        <f t="shared" si="0"/>
        <v/>
      </c>
      <c r="V35" s="10">
        <f>ROW()</f>
        <v>35</v>
      </c>
      <c r="W35" s="10" t="str">
        <f t="shared" si="10"/>
        <v/>
      </c>
      <c r="Z35" s="10" t="str">
        <f>IF(A35&lt;&gt;"",'Metrics planning and tracking'!$K$4,"")</f>
        <v/>
      </c>
      <c r="AA35" s="10" t="str">
        <f>IF(A35&lt;&gt;"",'Metrics planning and tracking'!$K$5,"")</f>
        <v/>
      </c>
      <c r="AB35" s="10" t="str">
        <f>IF(A35&lt;&gt;"",'Metrics planning and tracking'!$K$2,"")</f>
        <v/>
      </c>
      <c r="AC35" s="10" t="str">
        <f>IF(A35&lt;&gt;"",'Metrics planning and tracking'!$K$3,"")</f>
        <v/>
      </c>
      <c r="AD35" s="10" t="str">
        <f>IF(A35&lt;&gt;"",IF(AND(#REF!&lt;&gt;"",#REF!&lt;&gt;"",#REF!&lt;&gt;0),#REF!/#REF!*100,"NA"),"")</f>
        <v/>
      </c>
      <c r="AE35" s="10" t="str">
        <f>IF(A35&lt;&gt;"",IF(AND(#REF!&lt;&gt;"",#REF!&lt;&gt;"",#REF!&lt;&gt;0),#REF!/#REF!*100,"NA"),"")</f>
        <v/>
      </c>
      <c r="AF35" s="57" t="str">
        <f t="shared" si="11"/>
        <v/>
      </c>
      <c r="AG35" s="57" t="str">
        <f t="shared" si="12"/>
        <v/>
      </c>
      <c r="AH35" s="58" t="str">
        <f t="shared" si="13"/>
        <v/>
      </c>
      <c r="AI35" s="275" t="s">
        <v>1116</v>
      </c>
      <c r="AV35" s="22" t="str">
        <f>IF(A35&lt;&gt;"",A35 &amp; "-" &amp;#REF! &amp; ROW(),"")</f>
        <v/>
      </c>
    </row>
    <row r="36" spans="2:48" x14ac:dyDescent="0.2">
      <c r="K36" s="11" t="str">
        <f>IF(AND(COUNTA(B36:C36)&gt;1,COUNTA(F36:G36)&gt;1,O36="Completed"),(G36-C36)/(C36-#REF!+1)%,"")</f>
        <v/>
      </c>
      <c r="L36" s="11" t="str">
        <f>IF(AND(COUNT(D36:E36)&gt;0,COUNTA(F36:G36)&gt;1,O36="Completed"),(G36-AG36)/(AG36-#REF!+1)%,"")</f>
        <v/>
      </c>
      <c r="M36" s="11" t="str">
        <f t="shared" si="14"/>
        <v/>
      </c>
      <c r="N36" s="11" t="str">
        <f t="shared" si="15"/>
        <v/>
      </c>
      <c r="O36" s="12"/>
      <c r="P36" s="12"/>
      <c r="R36" s="10" t="str">
        <f>IF(H36&lt;&gt;"",SUMIF(H$3:H36,"&lt;&gt;" &amp; "",H$3:H36),"")</f>
        <v/>
      </c>
      <c r="S36" s="10" t="str">
        <f t="array" ref="S36">IF(O36="Completed",SUMIF(W$3:W36,"&lt;&gt;" &amp; "",W$3:W36),"")</f>
        <v/>
      </c>
      <c r="T36" s="10" t="str">
        <f t="array" ref="T36">IF(AND(J36&lt;&gt;"",O36="Completed"),SUM(IF(O$3:O36="Completed",J$3:J36,0)),"")</f>
        <v/>
      </c>
      <c r="U36" s="10" t="str">
        <f t="shared" si="0"/>
        <v/>
      </c>
      <c r="V36" s="10">
        <f>ROW()</f>
        <v>36</v>
      </c>
      <c r="W36" s="10" t="str">
        <f t="shared" si="10"/>
        <v/>
      </c>
      <c r="Z36" s="10" t="str">
        <f>IF(A36&lt;&gt;"",'Metrics planning and tracking'!$K$4,"")</f>
        <v/>
      </c>
      <c r="AA36" s="10" t="str">
        <f>IF(A36&lt;&gt;"",'Metrics planning and tracking'!$K$5,"")</f>
        <v/>
      </c>
      <c r="AB36" s="10" t="str">
        <f>IF(A36&lt;&gt;"",'Metrics planning and tracking'!$K$2,"")</f>
        <v/>
      </c>
      <c r="AC36" s="10" t="str">
        <f>IF(A36&lt;&gt;"",'Metrics planning and tracking'!$K$3,"")</f>
        <v/>
      </c>
      <c r="AD36" s="10" t="str">
        <f>IF(A36&lt;&gt;"",IF(AND(#REF!&lt;&gt;"",#REF!&lt;&gt;"",#REF!&lt;&gt;0),#REF!/#REF!*100,"NA"),"")</f>
        <v/>
      </c>
      <c r="AE36" s="10" t="str">
        <f>IF(A36&lt;&gt;"",IF(AND(#REF!&lt;&gt;"",#REF!&lt;&gt;"",#REF!&lt;&gt;0),#REF!/#REF!*100,"NA"),"")</f>
        <v/>
      </c>
      <c r="AF36" s="57" t="str">
        <f t="shared" si="11"/>
        <v/>
      </c>
      <c r="AG36" s="57" t="str">
        <f t="shared" si="12"/>
        <v/>
      </c>
      <c r="AH36" s="58" t="str">
        <f t="shared" si="13"/>
        <v/>
      </c>
      <c r="AI36" s="275" t="s">
        <v>1117</v>
      </c>
      <c r="AV36" s="22" t="str">
        <f>IF(A36&lt;&gt;"",A36 &amp; "-" &amp;#REF! &amp; ROW(),"")</f>
        <v/>
      </c>
    </row>
    <row r="37" spans="2:48" x14ac:dyDescent="0.2">
      <c r="K37" s="11" t="str">
        <f>IF(AND(COUNTA(B37:C37)&gt;1,COUNTA(F37:G37)&gt;1,O37="Completed"),(G37-C37)/(C37-#REF!+1)%,"")</f>
        <v/>
      </c>
      <c r="L37" s="11" t="str">
        <f>IF(AND(COUNT(D37:E37)&gt;0,COUNTA(F37:G37)&gt;1,O37="Completed"),(G37-AG37)/(AG37-#REF!+1)%,"")</f>
        <v/>
      </c>
      <c r="M37" s="11" t="str">
        <f t="shared" si="14"/>
        <v/>
      </c>
      <c r="N37" s="11" t="str">
        <f t="shared" si="15"/>
        <v/>
      </c>
      <c r="O37" s="12"/>
      <c r="P37" s="12"/>
      <c r="R37" s="10" t="str">
        <f>IF(H37&lt;&gt;"",SUMIF(H$3:H37,"&lt;&gt;" &amp; "",H$3:H37),"")</f>
        <v/>
      </c>
      <c r="S37" s="10" t="str">
        <f t="array" ref="S37">IF(O37="Completed",SUMIF(W$3:W37,"&lt;&gt;" &amp; "",W$3:W37),"")</f>
        <v/>
      </c>
      <c r="T37" s="10" t="str">
        <f t="array" ref="T37">IF(AND(J37&lt;&gt;"",O37="Completed"),SUM(IF(O$3:O37="Completed",J$3:J37,0)),"")</f>
        <v/>
      </c>
      <c r="U37" s="10" t="str">
        <f t="shared" si="0"/>
        <v/>
      </c>
      <c r="V37" s="10">
        <f>ROW()</f>
        <v>37</v>
      </c>
      <c r="W37" s="10" t="str">
        <f t="shared" si="10"/>
        <v/>
      </c>
      <c r="Z37" s="10" t="str">
        <f>IF(A37&lt;&gt;"",'Metrics planning and tracking'!$K$4,"")</f>
        <v/>
      </c>
      <c r="AA37" s="10" t="str">
        <f>IF(A37&lt;&gt;"",'Metrics planning and tracking'!$K$5,"")</f>
        <v/>
      </c>
      <c r="AB37" s="10" t="str">
        <f>IF(A37&lt;&gt;"",'Metrics planning and tracking'!$K$2,"")</f>
        <v/>
      </c>
      <c r="AC37" s="10" t="str">
        <f>IF(A37&lt;&gt;"",'Metrics planning and tracking'!$K$3,"")</f>
        <v/>
      </c>
      <c r="AD37" s="10" t="str">
        <f>IF(A37&lt;&gt;"",IF(AND(#REF!&lt;&gt;"",#REF!&lt;&gt;"",#REF!&lt;&gt;0),#REF!/#REF!*100,"NA"),"")</f>
        <v/>
      </c>
      <c r="AE37" s="10" t="str">
        <f>IF(A37&lt;&gt;"",IF(AND(#REF!&lt;&gt;"",#REF!&lt;&gt;"",#REF!&lt;&gt;0),#REF!/#REF!*100,"NA"),"")</f>
        <v/>
      </c>
      <c r="AF37" s="57" t="str">
        <f t="shared" si="11"/>
        <v/>
      </c>
      <c r="AG37" s="57" t="str">
        <f t="shared" si="12"/>
        <v/>
      </c>
      <c r="AH37" s="58" t="str">
        <f t="shared" si="13"/>
        <v/>
      </c>
      <c r="AI37" s="275" t="s">
        <v>1116</v>
      </c>
      <c r="AV37" s="22" t="str">
        <f>IF(A37&lt;&gt;"",A37 &amp; "-" &amp;#REF! &amp; ROW(),"")</f>
        <v/>
      </c>
    </row>
    <row r="38" spans="2:48" x14ac:dyDescent="0.2">
      <c r="K38" s="11" t="str">
        <f>IF(AND(COUNTA(B38:C38)&gt;1,COUNTA(F38:G38)&gt;1,O38="Completed"),(G38-C38)/(C38-#REF!+1)%,"")</f>
        <v/>
      </c>
      <c r="L38" s="11" t="str">
        <f>IF(AND(COUNT(D38:E38)&gt;0,COUNTA(F38:G38)&gt;1,O38="Completed"),(G38-AG38)/(AG38-#REF!+1)%,"")</f>
        <v/>
      </c>
      <c r="M38" s="11" t="str">
        <f t="shared" si="14"/>
        <v/>
      </c>
      <c r="N38" s="11" t="str">
        <f t="shared" si="15"/>
        <v/>
      </c>
      <c r="O38" s="12"/>
      <c r="P38" s="12"/>
      <c r="R38" s="10" t="str">
        <f>IF(H38&lt;&gt;"",SUMIF(H$3:H38,"&lt;&gt;" &amp; "",H$3:H38),"")</f>
        <v/>
      </c>
      <c r="S38" s="10" t="str">
        <f t="array" ref="S38">IF(O38="Completed",SUMIF(W$3:W38,"&lt;&gt;" &amp; "",W$3:W38),"")</f>
        <v/>
      </c>
      <c r="T38" s="10" t="str">
        <f t="array" ref="T38">IF(AND(J38&lt;&gt;"",O38="Completed"),SUM(IF(O$3:O38="Completed",J$3:J38,0)),"")</f>
        <v/>
      </c>
      <c r="U38" s="10" t="str">
        <f t="shared" si="0"/>
        <v/>
      </c>
      <c r="V38" s="10">
        <f>ROW()</f>
        <v>38</v>
      </c>
      <c r="W38" s="10" t="str">
        <f t="shared" si="10"/>
        <v/>
      </c>
      <c r="Z38" s="10" t="str">
        <f>IF(A38&lt;&gt;"",'Metrics planning and tracking'!$K$4,"")</f>
        <v/>
      </c>
      <c r="AA38" s="10" t="str">
        <f>IF(A38&lt;&gt;"",'Metrics planning and tracking'!$K$5,"")</f>
        <v/>
      </c>
      <c r="AB38" s="10" t="str">
        <f>IF(A38&lt;&gt;"",'Metrics planning and tracking'!$K$2,"")</f>
        <v/>
      </c>
      <c r="AC38" s="10" t="str">
        <f>IF(A38&lt;&gt;"",'Metrics planning and tracking'!$K$3,"")</f>
        <v/>
      </c>
      <c r="AD38" s="10" t="str">
        <f>IF(A38&lt;&gt;"",IF(AND(#REF!&lt;&gt;"",#REF!&lt;&gt;"",#REF!&lt;&gt;0),#REF!/#REF!*100,"NA"),"")</f>
        <v/>
      </c>
      <c r="AE38" s="10" t="str">
        <f>IF(A38&lt;&gt;"",IF(AND(#REF!&lt;&gt;"",#REF!&lt;&gt;"",#REF!&lt;&gt;0),#REF!/#REF!*100,"NA"),"")</f>
        <v/>
      </c>
      <c r="AF38" s="57" t="str">
        <f t="shared" si="11"/>
        <v/>
      </c>
      <c r="AG38" s="57" t="str">
        <f t="shared" si="12"/>
        <v/>
      </c>
      <c r="AH38" s="58" t="str">
        <f t="shared" si="13"/>
        <v/>
      </c>
      <c r="AV38" s="22" t="str">
        <f>IF(A38&lt;&gt;"",A38 &amp; "-" &amp;#REF! &amp; ROW(),"")</f>
        <v/>
      </c>
    </row>
    <row r="39" spans="2:48" x14ac:dyDescent="0.2">
      <c r="K39" s="11" t="str">
        <f>IF(AND(COUNTA(B39:C39)&gt;1,COUNTA(F39:G39)&gt;1,O39="Completed"),(G39-C39)/(C39-#REF!+1)%,"")</f>
        <v/>
      </c>
      <c r="L39" s="11" t="str">
        <f>IF(AND(COUNT(D39:E39)&gt;0,COUNTA(F39:G39)&gt;1,O39="Completed"),(G39-AG39)/(AG39-#REF!+1)%,"")</f>
        <v/>
      </c>
      <c r="M39" s="11" t="str">
        <f t="shared" si="14"/>
        <v/>
      </c>
      <c r="N39" s="11" t="str">
        <f t="shared" si="15"/>
        <v/>
      </c>
      <c r="O39" s="12"/>
      <c r="P39" s="12"/>
      <c r="R39" s="10" t="str">
        <f>IF(H39&lt;&gt;"",SUMIF(H$3:H39,"&lt;&gt;" &amp; "",H$3:H39),"")</f>
        <v/>
      </c>
      <c r="S39" s="10" t="str">
        <f t="array" ref="S39">IF(O39="Completed",SUMIF(W$3:W39,"&lt;&gt;" &amp; "",W$3:W39),"")</f>
        <v/>
      </c>
      <c r="T39" s="10" t="str">
        <f t="array" ref="T39">IF(AND(J39&lt;&gt;"",O39="Completed"),SUM(IF(O$3:O39="Completed",J$3:J39,0)),"")</f>
        <v/>
      </c>
      <c r="U39" s="10" t="str">
        <f t="shared" si="0"/>
        <v/>
      </c>
      <c r="V39" s="10">
        <f>ROW()</f>
        <v>39</v>
      </c>
      <c r="W39" s="10" t="str">
        <f t="shared" si="10"/>
        <v/>
      </c>
      <c r="Z39" s="10" t="str">
        <f>IF(A39&lt;&gt;"",'Metrics planning and tracking'!$K$4,"")</f>
        <v/>
      </c>
      <c r="AA39" s="10" t="str">
        <f>IF(A39&lt;&gt;"",'Metrics planning and tracking'!$K$5,"")</f>
        <v/>
      </c>
      <c r="AB39" s="10" t="str">
        <f>IF(A39&lt;&gt;"",'Metrics planning and tracking'!$K$2,"")</f>
        <v/>
      </c>
      <c r="AC39" s="10" t="str">
        <f>IF(A39&lt;&gt;"",'Metrics planning and tracking'!$K$3,"")</f>
        <v/>
      </c>
      <c r="AD39" s="10" t="str">
        <f>IF(A39&lt;&gt;"",IF(AND(#REF!&lt;&gt;"",#REF!&lt;&gt;"",#REF!&lt;&gt;0),#REF!/#REF!*100,"NA"),"")</f>
        <v/>
      </c>
      <c r="AE39" s="10" t="str">
        <f>IF(A39&lt;&gt;"",IF(AND(#REF!&lt;&gt;"",#REF!&lt;&gt;"",#REF!&lt;&gt;0),#REF!/#REF!*100,"NA"),"")</f>
        <v/>
      </c>
      <c r="AF39" s="57" t="str">
        <f t="shared" si="11"/>
        <v/>
      </c>
      <c r="AG39" s="57" t="str">
        <f t="shared" si="12"/>
        <v/>
      </c>
      <c r="AH39" s="58" t="str">
        <f t="shared" si="13"/>
        <v/>
      </c>
      <c r="AV39" s="22" t="str">
        <f>IF(A39&lt;&gt;"",A39 &amp; "-" &amp;#REF! &amp; ROW(),"")</f>
        <v/>
      </c>
    </row>
    <row r="40" spans="2:48" x14ac:dyDescent="0.2">
      <c r="K40" s="11" t="str">
        <f>IF(AND(COUNTA(B40:C40)&gt;1,COUNTA(F40:G40)&gt;1,O40="Completed"),(G40-C40)/(C40-#REF!+1)%,"")</f>
        <v/>
      </c>
      <c r="L40" s="11" t="str">
        <f>IF(AND(COUNT(D40:E40)&gt;0,COUNTA(F40:G40)&gt;1,O40="Completed"),(G40-AG40)/(AG40-#REF!+1)%,"")</f>
        <v/>
      </c>
      <c r="M40" s="11" t="str">
        <f t="shared" si="14"/>
        <v/>
      </c>
      <c r="N40" s="11" t="str">
        <f t="shared" si="15"/>
        <v/>
      </c>
      <c r="O40" s="12"/>
      <c r="P40" s="12"/>
      <c r="R40" s="10" t="str">
        <f>IF(H40&lt;&gt;"",SUMIF(H$3:H40,"&lt;&gt;" &amp; "",H$3:H40),"")</f>
        <v/>
      </c>
      <c r="S40" s="10" t="str">
        <f t="array" ref="S40">IF(O40="Completed",SUMIF(W$3:W40,"&lt;&gt;" &amp; "",W$3:W40),"")</f>
        <v/>
      </c>
      <c r="T40" s="10" t="str">
        <f t="array" ref="T40">IF(AND(J40&lt;&gt;"",O40="Completed"),SUM(IF(O$3:O40="Completed",J$3:J40,0)),"")</f>
        <v/>
      </c>
      <c r="U40" s="10" t="str">
        <f t="shared" si="0"/>
        <v/>
      </c>
      <c r="V40" s="10">
        <f>ROW()</f>
        <v>40</v>
      </c>
      <c r="W40" s="10" t="str">
        <f t="shared" si="10"/>
        <v/>
      </c>
      <c r="Z40" s="10" t="str">
        <f>IF(A40&lt;&gt;"",'Metrics planning and tracking'!$K$4,"")</f>
        <v/>
      </c>
      <c r="AA40" s="10" t="str">
        <f>IF(A40&lt;&gt;"",'Metrics planning and tracking'!$K$5,"")</f>
        <v/>
      </c>
      <c r="AB40" s="10" t="str">
        <f>IF(A40&lt;&gt;"",'Metrics planning and tracking'!$K$2,"")</f>
        <v/>
      </c>
      <c r="AC40" s="10" t="str">
        <f>IF(A40&lt;&gt;"",'Metrics planning and tracking'!$K$3,"")</f>
        <v/>
      </c>
      <c r="AD40" s="10" t="str">
        <f>IF(A40&lt;&gt;"",IF(AND(#REF!&lt;&gt;"",#REF!&lt;&gt;"",#REF!&lt;&gt;0),#REF!/#REF!*100,"NA"),"")</f>
        <v/>
      </c>
      <c r="AE40" s="10" t="str">
        <f>IF(A40&lt;&gt;"",IF(AND(#REF!&lt;&gt;"",#REF!&lt;&gt;"",#REF!&lt;&gt;0),#REF!/#REF!*100,"NA"),"")</f>
        <v/>
      </c>
      <c r="AF40" s="57" t="str">
        <f t="shared" si="11"/>
        <v/>
      </c>
      <c r="AG40" s="57" t="str">
        <f t="shared" si="12"/>
        <v/>
      </c>
      <c r="AH40" s="58" t="str">
        <f t="shared" si="13"/>
        <v/>
      </c>
      <c r="AV40" s="22" t="str">
        <f>IF(A40&lt;&gt;"",A40 &amp; "-" &amp;#REF! &amp; ROW(),"")</f>
        <v/>
      </c>
    </row>
    <row r="41" spans="2:48" x14ac:dyDescent="0.2">
      <c r="K41" s="11" t="str">
        <f>IF(AND(COUNTA(B41:C41)&gt;1,COUNTA(F41:G41)&gt;1,O41="Completed"),(G41-C41)/(C41-#REF!+1)%,"")</f>
        <v/>
      </c>
      <c r="L41" s="11" t="str">
        <f>IF(AND(COUNT(D41:E41)&gt;0,COUNTA(F41:G41)&gt;1,O41="Completed"),(G41-AG41)/(AG41-#REF!+1)%,"")</f>
        <v/>
      </c>
      <c r="M41" s="11" t="str">
        <f t="shared" si="14"/>
        <v/>
      </c>
      <c r="N41" s="11" t="str">
        <f t="shared" si="15"/>
        <v/>
      </c>
      <c r="O41" s="12"/>
      <c r="P41" s="12"/>
      <c r="R41" s="10" t="str">
        <f>IF(H41&lt;&gt;"",SUMIF(H$3:H41,"&lt;&gt;" &amp; "",H$3:H41),"")</f>
        <v/>
      </c>
      <c r="S41" s="10" t="str">
        <f t="array" ref="S41">IF(O41="Completed",SUMIF(W$3:W41,"&lt;&gt;" &amp; "",W$3:W41),"")</f>
        <v/>
      </c>
      <c r="T41" s="10" t="str">
        <f t="array" ref="T41">IF(AND(J41&lt;&gt;"",O41="Completed"),SUM(IF(O$3:O41="Completed",J$3:J41,0)),"")</f>
        <v/>
      </c>
      <c r="U41" s="10" t="str">
        <f t="shared" si="0"/>
        <v/>
      </c>
      <c r="V41" s="10">
        <f>ROW()</f>
        <v>41</v>
      </c>
      <c r="W41" s="10" t="str">
        <f t="shared" si="10"/>
        <v/>
      </c>
      <c r="Z41" s="10" t="str">
        <f>IF(A41&lt;&gt;"",'Metrics planning and tracking'!$K$4,"")</f>
        <v/>
      </c>
      <c r="AA41" s="10" t="str">
        <f>IF(A41&lt;&gt;"",'Metrics planning and tracking'!$K$5,"")</f>
        <v/>
      </c>
      <c r="AB41" s="10" t="str">
        <f>IF(A41&lt;&gt;"",'Metrics planning and tracking'!$K$2,"")</f>
        <v/>
      </c>
      <c r="AC41" s="10" t="str">
        <f>IF(A41&lt;&gt;"",'Metrics planning and tracking'!$K$3,"")</f>
        <v/>
      </c>
      <c r="AD41" s="10" t="str">
        <f>IF(A41&lt;&gt;"",IF(AND(#REF!&lt;&gt;"",#REF!&lt;&gt;"",#REF!&lt;&gt;0),#REF!/#REF!*100,"NA"),"")</f>
        <v/>
      </c>
      <c r="AE41" s="10" t="str">
        <f>IF(A41&lt;&gt;"",IF(AND(#REF!&lt;&gt;"",#REF!&lt;&gt;"",#REF!&lt;&gt;0),#REF!/#REF!*100,"NA"),"")</f>
        <v/>
      </c>
      <c r="AF41" s="57" t="str">
        <f t="shared" si="11"/>
        <v/>
      </c>
      <c r="AG41" s="57" t="str">
        <f t="shared" si="12"/>
        <v/>
      </c>
      <c r="AH41" s="58" t="str">
        <f t="shared" si="13"/>
        <v/>
      </c>
      <c r="AV41" s="22" t="str">
        <f>IF(A41&lt;&gt;"",A41 &amp; "-" &amp;#REF! &amp; ROW(),"")</f>
        <v/>
      </c>
    </row>
    <row r="42" spans="2:48" x14ac:dyDescent="0.2">
      <c r="K42" s="11" t="str">
        <f>IF(AND(COUNTA(B42:C42)&gt;1,COUNTA(F42:G42)&gt;1,O42="Completed"),(G42-C42)/(C42-#REF!+1)%,"")</f>
        <v/>
      </c>
      <c r="L42" s="11" t="str">
        <f>IF(AND(COUNT(D42:E42)&gt;0,COUNTA(F42:G42)&gt;1,O42="Completed"),(G42-AG42)/(AG42-#REF!+1)%,"")</f>
        <v/>
      </c>
      <c r="M42" s="11" t="str">
        <f t="shared" si="14"/>
        <v/>
      </c>
      <c r="N42" s="11" t="str">
        <f t="shared" si="15"/>
        <v/>
      </c>
      <c r="O42" s="12"/>
      <c r="P42" s="12"/>
      <c r="R42" s="10" t="str">
        <f>IF(H42&lt;&gt;"",SUMIF(H$3:H42,"&lt;&gt;" &amp; "",H$3:H42),"")</f>
        <v/>
      </c>
      <c r="S42" s="10" t="str">
        <f t="array" ref="S42">IF(O42="Completed",SUMIF(W$3:W42,"&lt;&gt;" &amp; "",W$3:W42),"")</f>
        <v/>
      </c>
      <c r="T42" s="10" t="str">
        <f t="array" ref="T42">IF(AND(J42&lt;&gt;"",O42="Completed"),SUM(IF(O$3:O42="Completed",J$3:J42,0)),"")</f>
        <v/>
      </c>
      <c r="U42" s="10" t="str">
        <f t="shared" si="0"/>
        <v/>
      </c>
      <c r="V42" s="10">
        <f>ROW()</f>
        <v>42</v>
      </c>
      <c r="W42" s="10" t="str">
        <f t="shared" si="10"/>
        <v/>
      </c>
      <c r="Z42" s="10" t="str">
        <f>IF(A42&lt;&gt;"",'Metrics planning and tracking'!$K$4,"")</f>
        <v/>
      </c>
      <c r="AA42" s="10" t="str">
        <f>IF(A42&lt;&gt;"",'Metrics planning and tracking'!$K$5,"")</f>
        <v/>
      </c>
      <c r="AB42" s="10" t="str">
        <f>IF(A42&lt;&gt;"",'Metrics planning and tracking'!$K$2,"")</f>
        <v/>
      </c>
      <c r="AC42" s="10" t="str">
        <f>IF(A42&lt;&gt;"",'Metrics planning and tracking'!$K$3,"")</f>
        <v/>
      </c>
      <c r="AD42" s="10" t="str">
        <f>IF(A42&lt;&gt;"",IF(AND(#REF!&lt;&gt;"",#REF!&lt;&gt;"",#REF!&lt;&gt;0),#REF!/#REF!*100,"NA"),"")</f>
        <v/>
      </c>
      <c r="AE42" s="10" t="str">
        <f>IF(A42&lt;&gt;"",IF(AND(#REF!&lt;&gt;"",#REF!&lt;&gt;"",#REF!&lt;&gt;0),#REF!/#REF!*100,"NA"),"")</f>
        <v/>
      </c>
      <c r="AF42" s="57" t="str">
        <f t="shared" si="11"/>
        <v/>
      </c>
      <c r="AG42" s="57" t="str">
        <f t="shared" si="12"/>
        <v/>
      </c>
      <c r="AH42" s="58" t="str">
        <f t="shared" si="13"/>
        <v/>
      </c>
      <c r="AV42" s="22" t="str">
        <f>IF(A42&lt;&gt;"",A42 &amp; "-" &amp;#REF! &amp; ROW(),"")</f>
        <v/>
      </c>
    </row>
    <row r="43" spans="2:48" x14ac:dyDescent="0.2">
      <c r="K43" s="11" t="str">
        <f>IF(AND(COUNTA(B43:C43)&gt;1,COUNTA(F43:G43)&gt;1,O43="Completed"),(G43-C43)/(C43-#REF!+1)%,"")</f>
        <v/>
      </c>
      <c r="L43" s="11" t="str">
        <f>IF(AND(COUNT(D43:E43)&gt;0,COUNTA(F43:G43)&gt;1,O43="Completed"),(G43-AG43)/(AG43-#REF!+1)%,"")</f>
        <v/>
      </c>
      <c r="M43" s="11" t="str">
        <f t="shared" si="14"/>
        <v/>
      </c>
      <c r="N43" s="11" t="str">
        <f t="shared" si="15"/>
        <v/>
      </c>
      <c r="O43" s="12"/>
      <c r="P43" s="12"/>
      <c r="R43" s="10" t="str">
        <f>IF(H43&lt;&gt;"",SUMIF(H$3:H43,"&lt;&gt;" &amp; "",H$3:H43),"")</f>
        <v/>
      </c>
      <c r="S43" s="10" t="str">
        <f t="array" ref="S43">IF(O43="Completed",SUMIF(W$3:W43,"&lt;&gt;" &amp; "",W$3:W43),"")</f>
        <v/>
      </c>
      <c r="T43" s="10" t="str">
        <f t="array" ref="T43">IF(AND(J43&lt;&gt;"",O43="Completed"),SUM(IF(O$3:O43="Completed",J$3:J43,0)),"")</f>
        <v/>
      </c>
      <c r="U43" s="10" t="str">
        <f t="shared" si="0"/>
        <v/>
      </c>
      <c r="V43" s="10">
        <f>ROW()</f>
        <v>43</v>
      </c>
      <c r="W43" s="10" t="str">
        <f t="shared" si="10"/>
        <v/>
      </c>
      <c r="Z43" s="10" t="str">
        <f>IF(A43&lt;&gt;"",'Metrics planning and tracking'!$K$4,"")</f>
        <v/>
      </c>
      <c r="AA43" s="10" t="str">
        <f>IF(A43&lt;&gt;"",'Metrics planning and tracking'!$K$5,"")</f>
        <v/>
      </c>
      <c r="AB43" s="10" t="str">
        <f>IF(A43&lt;&gt;"",'Metrics planning and tracking'!$K$2,"")</f>
        <v/>
      </c>
      <c r="AC43" s="10" t="str">
        <f>IF(A43&lt;&gt;"",'Metrics planning and tracking'!$K$3,"")</f>
        <v/>
      </c>
      <c r="AD43" s="10" t="str">
        <f>IF(A43&lt;&gt;"",IF(AND(#REF!&lt;&gt;"",#REF!&lt;&gt;"",#REF!&lt;&gt;0),#REF!/#REF!*100,"NA"),"")</f>
        <v/>
      </c>
      <c r="AE43" s="10" t="str">
        <f>IF(A43&lt;&gt;"",IF(AND(#REF!&lt;&gt;"",#REF!&lt;&gt;"",#REF!&lt;&gt;0),#REF!/#REF!*100,"NA"),"")</f>
        <v/>
      </c>
      <c r="AF43" s="57" t="str">
        <f t="shared" si="11"/>
        <v/>
      </c>
      <c r="AG43" s="57" t="str">
        <f t="shared" si="12"/>
        <v/>
      </c>
      <c r="AH43" s="58" t="str">
        <f t="shared" si="13"/>
        <v/>
      </c>
      <c r="AV43" s="22" t="str">
        <f>IF(A43&lt;&gt;"",A43 &amp; "-" &amp;#REF! &amp; ROW(),"")</f>
        <v/>
      </c>
    </row>
    <row r="44" spans="2:48" x14ac:dyDescent="0.2">
      <c r="K44" s="11" t="str">
        <f>IF(AND(COUNTA(B44:C44)&gt;1,COUNTA(F44:G44)&gt;1,O44="Completed"),(G44-C44)/(C44-#REF!+1)%,"")</f>
        <v/>
      </c>
      <c r="L44" s="11" t="str">
        <f>IF(AND(COUNT(D44:E44)&gt;0,COUNTA(F44:G44)&gt;1,O44="Completed"),(G44-AG44)/(AG44-#REF!+1)%,"")</f>
        <v/>
      </c>
      <c r="M44" s="11" t="str">
        <f t="shared" si="14"/>
        <v/>
      </c>
      <c r="N44" s="11" t="str">
        <f t="shared" si="15"/>
        <v/>
      </c>
      <c r="O44" s="12"/>
      <c r="P44" s="12"/>
      <c r="R44" s="10" t="str">
        <f>IF(H44&lt;&gt;"",SUMIF(H$3:H44,"&lt;&gt;" &amp; "",H$3:H44),"")</f>
        <v/>
      </c>
      <c r="S44" s="10" t="str">
        <f t="array" ref="S44">IF(O44="Completed",SUMIF(W$3:W44,"&lt;&gt;" &amp; "",W$3:W44),"")</f>
        <v/>
      </c>
      <c r="T44" s="10" t="str">
        <f t="array" ref="T44">IF(AND(J44&lt;&gt;"",O44="Completed"),SUM(IF(O$3:O44="Completed",J$3:J44,0)),"")</f>
        <v/>
      </c>
      <c r="U44" s="10" t="str">
        <f t="shared" si="0"/>
        <v/>
      </c>
      <c r="V44" s="10">
        <f>ROW()</f>
        <v>44</v>
      </c>
      <c r="W44" s="10" t="str">
        <f t="shared" si="10"/>
        <v/>
      </c>
      <c r="Z44" s="10" t="str">
        <f>IF(A44&lt;&gt;"",'Metrics planning and tracking'!$K$4,"")</f>
        <v/>
      </c>
      <c r="AA44" s="10" t="str">
        <f>IF(A44&lt;&gt;"",'Metrics planning and tracking'!$K$5,"")</f>
        <v/>
      </c>
      <c r="AB44" s="10" t="str">
        <f>IF(A44&lt;&gt;"",'Metrics planning and tracking'!$K$2,"")</f>
        <v/>
      </c>
      <c r="AC44" s="10" t="str">
        <f>IF(A44&lt;&gt;"",'Metrics planning and tracking'!$K$3,"")</f>
        <v/>
      </c>
      <c r="AD44" s="10" t="str">
        <f>IF(A44&lt;&gt;"",IF(AND(#REF!&lt;&gt;"",#REF!&lt;&gt;"",#REF!&lt;&gt;0),#REF!/#REF!*100,"NA"),"")</f>
        <v/>
      </c>
      <c r="AE44" s="10" t="str">
        <f>IF(A44&lt;&gt;"",IF(AND(#REF!&lt;&gt;"",#REF!&lt;&gt;"",#REF!&lt;&gt;0),#REF!/#REF!*100,"NA"),"")</f>
        <v/>
      </c>
      <c r="AF44" s="57" t="str">
        <f t="shared" si="11"/>
        <v/>
      </c>
      <c r="AG44" s="57" t="str">
        <f t="shared" si="12"/>
        <v/>
      </c>
      <c r="AH44" s="58" t="str">
        <f t="shared" si="13"/>
        <v/>
      </c>
      <c r="AV44" s="22" t="str">
        <f>IF(A44&lt;&gt;"",A44 &amp; "-" &amp;#REF! &amp; ROW(),"")</f>
        <v/>
      </c>
    </row>
    <row r="45" spans="2:48" x14ac:dyDescent="0.2">
      <c r="K45" s="11" t="str">
        <f>IF(AND(COUNTA(B45:C45)&gt;1,COUNTA(F45:G45)&gt;1,O45="Completed"),(G45-C45)/(C45-#REF!+1)%,"")</f>
        <v/>
      </c>
      <c r="L45" s="11" t="str">
        <f>IF(AND(COUNT(D45:E45)&gt;0,COUNTA(F45:G45)&gt;1,O45="Completed"),(G45-AG45)/(AG45-#REF!+1)%,"")</f>
        <v/>
      </c>
      <c r="M45" s="11" t="str">
        <f t="shared" si="14"/>
        <v/>
      </c>
      <c r="N45" s="11" t="str">
        <f t="shared" si="15"/>
        <v/>
      </c>
      <c r="O45" s="12"/>
      <c r="P45" s="12"/>
      <c r="R45" s="10" t="str">
        <f>IF(H45&lt;&gt;"",SUMIF(H$3:H45,"&lt;&gt;" &amp; "",H$3:H45),"")</f>
        <v/>
      </c>
      <c r="S45" s="10" t="str">
        <f t="array" ref="S45">IF(O45="Completed",SUMIF(W$3:W45,"&lt;&gt;" &amp; "",W$3:W45),"")</f>
        <v/>
      </c>
      <c r="T45" s="10" t="str">
        <f t="array" ref="T45">IF(AND(J45&lt;&gt;"",O45="Completed"),SUM(IF(O$3:O45="Completed",J$3:J45,0)),"")</f>
        <v/>
      </c>
      <c r="U45" s="10" t="str">
        <f t="shared" si="0"/>
        <v/>
      </c>
      <c r="V45" s="10">
        <f>ROW()</f>
        <v>45</v>
      </c>
      <c r="W45" s="10" t="str">
        <f t="shared" si="10"/>
        <v/>
      </c>
      <c r="Z45" s="10" t="str">
        <f>IF(A45&lt;&gt;"",'Metrics planning and tracking'!$K$4,"")</f>
        <v/>
      </c>
      <c r="AA45" s="10" t="str">
        <f>IF(A45&lt;&gt;"",'Metrics planning and tracking'!$K$5,"")</f>
        <v/>
      </c>
      <c r="AB45" s="10" t="str">
        <f>IF(A45&lt;&gt;"",'Metrics planning and tracking'!$K$2,"")</f>
        <v/>
      </c>
      <c r="AC45" s="10" t="str">
        <f>IF(A45&lt;&gt;"",'Metrics planning and tracking'!$K$3,"")</f>
        <v/>
      </c>
      <c r="AD45" s="10" t="str">
        <f>IF(A45&lt;&gt;"",IF(AND(#REF!&lt;&gt;"",#REF!&lt;&gt;"",#REF!&lt;&gt;0),#REF!/#REF!*100,"NA"),"")</f>
        <v/>
      </c>
      <c r="AE45" s="10" t="str">
        <f>IF(A45&lt;&gt;"",IF(AND(#REF!&lt;&gt;"",#REF!&lt;&gt;"",#REF!&lt;&gt;0),#REF!/#REF!*100,"NA"),"")</f>
        <v/>
      </c>
      <c r="AF45" s="57" t="str">
        <f t="shared" si="11"/>
        <v/>
      </c>
      <c r="AG45" s="57" t="str">
        <f t="shared" si="12"/>
        <v/>
      </c>
      <c r="AH45" s="58" t="str">
        <f t="shared" si="13"/>
        <v/>
      </c>
      <c r="AV45" s="22" t="str">
        <f>IF(A45&lt;&gt;"",A45 &amp; "-" &amp;#REF! &amp; ROW(),"")</f>
        <v/>
      </c>
    </row>
    <row r="46" spans="2:48" x14ac:dyDescent="0.2">
      <c r="K46" s="11" t="str">
        <f>IF(AND(COUNTA(B46:C46)&gt;1,COUNTA(F46:G46)&gt;1,O46="Completed"),(G46-C46)/(C46-#REF!+1)%,"")</f>
        <v/>
      </c>
      <c r="L46" s="11" t="str">
        <f>IF(AND(COUNT(D46:E46)&gt;0,COUNTA(F46:G46)&gt;1,O46="Completed"),(G46-AG46)/(AG46-#REF!+1)%,"")</f>
        <v/>
      </c>
      <c r="M46" s="11" t="str">
        <f t="shared" si="14"/>
        <v/>
      </c>
      <c r="N46" s="11" t="str">
        <f t="shared" si="15"/>
        <v/>
      </c>
      <c r="O46" s="12"/>
      <c r="P46" s="12"/>
      <c r="R46" s="10" t="str">
        <f>IF(H46&lt;&gt;"",SUMIF(H$3:H46,"&lt;&gt;" &amp; "",H$3:H46),"")</f>
        <v/>
      </c>
      <c r="S46" s="10" t="str">
        <f t="array" ref="S46">IF(O46="Completed",SUMIF(W$3:W46,"&lt;&gt;" &amp; "",W$3:W46),"")</f>
        <v/>
      </c>
      <c r="T46" s="10" t="str">
        <f t="array" ref="T46">IF(AND(J46&lt;&gt;"",O46="Completed"),SUM(IF(O$3:O46="Completed",J$3:J46,0)),"")</f>
        <v/>
      </c>
      <c r="U46" s="10" t="str">
        <f t="shared" si="0"/>
        <v/>
      </c>
      <c r="V46" s="10">
        <f>ROW()</f>
        <v>46</v>
      </c>
      <c r="W46" s="10" t="str">
        <f t="shared" si="10"/>
        <v/>
      </c>
      <c r="Z46" s="10" t="str">
        <f>IF(A46&lt;&gt;"",'Metrics planning and tracking'!$K$4,"")</f>
        <v/>
      </c>
      <c r="AA46" s="10" t="str">
        <f>IF(A46&lt;&gt;"",'Metrics planning and tracking'!$K$5,"")</f>
        <v/>
      </c>
      <c r="AB46" s="10" t="str">
        <f>IF(A46&lt;&gt;"",'Metrics planning and tracking'!$K$2,"")</f>
        <v/>
      </c>
      <c r="AC46" s="10" t="str">
        <f>IF(A46&lt;&gt;"",'Metrics planning and tracking'!$K$3,"")</f>
        <v/>
      </c>
      <c r="AD46" s="10" t="str">
        <f>IF(A46&lt;&gt;"",IF(AND(#REF!&lt;&gt;"",#REF!&lt;&gt;"",#REF!&lt;&gt;0),#REF!/#REF!*100,"NA"),"")</f>
        <v/>
      </c>
      <c r="AE46" s="10" t="str">
        <f>IF(A46&lt;&gt;"",IF(AND(#REF!&lt;&gt;"",#REF!&lt;&gt;"",#REF!&lt;&gt;0),#REF!/#REF!*100,"NA"),"")</f>
        <v/>
      </c>
      <c r="AF46" s="57" t="str">
        <f t="shared" si="11"/>
        <v/>
      </c>
      <c r="AG46" s="57" t="str">
        <f t="shared" si="12"/>
        <v/>
      </c>
      <c r="AH46" s="58" t="str">
        <f t="shared" si="13"/>
        <v/>
      </c>
      <c r="AV46" s="22" t="str">
        <f>IF(A46&lt;&gt;"",A46 &amp; "-" &amp;#REF! &amp; ROW(),"")</f>
        <v/>
      </c>
    </row>
    <row r="47" spans="2:48" x14ac:dyDescent="0.2">
      <c r="K47" s="11" t="str">
        <f>IF(AND(COUNTA(B47:C47)&gt;1,COUNTA(F47:G47)&gt;1,O47="Completed"),(G47-C47)/(C47-#REF!+1)%,"")</f>
        <v/>
      </c>
      <c r="L47" s="11" t="str">
        <f>IF(AND(COUNT(D47:E47)&gt;0,COUNTA(F47:G47)&gt;1,O47="Completed"),(G47-AG47)/(AG47-#REF!+1)%,"")</f>
        <v/>
      </c>
      <c r="M47" s="11" t="str">
        <f t="shared" si="14"/>
        <v/>
      </c>
      <c r="N47" s="11" t="str">
        <f t="shared" si="15"/>
        <v/>
      </c>
      <c r="O47" s="12"/>
      <c r="P47" s="12"/>
      <c r="R47" s="10" t="str">
        <f>IF(H47&lt;&gt;"",SUMIF(H$3:H47,"&lt;&gt;" &amp; "",H$3:H47),"")</f>
        <v/>
      </c>
      <c r="S47" s="10" t="str">
        <f t="array" ref="S47">IF(O47="Completed",SUMIF(W$3:W47,"&lt;&gt;" &amp; "",W$3:W47),"")</f>
        <v/>
      </c>
      <c r="T47" s="10" t="str">
        <f t="array" ref="T47">IF(AND(J47&lt;&gt;"",O47="Completed"),SUM(IF(O$3:O47="Completed",J$3:J47,0)),"")</f>
        <v/>
      </c>
      <c r="U47" s="10" t="str">
        <f t="shared" si="0"/>
        <v/>
      </c>
      <c r="V47" s="10">
        <f>ROW()</f>
        <v>47</v>
      </c>
      <c r="W47" s="10" t="str">
        <f t="shared" si="10"/>
        <v/>
      </c>
      <c r="Z47" s="10" t="str">
        <f>IF(A47&lt;&gt;"",'Metrics planning and tracking'!$K$4,"")</f>
        <v/>
      </c>
      <c r="AA47" s="10" t="str">
        <f>IF(A47&lt;&gt;"",'Metrics planning and tracking'!$K$5,"")</f>
        <v/>
      </c>
      <c r="AB47" s="10" t="str">
        <f>IF(A47&lt;&gt;"",'Metrics planning and tracking'!$K$2,"")</f>
        <v/>
      </c>
      <c r="AC47" s="10" t="str">
        <f>IF(A47&lt;&gt;"",'Metrics planning and tracking'!$K$3,"")</f>
        <v/>
      </c>
      <c r="AD47" s="10" t="str">
        <f>IF(A47&lt;&gt;"",IF(AND(#REF!&lt;&gt;"",#REF!&lt;&gt;"",#REF!&lt;&gt;0),#REF!/#REF!*100,"NA"),"")</f>
        <v/>
      </c>
      <c r="AE47" s="10" t="str">
        <f>IF(A47&lt;&gt;"",IF(AND(#REF!&lt;&gt;"",#REF!&lt;&gt;"",#REF!&lt;&gt;0),#REF!/#REF!*100,"NA"),"")</f>
        <v/>
      </c>
      <c r="AF47" s="57" t="str">
        <f t="shared" si="11"/>
        <v/>
      </c>
      <c r="AG47" s="57" t="str">
        <f t="shared" si="12"/>
        <v/>
      </c>
      <c r="AH47" s="58" t="str">
        <f t="shared" si="13"/>
        <v/>
      </c>
      <c r="AV47" s="22" t="str">
        <f>IF(A47&lt;&gt;"",A47 &amp; "-" &amp;#REF! &amp; ROW(),"")</f>
        <v/>
      </c>
    </row>
    <row r="48" spans="2:48" x14ac:dyDescent="0.2">
      <c r="K48" s="11" t="str">
        <f>IF(AND(COUNTA(B48:C48)&gt;1,COUNTA(F48:G48)&gt;1,O48="Completed"),(G48-C48)/(C48-#REF!+1)%,"")</f>
        <v/>
      </c>
      <c r="L48" s="11" t="str">
        <f>IF(AND(COUNT(D48:E48)&gt;0,COUNTA(F48:G48)&gt;1,O48="Completed"),(G48-AG48)/(AG48-#REF!+1)%,"")</f>
        <v/>
      </c>
      <c r="M48" s="11" t="str">
        <f t="shared" si="14"/>
        <v/>
      </c>
      <c r="N48" s="11" t="str">
        <f t="shared" si="15"/>
        <v/>
      </c>
      <c r="O48" s="12"/>
      <c r="P48" s="12"/>
      <c r="R48" s="10" t="str">
        <f>IF(H48&lt;&gt;"",SUMIF(H$3:H48,"&lt;&gt;" &amp; "",H$3:H48),"")</f>
        <v/>
      </c>
      <c r="S48" s="10" t="str">
        <f t="array" ref="S48">IF(O48="Completed",SUMIF(W$3:W48,"&lt;&gt;" &amp; "",W$3:W48),"")</f>
        <v/>
      </c>
      <c r="T48" s="10" t="str">
        <f t="array" ref="T48">IF(AND(J48&lt;&gt;"",O48="Completed"),SUM(IF(O$3:O48="Completed",J$3:J48,0)),"")</f>
        <v/>
      </c>
      <c r="U48" s="10" t="str">
        <f t="shared" si="0"/>
        <v/>
      </c>
      <c r="V48" s="10">
        <f>ROW()</f>
        <v>48</v>
      </c>
      <c r="W48" s="10" t="str">
        <f t="shared" si="10"/>
        <v/>
      </c>
      <c r="Z48" s="10" t="str">
        <f>IF(A48&lt;&gt;"",'Metrics planning and tracking'!$K$4,"")</f>
        <v/>
      </c>
      <c r="AA48" s="10" t="str">
        <f>IF(A48&lt;&gt;"",'Metrics planning and tracking'!$K$5,"")</f>
        <v/>
      </c>
      <c r="AB48" s="10" t="str">
        <f>IF(A48&lt;&gt;"",'Metrics planning and tracking'!$K$2,"")</f>
        <v/>
      </c>
      <c r="AC48" s="10" t="str">
        <f>IF(A48&lt;&gt;"",'Metrics planning and tracking'!$K$3,"")</f>
        <v/>
      </c>
      <c r="AD48" s="10" t="str">
        <f>IF(A48&lt;&gt;"",IF(AND(#REF!&lt;&gt;"",#REF!&lt;&gt;"",#REF!&lt;&gt;0),#REF!/#REF!*100,"NA"),"")</f>
        <v/>
      </c>
      <c r="AE48" s="10" t="str">
        <f>IF(A48&lt;&gt;"",IF(AND(#REF!&lt;&gt;"",#REF!&lt;&gt;"",#REF!&lt;&gt;0),#REF!/#REF!*100,"NA"),"")</f>
        <v/>
      </c>
      <c r="AF48" s="57" t="str">
        <f t="shared" si="11"/>
        <v/>
      </c>
      <c r="AG48" s="57" t="str">
        <f t="shared" si="12"/>
        <v/>
      </c>
      <c r="AH48" s="58" t="str">
        <f t="shared" si="13"/>
        <v/>
      </c>
      <c r="AV48" s="22" t="str">
        <f>IF(A48&lt;&gt;"",A48 &amp; "-" &amp;#REF! &amp; ROW(),"")</f>
        <v/>
      </c>
    </row>
    <row r="49" spans="11:48" x14ac:dyDescent="0.2">
      <c r="K49" s="11" t="str">
        <f>IF(AND(COUNTA(B49:C49)&gt;1,COUNTA(F49:G49)&gt;1,O49="Completed"),(G49-C49)/(C49-#REF!+1)%,"")</f>
        <v/>
      </c>
      <c r="L49" s="11" t="str">
        <f>IF(AND(COUNT(D49:E49)&gt;0,COUNTA(F49:G49)&gt;1,O49="Completed"),(G49-AG49)/(AG49-#REF!+1)%,"")</f>
        <v/>
      </c>
      <c r="M49" s="11" t="str">
        <f t="shared" si="14"/>
        <v/>
      </c>
      <c r="N49" s="11" t="str">
        <f t="shared" si="15"/>
        <v/>
      </c>
      <c r="O49" s="12"/>
      <c r="P49" s="12"/>
      <c r="R49" s="10" t="str">
        <f>IF(H49&lt;&gt;"",SUMIF(H$3:H49,"&lt;&gt;" &amp; "",H$3:H49),"")</f>
        <v/>
      </c>
      <c r="S49" s="10" t="str">
        <f t="array" ref="S49">IF(O49="Completed",SUMIF(W$3:W49,"&lt;&gt;" &amp; "",W$3:W49),"")</f>
        <v/>
      </c>
      <c r="T49" s="10" t="str">
        <f t="array" ref="T49">IF(AND(J49&lt;&gt;"",O49="Completed"),SUM(IF(O$3:O49="Completed",J$3:J49,0)),"")</f>
        <v/>
      </c>
      <c r="U49" s="10" t="str">
        <f t="shared" si="0"/>
        <v/>
      </c>
      <c r="V49" s="10">
        <f>ROW()</f>
        <v>49</v>
      </c>
      <c r="W49" s="10" t="str">
        <f t="shared" si="10"/>
        <v/>
      </c>
      <c r="Z49" s="10" t="str">
        <f>IF(A49&lt;&gt;"",'Metrics planning and tracking'!$K$4,"")</f>
        <v/>
      </c>
      <c r="AA49" s="10" t="str">
        <f>IF(A49&lt;&gt;"",'Metrics planning and tracking'!$K$5,"")</f>
        <v/>
      </c>
      <c r="AB49" s="10" t="str">
        <f>IF(A49&lt;&gt;"",'Metrics planning and tracking'!$K$2,"")</f>
        <v/>
      </c>
      <c r="AC49" s="10" t="str">
        <f>IF(A49&lt;&gt;"",'Metrics planning and tracking'!$K$3,"")</f>
        <v/>
      </c>
      <c r="AD49" s="10" t="str">
        <f>IF(A49&lt;&gt;"",IF(AND(#REF!&lt;&gt;"",#REF!&lt;&gt;"",#REF!&lt;&gt;0),#REF!/#REF!*100,"NA"),"")</f>
        <v/>
      </c>
      <c r="AE49" s="10" t="str">
        <f>IF(A49&lt;&gt;"",IF(AND(#REF!&lt;&gt;"",#REF!&lt;&gt;"",#REF!&lt;&gt;0),#REF!/#REF!*100,"NA"),"")</f>
        <v/>
      </c>
      <c r="AF49" s="57" t="str">
        <f t="shared" si="11"/>
        <v/>
      </c>
      <c r="AG49" s="57" t="str">
        <f t="shared" si="12"/>
        <v/>
      </c>
      <c r="AH49" s="58" t="str">
        <f t="shared" si="13"/>
        <v/>
      </c>
      <c r="AV49" s="22" t="str">
        <f>IF(A49&lt;&gt;"",A49 &amp; "-" &amp;#REF! &amp; ROW(),"")</f>
        <v/>
      </c>
    </row>
    <row r="50" spans="11:48" x14ac:dyDescent="0.2">
      <c r="K50" s="11" t="str">
        <f>IF(AND(COUNTA(B50:C50)&gt;1,COUNTA(F50:G50)&gt;1,O50="Completed"),(G50-C50)/(C50-#REF!+1)%,"")</f>
        <v/>
      </c>
      <c r="L50" s="11" t="str">
        <f>IF(AND(COUNT(D50:E50)&gt;0,COUNTA(F50:G50)&gt;1,O50="Completed"),(G50-AG50)/(AG50-#REF!+1)%,"")</f>
        <v/>
      </c>
      <c r="M50" s="11" t="str">
        <f t="shared" si="14"/>
        <v/>
      </c>
      <c r="N50" s="11" t="str">
        <f t="shared" si="15"/>
        <v/>
      </c>
      <c r="O50" s="12"/>
      <c r="P50" s="12"/>
      <c r="R50" s="10" t="str">
        <f>IF(H50&lt;&gt;"",SUMIF(H$3:H50,"&lt;&gt;" &amp; "",H$3:H50),"")</f>
        <v/>
      </c>
      <c r="S50" s="10" t="str">
        <f t="array" ref="S50">IF(O50="Completed",SUMIF(W$3:W50,"&lt;&gt;" &amp; "",W$3:W50),"")</f>
        <v/>
      </c>
      <c r="T50" s="10" t="str">
        <f t="array" ref="T50">IF(AND(J50&lt;&gt;"",O50="Completed"),SUM(IF(O$3:O50="Completed",J$3:J50,0)),"")</f>
        <v/>
      </c>
      <c r="U50" s="10" t="str">
        <f t="shared" si="0"/>
        <v/>
      </c>
      <c r="V50" s="10">
        <f>ROW()</f>
        <v>50</v>
      </c>
      <c r="W50" s="10" t="str">
        <f t="shared" si="10"/>
        <v/>
      </c>
      <c r="Z50" s="10" t="str">
        <f>IF(A50&lt;&gt;"",'Metrics planning and tracking'!$K$4,"")</f>
        <v/>
      </c>
      <c r="AA50" s="10" t="str">
        <f>IF(A50&lt;&gt;"",'Metrics planning and tracking'!$K$5,"")</f>
        <v/>
      </c>
      <c r="AB50" s="10" t="str">
        <f>IF(A50&lt;&gt;"",'Metrics planning and tracking'!$K$2,"")</f>
        <v/>
      </c>
      <c r="AC50" s="10" t="str">
        <f>IF(A50&lt;&gt;"",'Metrics planning and tracking'!$K$3,"")</f>
        <v/>
      </c>
      <c r="AD50" s="10" t="str">
        <f>IF(A50&lt;&gt;"",IF(AND(#REF!&lt;&gt;"",#REF!&lt;&gt;"",#REF!&lt;&gt;0),#REF!/#REF!*100,"NA"),"")</f>
        <v/>
      </c>
      <c r="AE50" s="10" t="str">
        <f>IF(A50&lt;&gt;"",IF(AND(#REF!&lt;&gt;"",#REF!&lt;&gt;"",#REF!&lt;&gt;0),#REF!/#REF!*100,"NA"),"")</f>
        <v/>
      </c>
      <c r="AF50" s="57" t="str">
        <f t="shared" si="11"/>
        <v/>
      </c>
      <c r="AG50" s="57" t="str">
        <f t="shared" si="12"/>
        <v/>
      </c>
      <c r="AH50" s="58" t="str">
        <f t="shared" si="13"/>
        <v/>
      </c>
      <c r="AV50" s="22" t="str">
        <f>IF(A50&lt;&gt;"",A50 &amp; "-" &amp;#REF! &amp; ROW(),"")</f>
        <v/>
      </c>
    </row>
    <row r="51" spans="11:48" x14ac:dyDescent="0.2">
      <c r="K51" s="11" t="str">
        <f>IF(AND(COUNTA(B51:C51)&gt;1,COUNTA(F51:G51)&gt;1,O51="Completed"),(G51-C51)/(C51-#REF!+1)%,"")</f>
        <v/>
      </c>
      <c r="L51" s="11" t="str">
        <f>IF(AND(COUNT(D51:E51)&gt;0,COUNTA(F51:G51)&gt;1,O51="Completed"),(G51-AG51)/(AG51-#REF!+1)%,"")</f>
        <v/>
      </c>
      <c r="M51" s="11" t="str">
        <f t="shared" si="14"/>
        <v/>
      </c>
      <c r="N51" s="11" t="str">
        <f t="shared" si="15"/>
        <v/>
      </c>
      <c r="O51" s="12"/>
      <c r="P51" s="12"/>
      <c r="R51" s="10" t="str">
        <f>IF(H51&lt;&gt;"",SUMIF(H$3:H51,"&lt;&gt;" &amp; "",H$3:H51),"")</f>
        <v/>
      </c>
      <c r="S51" s="10" t="str">
        <f t="array" ref="S51">IF(O51="Completed",SUMIF(W$3:W51,"&lt;&gt;" &amp; "",W$3:W51),"")</f>
        <v/>
      </c>
      <c r="T51" s="10" t="str">
        <f t="array" ref="T51">IF(AND(J51&lt;&gt;"",O51="Completed"),SUM(IF(O$3:O51="Completed",J$3:J51,0)),"")</f>
        <v/>
      </c>
      <c r="U51" s="10" t="str">
        <f t="shared" si="0"/>
        <v/>
      </c>
      <c r="V51" s="10">
        <f>ROW()</f>
        <v>51</v>
      </c>
      <c r="W51" s="10" t="str">
        <f t="shared" si="10"/>
        <v/>
      </c>
      <c r="Z51" s="10" t="str">
        <f>IF(A51&lt;&gt;"",'Metrics planning and tracking'!$K$4,"")</f>
        <v/>
      </c>
      <c r="AA51" s="10" t="str">
        <f>IF(A51&lt;&gt;"",'Metrics planning and tracking'!$K$5,"")</f>
        <v/>
      </c>
      <c r="AB51" s="10" t="str">
        <f>IF(A51&lt;&gt;"",'Metrics planning and tracking'!$K$2,"")</f>
        <v/>
      </c>
      <c r="AC51" s="10" t="str">
        <f>IF(A51&lt;&gt;"",'Metrics planning and tracking'!$K$3,"")</f>
        <v/>
      </c>
      <c r="AD51" s="10" t="str">
        <f>IF(A51&lt;&gt;"",IF(AND(#REF!&lt;&gt;"",#REF!&lt;&gt;"",#REF!&lt;&gt;0),#REF!/#REF!*100,"NA"),"")</f>
        <v/>
      </c>
      <c r="AE51" s="10" t="str">
        <f>IF(A51&lt;&gt;"",IF(AND(#REF!&lt;&gt;"",#REF!&lt;&gt;"",#REF!&lt;&gt;0),#REF!/#REF!*100,"NA"),"")</f>
        <v/>
      </c>
      <c r="AF51" s="57" t="str">
        <f t="shared" si="11"/>
        <v/>
      </c>
      <c r="AG51" s="57" t="str">
        <f t="shared" si="12"/>
        <v/>
      </c>
      <c r="AH51" s="58" t="str">
        <f t="shared" si="13"/>
        <v/>
      </c>
      <c r="AV51" s="22" t="str">
        <f>IF(A51&lt;&gt;"",A51 &amp; "-" &amp;#REF! &amp; ROW(),"")</f>
        <v/>
      </c>
    </row>
    <row r="52" spans="11:48" x14ac:dyDescent="0.2">
      <c r="K52" s="11" t="str">
        <f>IF(AND(COUNTA(B52:C52)&gt;1,COUNTA(F52:G52)&gt;1,O52="Completed"),(G52-C52)/(C52-#REF!+1)%,"")</f>
        <v/>
      </c>
      <c r="L52" s="11" t="str">
        <f>IF(AND(COUNT(D52:E52)&gt;0,COUNTA(F52:G52)&gt;1,O52="Completed"),(G52-AG52)/(AG52-#REF!+1)%,"")</f>
        <v/>
      </c>
      <c r="M52" s="11" t="str">
        <f t="shared" si="14"/>
        <v/>
      </c>
      <c r="N52" s="11" t="str">
        <f t="shared" si="15"/>
        <v/>
      </c>
      <c r="O52" s="12"/>
      <c r="P52" s="12"/>
      <c r="R52" s="10" t="str">
        <f>IF(H52&lt;&gt;"",SUMIF(H$3:H52,"&lt;&gt;" &amp; "",H$3:H52),"")</f>
        <v/>
      </c>
      <c r="S52" s="10" t="str">
        <f t="array" ref="S52">IF(O52="Completed",SUMIF(W$3:W52,"&lt;&gt;" &amp; "",W$3:W52),"")</f>
        <v/>
      </c>
      <c r="T52" s="10" t="str">
        <f t="array" ref="T52">IF(AND(J52&lt;&gt;"",O52="Completed"),SUM(IF(O$3:O52="Completed",J$3:J52,0)),"")</f>
        <v/>
      </c>
      <c r="U52" s="10" t="str">
        <f t="shared" si="0"/>
        <v/>
      </c>
      <c r="V52" s="10">
        <f>ROW()</f>
        <v>52</v>
      </c>
      <c r="W52" s="10" t="str">
        <f t="shared" si="10"/>
        <v/>
      </c>
      <c r="Z52" s="10" t="str">
        <f>IF(A52&lt;&gt;"",'Metrics planning and tracking'!$K$4,"")</f>
        <v/>
      </c>
      <c r="AA52" s="10" t="str">
        <f>IF(A52&lt;&gt;"",'Metrics planning and tracking'!$K$5,"")</f>
        <v/>
      </c>
      <c r="AB52" s="10" t="str">
        <f>IF(A52&lt;&gt;"",'Metrics planning and tracking'!$K$2,"")</f>
        <v/>
      </c>
      <c r="AC52" s="10" t="str">
        <f>IF(A52&lt;&gt;"",'Metrics planning and tracking'!$K$3,"")</f>
        <v/>
      </c>
      <c r="AD52" s="10" t="str">
        <f>IF(A52&lt;&gt;"",IF(AND(#REF!&lt;&gt;"",#REF!&lt;&gt;"",#REF!&lt;&gt;0),#REF!/#REF!*100,"NA"),"")</f>
        <v/>
      </c>
      <c r="AE52" s="10" t="str">
        <f>IF(A52&lt;&gt;"",IF(AND(#REF!&lt;&gt;"",#REF!&lt;&gt;"",#REF!&lt;&gt;0),#REF!/#REF!*100,"NA"),"")</f>
        <v/>
      </c>
      <c r="AF52" s="57" t="str">
        <f t="shared" si="11"/>
        <v/>
      </c>
      <c r="AG52" s="57" t="str">
        <f t="shared" si="12"/>
        <v/>
      </c>
      <c r="AH52" s="58" t="str">
        <f t="shared" si="13"/>
        <v/>
      </c>
      <c r="AV52" s="22" t="str">
        <f>IF(A52&lt;&gt;"",A52 &amp; "-" &amp;#REF! &amp; ROW(),"")</f>
        <v/>
      </c>
    </row>
    <row r="53" spans="11:48" x14ac:dyDescent="0.2">
      <c r="K53" s="11" t="str">
        <f>IF(AND(COUNTA(B53:C53)&gt;1,COUNTA(F53:G53)&gt;1,O53="Completed"),(G53-C53)/(C53-#REF!+1)%,"")</f>
        <v/>
      </c>
      <c r="L53" s="11" t="str">
        <f>IF(AND(COUNT(D53:E53)&gt;0,COUNTA(F53:G53)&gt;1,O53="Completed"),(G53-AG53)/(AG53-#REF!+1)%,"")</f>
        <v/>
      </c>
      <c r="M53" s="11" t="str">
        <f t="shared" si="14"/>
        <v/>
      </c>
      <c r="N53" s="11" t="str">
        <f t="shared" si="15"/>
        <v/>
      </c>
      <c r="O53" s="12"/>
      <c r="P53" s="12"/>
      <c r="R53" s="10" t="str">
        <f>IF(H53&lt;&gt;"",SUMIF(H$3:H53,"&lt;&gt;" &amp; "",H$3:H53),"")</f>
        <v/>
      </c>
      <c r="S53" s="10" t="str">
        <f t="array" ref="S53">IF(O53="Completed",SUMIF(W$3:W53,"&lt;&gt;" &amp; "",W$3:W53),"")</f>
        <v/>
      </c>
      <c r="T53" s="10" t="str">
        <f t="array" ref="T53">IF(AND(J53&lt;&gt;"",O53="Completed"),SUM(IF(O$3:O53="Completed",J$3:J53,0)),"")</f>
        <v/>
      </c>
      <c r="U53" s="10" t="str">
        <f t="shared" si="0"/>
        <v/>
      </c>
      <c r="V53" s="10">
        <f>ROW()</f>
        <v>53</v>
      </c>
      <c r="W53" s="10" t="str">
        <f t="shared" si="10"/>
        <v/>
      </c>
      <c r="Z53" s="10" t="str">
        <f>IF(A53&lt;&gt;"",'Metrics planning and tracking'!$K$4,"")</f>
        <v/>
      </c>
      <c r="AA53" s="10" t="str">
        <f>IF(A53&lt;&gt;"",'Metrics planning and tracking'!$K$5,"")</f>
        <v/>
      </c>
      <c r="AB53" s="10" t="str">
        <f>IF(A53&lt;&gt;"",'Metrics planning and tracking'!$K$2,"")</f>
        <v/>
      </c>
      <c r="AC53" s="10" t="str">
        <f>IF(A53&lt;&gt;"",'Metrics planning and tracking'!$K$3,"")</f>
        <v/>
      </c>
      <c r="AD53" s="10" t="str">
        <f>IF(A53&lt;&gt;"",IF(AND(#REF!&lt;&gt;"",#REF!&lt;&gt;"",#REF!&lt;&gt;0),#REF!/#REF!*100,"NA"),"")</f>
        <v/>
      </c>
      <c r="AE53" s="10" t="str">
        <f>IF(A53&lt;&gt;"",IF(AND(#REF!&lt;&gt;"",#REF!&lt;&gt;"",#REF!&lt;&gt;0),#REF!/#REF!*100,"NA"),"")</f>
        <v/>
      </c>
      <c r="AF53" s="57" t="str">
        <f t="shared" si="11"/>
        <v/>
      </c>
      <c r="AG53" s="57" t="str">
        <f t="shared" si="12"/>
        <v/>
      </c>
      <c r="AH53" s="58" t="str">
        <f t="shared" si="13"/>
        <v/>
      </c>
      <c r="AV53" s="22" t="str">
        <f>IF(A53&lt;&gt;"",A53 &amp; "-" &amp;#REF! &amp; ROW(),"")</f>
        <v/>
      </c>
    </row>
    <row r="54" spans="11:48" x14ac:dyDescent="0.2">
      <c r="K54" s="11" t="str">
        <f>IF(AND(COUNTA(B54:C54)&gt;1,COUNTA(F54:G54)&gt;1,O54="Completed"),(G54-C54)/(C54-#REF!+1)%,"")</f>
        <v/>
      </c>
      <c r="L54" s="11" t="str">
        <f>IF(AND(COUNT(D54:E54)&gt;0,COUNTA(F54:G54)&gt;1,O54="Completed"),(G54-AG54)/(AG54-#REF!+1)%,"")</f>
        <v/>
      </c>
      <c r="M54" s="11" t="str">
        <f t="shared" si="14"/>
        <v/>
      </c>
      <c r="N54" s="11" t="str">
        <f t="shared" si="15"/>
        <v/>
      </c>
      <c r="O54" s="12"/>
      <c r="P54" s="12"/>
      <c r="R54" s="10" t="str">
        <f>IF(H54&lt;&gt;"",SUMIF(H$3:H54,"&lt;&gt;" &amp; "",H$3:H54),"")</f>
        <v/>
      </c>
      <c r="S54" s="10" t="str">
        <f t="array" ref="S54">IF(O54="Completed",SUMIF(W$3:W54,"&lt;&gt;" &amp; "",W$3:W54),"")</f>
        <v/>
      </c>
      <c r="T54" s="10" t="str">
        <f t="array" ref="T54">IF(AND(J54&lt;&gt;"",O54="Completed"),SUM(IF(O$3:O54="Completed",J$3:J54,0)),"")</f>
        <v/>
      </c>
      <c r="U54" s="10" t="str">
        <f t="shared" si="0"/>
        <v/>
      </c>
      <c r="V54" s="10">
        <f>ROW()</f>
        <v>54</v>
      </c>
      <c r="W54" s="10" t="str">
        <f t="shared" si="10"/>
        <v/>
      </c>
      <c r="Z54" s="10" t="str">
        <f>IF(A54&lt;&gt;"",'Metrics planning and tracking'!$K$4,"")</f>
        <v/>
      </c>
      <c r="AA54" s="10" t="str">
        <f>IF(A54&lt;&gt;"",'Metrics planning and tracking'!$K$5,"")</f>
        <v/>
      </c>
      <c r="AB54" s="10" t="str">
        <f>IF(A54&lt;&gt;"",'Metrics planning and tracking'!$K$2,"")</f>
        <v/>
      </c>
      <c r="AC54" s="10" t="str">
        <f>IF(A54&lt;&gt;"",'Metrics planning and tracking'!$K$3,"")</f>
        <v/>
      </c>
      <c r="AD54" s="10" t="str">
        <f>IF(A54&lt;&gt;"",IF(AND(#REF!&lt;&gt;"",#REF!&lt;&gt;"",#REF!&lt;&gt;0),#REF!/#REF!*100,"NA"),"")</f>
        <v/>
      </c>
      <c r="AE54" s="10" t="str">
        <f>IF(A54&lt;&gt;"",IF(AND(#REF!&lt;&gt;"",#REF!&lt;&gt;"",#REF!&lt;&gt;0),#REF!/#REF!*100,"NA"),"")</f>
        <v/>
      </c>
      <c r="AF54" s="57" t="str">
        <f t="shared" si="11"/>
        <v/>
      </c>
      <c r="AG54" s="57" t="str">
        <f t="shared" si="12"/>
        <v/>
      </c>
      <c r="AH54" s="58" t="str">
        <f t="shared" si="13"/>
        <v/>
      </c>
      <c r="AV54" s="22" t="str">
        <f>IF(A54&lt;&gt;"",A54 &amp; "-" &amp;#REF! &amp; ROW(),"")</f>
        <v/>
      </c>
    </row>
    <row r="55" spans="11:48" x14ac:dyDescent="0.2">
      <c r="K55" s="11" t="str">
        <f>IF(AND(COUNTA(B55:C55)&gt;1,COUNTA(F55:G55)&gt;1,O55="Completed"),(G55-C55)/(C55-#REF!+1)%,"")</f>
        <v/>
      </c>
      <c r="L55" s="11" t="str">
        <f>IF(AND(COUNT(D55:E55)&gt;0,COUNTA(F55:G55)&gt;1,O55="Completed"),(G55-AG55)/(AG55-#REF!+1)%,"")</f>
        <v/>
      </c>
      <c r="M55" s="11" t="str">
        <f t="shared" si="14"/>
        <v/>
      </c>
      <c r="N55" s="11" t="str">
        <f t="shared" si="15"/>
        <v/>
      </c>
      <c r="O55" s="12"/>
      <c r="P55" s="12"/>
      <c r="R55" s="10" t="str">
        <f>IF(H55&lt;&gt;"",SUMIF(H$3:H55,"&lt;&gt;" &amp; "",H$3:H55),"")</f>
        <v/>
      </c>
      <c r="S55" s="10" t="str">
        <f t="array" ref="S55">IF(O55="Completed",SUMIF(W$3:W55,"&lt;&gt;" &amp; "",W$3:W55),"")</f>
        <v/>
      </c>
      <c r="T55" s="10" t="str">
        <f t="array" ref="T55">IF(AND(J55&lt;&gt;"",O55="Completed"),SUM(IF(O$3:O55="Completed",J$3:J55,0)),"")</f>
        <v/>
      </c>
      <c r="U55" s="10" t="str">
        <f t="shared" si="0"/>
        <v/>
      </c>
      <c r="V55" s="10">
        <f>ROW()</f>
        <v>55</v>
      </c>
      <c r="W55" s="10" t="str">
        <f t="shared" si="10"/>
        <v/>
      </c>
      <c r="Z55" s="10" t="str">
        <f>IF(A55&lt;&gt;"",'Metrics planning and tracking'!$K$4,"")</f>
        <v/>
      </c>
      <c r="AA55" s="10" t="str">
        <f>IF(A55&lt;&gt;"",'Metrics planning and tracking'!$K$5,"")</f>
        <v/>
      </c>
      <c r="AB55" s="10" t="str">
        <f>IF(A55&lt;&gt;"",'Metrics planning and tracking'!$K$2,"")</f>
        <v/>
      </c>
      <c r="AC55" s="10" t="str">
        <f>IF(A55&lt;&gt;"",'Metrics planning and tracking'!$K$3,"")</f>
        <v/>
      </c>
      <c r="AD55" s="10" t="str">
        <f>IF(A55&lt;&gt;"",IF(AND(#REF!&lt;&gt;"",#REF!&lt;&gt;"",#REF!&lt;&gt;0),#REF!/#REF!*100,"NA"),"")</f>
        <v/>
      </c>
      <c r="AE55" s="10" t="str">
        <f>IF(A55&lt;&gt;"",IF(AND(#REF!&lt;&gt;"",#REF!&lt;&gt;"",#REF!&lt;&gt;0),#REF!/#REF!*100,"NA"),"")</f>
        <v/>
      </c>
      <c r="AF55" s="57" t="str">
        <f t="shared" si="11"/>
        <v/>
      </c>
      <c r="AG55" s="57" t="str">
        <f t="shared" si="12"/>
        <v/>
      </c>
      <c r="AH55" s="58" t="str">
        <f t="shared" si="13"/>
        <v/>
      </c>
      <c r="AV55" s="22" t="str">
        <f>IF(A55&lt;&gt;"",A55 &amp; "-" &amp;#REF! &amp; ROW(),"")</f>
        <v/>
      </c>
    </row>
    <row r="56" spans="11:48" x14ac:dyDescent="0.2">
      <c r="K56" s="11" t="str">
        <f>IF(AND(COUNTA(B56:C56)&gt;1,COUNTA(F56:G56)&gt;1,O56="Completed"),(G56-C56)/(C56-#REF!+1)%,"")</f>
        <v/>
      </c>
      <c r="L56" s="11" t="str">
        <f>IF(AND(COUNT(D56:E56)&gt;0,COUNTA(F56:G56)&gt;1,O56="Completed"),(G56-AG56)/(AG56-#REF!+1)%,"")</f>
        <v/>
      </c>
      <c r="M56" s="11" t="str">
        <f t="shared" si="14"/>
        <v/>
      </c>
      <c r="N56" s="11" t="str">
        <f t="shared" si="15"/>
        <v/>
      </c>
      <c r="O56" s="12"/>
      <c r="P56" s="12"/>
      <c r="R56" s="10" t="str">
        <f>IF(H56&lt;&gt;"",SUMIF(H$3:H56,"&lt;&gt;" &amp; "",H$3:H56),"")</f>
        <v/>
      </c>
      <c r="S56" s="10" t="str">
        <f t="array" ref="S56">IF(O56="Completed",SUMIF(W$3:W56,"&lt;&gt;" &amp; "",W$3:W56),"")</f>
        <v/>
      </c>
      <c r="T56" s="10" t="str">
        <f t="array" ref="T56">IF(AND(J56&lt;&gt;"",O56="Completed"),SUM(IF(O$3:O56="Completed",J$3:J56,0)),"")</f>
        <v/>
      </c>
      <c r="U56" s="10" t="str">
        <f t="shared" si="0"/>
        <v/>
      </c>
      <c r="V56" s="10">
        <f>ROW()</f>
        <v>56</v>
      </c>
      <c r="W56" s="10" t="str">
        <f t="shared" si="10"/>
        <v/>
      </c>
      <c r="Z56" s="10" t="str">
        <f>IF(A56&lt;&gt;"",'Metrics planning and tracking'!$K$4,"")</f>
        <v/>
      </c>
      <c r="AA56" s="10" t="str">
        <f>IF(A56&lt;&gt;"",'Metrics planning and tracking'!$K$5,"")</f>
        <v/>
      </c>
      <c r="AB56" s="10" t="str">
        <f>IF(A56&lt;&gt;"",'Metrics planning and tracking'!$K$2,"")</f>
        <v/>
      </c>
      <c r="AC56" s="10" t="str">
        <f>IF(A56&lt;&gt;"",'Metrics planning and tracking'!$K$3,"")</f>
        <v/>
      </c>
      <c r="AD56" s="10" t="str">
        <f>IF(A56&lt;&gt;"",IF(AND(#REF!&lt;&gt;"",#REF!&lt;&gt;"",#REF!&lt;&gt;0),#REF!/#REF!*100,"NA"),"")</f>
        <v/>
      </c>
      <c r="AE56" s="10" t="str">
        <f>IF(A56&lt;&gt;"",IF(AND(#REF!&lt;&gt;"",#REF!&lt;&gt;"",#REF!&lt;&gt;0),#REF!/#REF!*100,"NA"),"")</f>
        <v/>
      </c>
      <c r="AF56" s="57" t="str">
        <f t="shared" si="11"/>
        <v/>
      </c>
      <c r="AG56" s="57" t="str">
        <f t="shared" si="12"/>
        <v/>
      </c>
      <c r="AH56" s="58" t="str">
        <f t="shared" si="13"/>
        <v/>
      </c>
      <c r="AV56" s="22" t="str">
        <f>IF(A56&lt;&gt;"",A56 &amp; "-" &amp;#REF! &amp; ROW(),"")</f>
        <v/>
      </c>
    </row>
    <row r="57" spans="11:48" x14ac:dyDescent="0.2">
      <c r="K57" s="11" t="str">
        <f>IF(AND(COUNTA(B57:C57)&gt;1,COUNTA(F57:G57)&gt;1,O57="Completed"),(G57-C57)/(C57-#REF!+1)%,"")</f>
        <v/>
      </c>
      <c r="L57" s="11" t="str">
        <f>IF(AND(COUNT(D57:E57)&gt;0,COUNTA(F57:G57)&gt;1,O57="Completed"),(G57-AG57)/(AG57-#REF!+1)%,"")</f>
        <v/>
      </c>
      <c r="M57" s="11" t="str">
        <f t="shared" si="14"/>
        <v/>
      </c>
      <c r="N57" s="11" t="str">
        <f t="shared" si="15"/>
        <v/>
      </c>
      <c r="O57" s="12"/>
      <c r="P57" s="12"/>
      <c r="R57" s="10" t="str">
        <f>IF(H57&lt;&gt;"",SUMIF(H$3:H57,"&lt;&gt;" &amp; "",H$3:H57),"")</f>
        <v/>
      </c>
      <c r="S57" s="10" t="str">
        <f t="array" ref="S57">IF(O57="Completed",SUMIF(W$3:W57,"&lt;&gt;" &amp; "",W$3:W57),"")</f>
        <v/>
      </c>
      <c r="T57" s="10" t="str">
        <f t="array" ref="T57">IF(AND(J57&lt;&gt;"",O57="Completed"),SUM(IF(O$3:O57="Completed",J$3:J57,0)),"")</f>
        <v/>
      </c>
      <c r="U57" s="10" t="str">
        <f t="shared" si="0"/>
        <v/>
      </c>
      <c r="V57" s="10">
        <f>ROW()</f>
        <v>57</v>
      </c>
      <c r="W57" s="10" t="str">
        <f t="shared" si="10"/>
        <v/>
      </c>
      <c r="Z57" s="10" t="str">
        <f>IF(A57&lt;&gt;"",'Metrics planning and tracking'!$K$4,"")</f>
        <v/>
      </c>
      <c r="AA57" s="10" t="str">
        <f>IF(A57&lt;&gt;"",'Metrics planning and tracking'!$K$5,"")</f>
        <v/>
      </c>
      <c r="AB57" s="10" t="str">
        <f>IF(A57&lt;&gt;"",'Metrics planning and tracking'!$K$2,"")</f>
        <v/>
      </c>
      <c r="AC57" s="10" t="str">
        <f>IF(A57&lt;&gt;"",'Metrics planning and tracking'!$K$3,"")</f>
        <v/>
      </c>
      <c r="AD57" s="10" t="str">
        <f>IF(A57&lt;&gt;"",IF(AND(#REF!&lt;&gt;"",#REF!&lt;&gt;"",#REF!&lt;&gt;0),#REF!/#REF!*100,"NA"),"")</f>
        <v/>
      </c>
      <c r="AE57" s="10" t="str">
        <f>IF(A57&lt;&gt;"",IF(AND(#REF!&lt;&gt;"",#REF!&lt;&gt;"",#REF!&lt;&gt;0),#REF!/#REF!*100,"NA"),"")</f>
        <v/>
      </c>
      <c r="AF57" s="57" t="str">
        <f t="shared" si="11"/>
        <v/>
      </c>
      <c r="AG57" s="57" t="str">
        <f t="shared" si="12"/>
        <v/>
      </c>
      <c r="AH57" s="58" t="str">
        <f t="shared" si="13"/>
        <v/>
      </c>
      <c r="AV57" s="22" t="str">
        <f>IF(A57&lt;&gt;"",A57 &amp; "-" &amp;#REF! &amp; ROW(),"")</f>
        <v/>
      </c>
    </row>
    <row r="58" spans="11:48" x14ac:dyDescent="0.2">
      <c r="K58" s="11" t="str">
        <f>IF(AND(COUNTA(B58:C58)&gt;1,COUNTA(F58:G58)&gt;1,O58="Completed"),(G58-C58)/(C58-#REF!+1)%,"")</f>
        <v/>
      </c>
      <c r="L58" s="11" t="str">
        <f>IF(AND(COUNT(D58:E58)&gt;0,COUNTA(F58:G58)&gt;1,O58="Completed"),(G58-AG58)/(AG58-#REF!+1)%,"")</f>
        <v/>
      </c>
      <c r="M58" s="11" t="str">
        <f t="shared" si="14"/>
        <v/>
      </c>
      <c r="N58" s="11" t="str">
        <f t="shared" si="15"/>
        <v/>
      </c>
      <c r="O58" s="12"/>
      <c r="P58" s="12"/>
      <c r="R58" s="10" t="str">
        <f>IF(H58&lt;&gt;"",SUMIF(H$3:H58,"&lt;&gt;" &amp; "",H$3:H58),"")</f>
        <v/>
      </c>
      <c r="S58" s="10" t="str">
        <f t="array" ref="S58">IF(O58="Completed",SUMIF(W$3:W58,"&lt;&gt;" &amp; "",W$3:W58),"")</f>
        <v/>
      </c>
      <c r="T58" s="10" t="str">
        <f t="array" ref="T58">IF(AND(J58&lt;&gt;"",O58="Completed"),SUM(IF(O$3:O58="Completed",J$3:J58,0)),"")</f>
        <v/>
      </c>
      <c r="U58" s="10" t="str">
        <f t="shared" si="0"/>
        <v/>
      </c>
      <c r="V58" s="10">
        <f>ROW()</f>
        <v>58</v>
      </c>
      <c r="W58" s="10" t="str">
        <f t="shared" si="10"/>
        <v/>
      </c>
      <c r="Z58" s="10" t="str">
        <f>IF(A58&lt;&gt;"",'Metrics planning and tracking'!$K$4,"")</f>
        <v/>
      </c>
      <c r="AA58" s="10" t="str">
        <f>IF(A58&lt;&gt;"",'Metrics planning and tracking'!$K$5,"")</f>
        <v/>
      </c>
      <c r="AB58" s="10" t="str">
        <f>IF(A58&lt;&gt;"",'Metrics planning and tracking'!$K$2,"")</f>
        <v/>
      </c>
      <c r="AC58" s="10" t="str">
        <f>IF(A58&lt;&gt;"",'Metrics planning and tracking'!$K$3,"")</f>
        <v/>
      </c>
      <c r="AD58" s="10" t="str">
        <f>IF(A58&lt;&gt;"",IF(AND(#REF!&lt;&gt;"",#REF!&lt;&gt;"",#REF!&lt;&gt;0),#REF!/#REF!*100,"NA"),"")</f>
        <v/>
      </c>
      <c r="AE58" s="10" t="str">
        <f>IF(A58&lt;&gt;"",IF(AND(#REF!&lt;&gt;"",#REF!&lt;&gt;"",#REF!&lt;&gt;0),#REF!/#REF!*100,"NA"),"")</f>
        <v/>
      </c>
      <c r="AF58" s="57" t="str">
        <f t="shared" si="11"/>
        <v/>
      </c>
      <c r="AG58" s="57" t="str">
        <f t="shared" si="12"/>
        <v/>
      </c>
      <c r="AH58" s="58" t="str">
        <f t="shared" si="13"/>
        <v/>
      </c>
      <c r="AV58" s="22" t="str">
        <f>IF(A58&lt;&gt;"",A58 &amp; "-" &amp;#REF! &amp; ROW(),"")</f>
        <v/>
      </c>
    </row>
    <row r="59" spans="11:48" x14ac:dyDescent="0.2">
      <c r="K59" s="11" t="str">
        <f>IF(AND(COUNTA(B59:C59)&gt;1,COUNTA(F59:G59)&gt;1,O59="Completed"),(G59-C59)/(C59-#REF!+1)%,"")</f>
        <v/>
      </c>
      <c r="L59" s="11" t="str">
        <f>IF(AND(COUNT(D59:E59)&gt;0,COUNTA(F59:G59)&gt;1,O59="Completed"),(G59-AG59)/(AG59-#REF!+1)%,"")</f>
        <v/>
      </c>
      <c r="M59" s="11" t="str">
        <f t="shared" si="14"/>
        <v/>
      </c>
      <c r="N59" s="11" t="str">
        <f t="shared" si="15"/>
        <v/>
      </c>
      <c r="O59" s="12"/>
      <c r="P59" s="12"/>
      <c r="R59" s="10" t="str">
        <f>IF(H59&lt;&gt;"",SUMIF(H$3:H59,"&lt;&gt;" &amp; "",H$3:H59),"")</f>
        <v/>
      </c>
      <c r="S59" s="10" t="str">
        <f t="array" ref="S59">IF(O59="Completed",SUMIF(W$3:W59,"&lt;&gt;" &amp; "",W$3:W59),"")</f>
        <v/>
      </c>
      <c r="T59" s="10" t="str">
        <f t="array" ref="T59">IF(AND(J59&lt;&gt;"",O59="Completed"),SUM(IF(O$3:O59="Completed",J$3:J59,0)),"")</f>
        <v/>
      </c>
      <c r="U59" s="10" t="str">
        <f t="shared" si="0"/>
        <v/>
      </c>
      <c r="V59" s="10">
        <f>ROW()</f>
        <v>59</v>
      </c>
      <c r="W59" s="10" t="str">
        <f t="shared" si="10"/>
        <v/>
      </c>
      <c r="Z59" s="10" t="str">
        <f>IF(A59&lt;&gt;"",'Metrics planning and tracking'!$K$4,"")</f>
        <v/>
      </c>
      <c r="AA59" s="10" t="str">
        <f>IF(A59&lt;&gt;"",'Metrics planning and tracking'!$K$5,"")</f>
        <v/>
      </c>
      <c r="AB59" s="10" t="str">
        <f>IF(A59&lt;&gt;"",'Metrics planning and tracking'!$K$2,"")</f>
        <v/>
      </c>
      <c r="AC59" s="10" t="str">
        <f>IF(A59&lt;&gt;"",'Metrics planning and tracking'!$K$3,"")</f>
        <v/>
      </c>
      <c r="AD59" s="10" t="str">
        <f>IF(A59&lt;&gt;"",IF(AND(#REF!&lt;&gt;"",#REF!&lt;&gt;"",#REF!&lt;&gt;0),#REF!/#REF!*100,"NA"),"")</f>
        <v/>
      </c>
      <c r="AE59" s="10" t="str">
        <f>IF(A59&lt;&gt;"",IF(AND(#REF!&lt;&gt;"",#REF!&lt;&gt;"",#REF!&lt;&gt;0),#REF!/#REF!*100,"NA"),"")</f>
        <v/>
      </c>
      <c r="AF59" s="57" t="str">
        <f t="shared" si="11"/>
        <v/>
      </c>
      <c r="AG59" s="57" t="str">
        <f t="shared" si="12"/>
        <v/>
      </c>
      <c r="AH59" s="58" t="str">
        <f t="shared" si="13"/>
        <v/>
      </c>
      <c r="AV59" s="22" t="str">
        <f>IF(A59&lt;&gt;"",A59 &amp; "-" &amp;#REF! &amp; ROW(),"")</f>
        <v/>
      </c>
    </row>
    <row r="60" spans="11:48" x14ac:dyDescent="0.2">
      <c r="K60" s="11" t="str">
        <f>IF(AND(COUNTA(B60:C60)&gt;1,COUNTA(F60:G60)&gt;1,O60="Completed"),(G60-C60)/(C60-#REF!+1)%,"")</f>
        <v/>
      </c>
      <c r="L60" s="11" t="str">
        <f>IF(AND(COUNT(D60:E60)&gt;0,COUNTA(F60:G60)&gt;1,O60="Completed"),(G60-AG60)/(AG60-#REF!+1)%,"")</f>
        <v/>
      </c>
      <c r="M60" s="11" t="str">
        <f t="shared" si="14"/>
        <v/>
      </c>
      <c r="N60" s="11" t="str">
        <f t="shared" si="15"/>
        <v/>
      </c>
      <c r="O60" s="12"/>
      <c r="P60" s="12"/>
      <c r="R60" s="10" t="str">
        <f>IF(H60&lt;&gt;"",SUMIF(H$3:H60,"&lt;&gt;" &amp; "",H$3:H60),"")</f>
        <v/>
      </c>
      <c r="S60" s="10" t="str">
        <f t="array" ref="S60">IF(O60="Completed",SUMIF(W$3:W60,"&lt;&gt;" &amp; "",W$3:W60),"")</f>
        <v/>
      </c>
      <c r="T60" s="10" t="str">
        <f t="array" ref="T60">IF(AND(J60&lt;&gt;"",O60="Completed"),SUM(IF(O$3:O60="Completed",J$3:J60,0)),"")</f>
        <v/>
      </c>
      <c r="U60" s="10" t="str">
        <f t="shared" si="0"/>
        <v/>
      </c>
      <c r="V60" s="10">
        <f>ROW()</f>
        <v>60</v>
      </c>
      <c r="W60" s="10" t="str">
        <f t="shared" si="10"/>
        <v/>
      </c>
      <c r="Z60" s="10" t="str">
        <f>IF(A60&lt;&gt;"",'Metrics planning and tracking'!$K$4,"")</f>
        <v/>
      </c>
      <c r="AA60" s="10" t="str">
        <f>IF(A60&lt;&gt;"",'Metrics planning and tracking'!$K$5,"")</f>
        <v/>
      </c>
      <c r="AB60" s="10" t="str">
        <f>IF(A60&lt;&gt;"",'Metrics planning and tracking'!$K$2,"")</f>
        <v/>
      </c>
      <c r="AC60" s="10" t="str">
        <f>IF(A60&lt;&gt;"",'Metrics planning and tracking'!$K$3,"")</f>
        <v/>
      </c>
      <c r="AD60" s="10" t="str">
        <f>IF(A60&lt;&gt;"",IF(AND(#REF!&lt;&gt;"",#REF!&lt;&gt;"",#REF!&lt;&gt;0),#REF!/#REF!*100,"NA"),"")</f>
        <v/>
      </c>
      <c r="AE60" s="10" t="str">
        <f>IF(A60&lt;&gt;"",IF(AND(#REF!&lt;&gt;"",#REF!&lt;&gt;"",#REF!&lt;&gt;0),#REF!/#REF!*100,"NA"),"")</f>
        <v/>
      </c>
      <c r="AF60" s="57" t="str">
        <f t="shared" si="11"/>
        <v/>
      </c>
      <c r="AG60" s="57" t="str">
        <f t="shared" si="12"/>
        <v/>
      </c>
      <c r="AH60" s="58" t="str">
        <f t="shared" si="13"/>
        <v/>
      </c>
      <c r="AV60" s="22" t="str">
        <f>IF(A60&lt;&gt;"",A60 &amp; "-" &amp;#REF! &amp; ROW(),"")</f>
        <v/>
      </c>
    </row>
    <row r="61" spans="11:48" x14ac:dyDescent="0.2">
      <c r="K61" s="11" t="str">
        <f>IF(AND(COUNTA(B61:C61)&gt;1,COUNTA(F61:G61)&gt;1,O61="Completed"),(G61-C61)/(C61-#REF!+1)%,"")</f>
        <v/>
      </c>
      <c r="L61" s="11" t="str">
        <f>IF(AND(COUNT(D61:E61)&gt;0,COUNTA(F61:G61)&gt;1,O61="Completed"),(G61-AG61)/(AG61-#REF!+1)%,"")</f>
        <v/>
      </c>
      <c r="M61" s="11" t="str">
        <f t="shared" si="14"/>
        <v/>
      </c>
      <c r="N61" s="11" t="str">
        <f t="shared" si="15"/>
        <v/>
      </c>
      <c r="O61" s="12"/>
      <c r="P61" s="12"/>
      <c r="R61" s="10" t="str">
        <f>IF(H61&lt;&gt;"",SUMIF(H$3:H61,"&lt;&gt;" &amp; "",H$3:H61),"")</f>
        <v/>
      </c>
      <c r="S61" s="10" t="str">
        <f t="array" ref="S61">IF(O61="Completed",SUMIF(W$3:W61,"&lt;&gt;" &amp; "",W$3:W61),"")</f>
        <v/>
      </c>
      <c r="T61" s="10" t="str">
        <f t="array" ref="T61">IF(AND(J61&lt;&gt;"",O61="Completed"),SUM(IF(O$3:O61="Completed",J$3:J61,0)),"")</f>
        <v/>
      </c>
      <c r="U61" s="10" t="str">
        <f t="shared" si="0"/>
        <v/>
      </c>
      <c r="V61" s="10">
        <f>ROW()</f>
        <v>61</v>
      </c>
      <c r="W61" s="10" t="str">
        <f t="shared" si="10"/>
        <v/>
      </c>
      <c r="Z61" s="10" t="str">
        <f>IF(A61&lt;&gt;"",'Metrics planning and tracking'!$K$4,"")</f>
        <v/>
      </c>
      <c r="AA61" s="10" t="str">
        <f>IF(A61&lt;&gt;"",'Metrics planning and tracking'!$K$5,"")</f>
        <v/>
      </c>
      <c r="AB61" s="10" t="str">
        <f>IF(A61&lt;&gt;"",'Metrics planning and tracking'!$K$2,"")</f>
        <v/>
      </c>
      <c r="AC61" s="10" t="str">
        <f>IF(A61&lt;&gt;"",'Metrics planning and tracking'!$K$3,"")</f>
        <v/>
      </c>
      <c r="AD61" s="10" t="str">
        <f>IF(A61&lt;&gt;"",IF(AND(#REF!&lt;&gt;"",#REF!&lt;&gt;"",#REF!&lt;&gt;0),#REF!/#REF!*100,"NA"),"")</f>
        <v/>
      </c>
      <c r="AE61" s="10" t="str">
        <f>IF(A61&lt;&gt;"",IF(AND(#REF!&lt;&gt;"",#REF!&lt;&gt;"",#REF!&lt;&gt;0),#REF!/#REF!*100,"NA"),"")</f>
        <v/>
      </c>
      <c r="AF61" s="57" t="str">
        <f t="shared" si="11"/>
        <v/>
      </c>
      <c r="AG61" s="57" t="str">
        <f t="shared" si="12"/>
        <v/>
      </c>
      <c r="AH61" s="58" t="str">
        <f t="shared" si="13"/>
        <v/>
      </c>
      <c r="AV61" s="22" t="str">
        <f>IF(A61&lt;&gt;"",A61 &amp; "-" &amp;#REF! &amp; ROW(),"")</f>
        <v/>
      </c>
    </row>
    <row r="62" spans="11:48" x14ac:dyDescent="0.2">
      <c r="K62" s="11" t="str">
        <f>IF(AND(COUNTA(B62:C62)&gt;1,COUNTA(F62:G62)&gt;1,O62="Completed"),(G62-C62)/(C62-#REF!+1)%,"")</f>
        <v/>
      </c>
      <c r="L62" s="11" t="str">
        <f>IF(AND(COUNT(D62:E62)&gt;0,COUNTA(F62:G62)&gt;1,O62="Completed"),(G62-AG62)/(AG62-#REF!+1)%,"")</f>
        <v/>
      </c>
      <c r="M62" s="11" t="str">
        <f t="shared" si="14"/>
        <v/>
      </c>
      <c r="N62" s="11" t="str">
        <f t="shared" si="15"/>
        <v/>
      </c>
      <c r="O62" s="12"/>
      <c r="P62" s="12"/>
      <c r="R62" s="10" t="str">
        <f>IF(H62&lt;&gt;"",SUMIF(H$3:H62,"&lt;&gt;" &amp; "",H$3:H62),"")</f>
        <v/>
      </c>
      <c r="S62" s="10" t="str">
        <f t="array" ref="S62">IF(O62="Completed",SUMIF(W$3:W62,"&lt;&gt;" &amp; "",W$3:W62),"")</f>
        <v/>
      </c>
      <c r="T62" s="10" t="str">
        <f t="array" ref="T62">IF(AND(J62&lt;&gt;"",O62="Completed"),SUM(IF(O$3:O62="Completed",J$3:J62,0)),"")</f>
        <v/>
      </c>
      <c r="U62" s="10" t="str">
        <f t="shared" si="0"/>
        <v/>
      </c>
      <c r="V62" s="10">
        <f>ROW()</f>
        <v>62</v>
      </c>
      <c r="W62" s="10" t="str">
        <f t="shared" si="10"/>
        <v/>
      </c>
      <c r="Z62" s="10" t="str">
        <f>IF(A62&lt;&gt;"",'Metrics planning and tracking'!$K$4,"")</f>
        <v/>
      </c>
      <c r="AA62" s="10" t="str">
        <f>IF(A62&lt;&gt;"",'Metrics planning and tracking'!$K$5,"")</f>
        <v/>
      </c>
      <c r="AB62" s="10" t="str">
        <f>IF(A62&lt;&gt;"",'Metrics planning and tracking'!$K$2,"")</f>
        <v/>
      </c>
      <c r="AC62" s="10" t="str">
        <f>IF(A62&lt;&gt;"",'Metrics planning and tracking'!$K$3,"")</f>
        <v/>
      </c>
      <c r="AD62" s="10" t="str">
        <f>IF(A62&lt;&gt;"",IF(AND(#REF!&lt;&gt;"",#REF!&lt;&gt;"",#REF!&lt;&gt;0),#REF!/#REF!*100,"NA"),"")</f>
        <v/>
      </c>
      <c r="AE62" s="10" t="str">
        <f>IF(A62&lt;&gt;"",IF(AND(#REF!&lt;&gt;"",#REF!&lt;&gt;"",#REF!&lt;&gt;0),#REF!/#REF!*100,"NA"),"")</f>
        <v/>
      </c>
      <c r="AF62" s="57" t="str">
        <f t="shared" si="11"/>
        <v/>
      </c>
      <c r="AG62" s="57" t="str">
        <f t="shared" si="12"/>
        <v/>
      </c>
      <c r="AH62" s="58" t="str">
        <f t="shared" si="13"/>
        <v/>
      </c>
      <c r="AV62" s="22" t="str">
        <f>IF(A62&lt;&gt;"",A62 &amp; "-" &amp;#REF! &amp; ROW(),"")</f>
        <v/>
      </c>
    </row>
    <row r="63" spans="11:48" x14ac:dyDescent="0.2">
      <c r="K63" s="11" t="str">
        <f>IF(AND(COUNTA(B63:C63)&gt;1,COUNTA(F63:G63)&gt;1,O63="Completed"),(G63-C63)/(C63-#REF!+1)%,"")</f>
        <v/>
      </c>
      <c r="L63" s="11" t="str">
        <f>IF(AND(COUNT(D63:E63)&gt;0,COUNTA(F63:G63)&gt;1,O63="Completed"),(G63-AG63)/(AG63-#REF!+1)%,"")</f>
        <v/>
      </c>
      <c r="M63" s="11" t="str">
        <f t="shared" si="14"/>
        <v/>
      </c>
      <c r="N63" s="11" t="str">
        <f t="shared" si="15"/>
        <v/>
      </c>
      <c r="O63" s="12"/>
      <c r="P63" s="12"/>
      <c r="R63" s="10" t="str">
        <f>IF(H63&lt;&gt;"",SUMIF(H$3:H63,"&lt;&gt;" &amp; "",H$3:H63),"")</f>
        <v/>
      </c>
      <c r="S63" s="10" t="str">
        <f t="array" ref="S63">IF(O63="Completed",SUMIF(W$3:W63,"&lt;&gt;" &amp; "",W$3:W63),"")</f>
        <v/>
      </c>
      <c r="T63" s="10" t="str">
        <f t="array" ref="T63">IF(AND(J63&lt;&gt;"",O63="Completed"),SUM(IF(O$3:O63="Completed",J$3:J63,0)),"")</f>
        <v/>
      </c>
      <c r="U63" s="10" t="str">
        <f t="shared" si="0"/>
        <v/>
      </c>
      <c r="V63" s="10">
        <f>ROW()</f>
        <v>63</v>
      </c>
      <c r="W63" s="10" t="str">
        <f t="shared" si="10"/>
        <v/>
      </c>
      <c r="Z63" s="10" t="str">
        <f>IF(A63&lt;&gt;"",'Metrics planning and tracking'!$K$4,"")</f>
        <v/>
      </c>
      <c r="AA63" s="10" t="str">
        <f>IF(A63&lt;&gt;"",'Metrics planning and tracking'!$K$5,"")</f>
        <v/>
      </c>
      <c r="AB63" s="10" t="str">
        <f>IF(A63&lt;&gt;"",'Metrics planning and tracking'!$K$2,"")</f>
        <v/>
      </c>
      <c r="AC63" s="10" t="str">
        <f>IF(A63&lt;&gt;"",'Metrics planning and tracking'!$K$3,"")</f>
        <v/>
      </c>
      <c r="AD63" s="10" t="str">
        <f>IF(A63&lt;&gt;"",IF(AND(#REF!&lt;&gt;"",#REF!&lt;&gt;"",#REF!&lt;&gt;0),#REF!/#REF!*100,"NA"),"")</f>
        <v/>
      </c>
      <c r="AE63" s="10" t="str">
        <f>IF(A63&lt;&gt;"",IF(AND(#REF!&lt;&gt;"",#REF!&lt;&gt;"",#REF!&lt;&gt;0),#REF!/#REF!*100,"NA"),"")</f>
        <v/>
      </c>
      <c r="AF63" s="57" t="str">
        <f t="shared" si="11"/>
        <v/>
      </c>
      <c r="AG63" s="57" t="str">
        <f t="shared" si="12"/>
        <v/>
      </c>
      <c r="AH63" s="58" t="str">
        <f t="shared" si="13"/>
        <v/>
      </c>
      <c r="AV63" s="22" t="str">
        <f>IF(A63&lt;&gt;"",A63 &amp; "-" &amp;#REF! &amp; ROW(),"")</f>
        <v/>
      </c>
    </row>
    <row r="64" spans="11:48" x14ac:dyDescent="0.2">
      <c r="K64" s="11" t="str">
        <f>IF(AND(COUNTA(B64:C64)&gt;1,COUNTA(F64:G64)&gt;1,O64="Completed"),(G64-C64)/(C64-#REF!+1)%,"")</f>
        <v/>
      </c>
      <c r="L64" s="11" t="str">
        <f>IF(AND(COUNT(D64:E64)&gt;0,COUNTA(F64:G64)&gt;1,O64="Completed"),(G64-AG64)/(AG64-#REF!+1)%,"")</f>
        <v/>
      </c>
      <c r="M64" s="11" t="str">
        <f t="shared" si="14"/>
        <v/>
      </c>
      <c r="N64" s="11" t="str">
        <f t="shared" si="15"/>
        <v/>
      </c>
      <c r="O64" s="12"/>
      <c r="P64" s="12"/>
      <c r="R64" s="10" t="str">
        <f>IF(H64&lt;&gt;"",SUMIF(H$3:H64,"&lt;&gt;" &amp; "",H$3:H64),"")</f>
        <v/>
      </c>
      <c r="S64" s="10" t="str">
        <f t="array" ref="S64">IF(O64="Completed",SUMIF(W$3:W64,"&lt;&gt;" &amp; "",W$3:W64),"")</f>
        <v/>
      </c>
      <c r="T64" s="10" t="str">
        <f t="array" ref="T64">IF(AND(J64&lt;&gt;"",O64="Completed"),SUM(IF(O$3:O64="Completed",J$3:J64,0)),"")</f>
        <v/>
      </c>
      <c r="U64" s="10" t="str">
        <f t="shared" si="0"/>
        <v/>
      </c>
      <c r="V64" s="10">
        <f>ROW()</f>
        <v>64</v>
      </c>
      <c r="W64" s="10" t="str">
        <f t="shared" si="10"/>
        <v/>
      </c>
      <c r="Z64" s="10" t="str">
        <f>IF(A64&lt;&gt;"",'Metrics planning and tracking'!$K$4,"")</f>
        <v/>
      </c>
      <c r="AA64" s="10" t="str">
        <f>IF(A64&lt;&gt;"",'Metrics planning and tracking'!$K$5,"")</f>
        <v/>
      </c>
      <c r="AB64" s="10" t="str">
        <f>IF(A64&lt;&gt;"",'Metrics planning and tracking'!$K$2,"")</f>
        <v/>
      </c>
      <c r="AC64" s="10" t="str">
        <f>IF(A64&lt;&gt;"",'Metrics planning and tracking'!$K$3,"")</f>
        <v/>
      </c>
      <c r="AD64" s="10" t="str">
        <f>IF(A64&lt;&gt;"",IF(AND(#REF!&lt;&gt;"",#REF!&lt;&gt;"",#REF!&lt;&gt;0),#REF!/#REF!*100,"NA"),"")</f>
        <v/>
      </c>
      <c r="AE64" s="10" t="str">
        <f>IF(A64&lt;&gt;"",IF(AND(#REF!&lt;&gt;"",#REF!&lt;&gt;"",#REF!&lt;&gt;0),#REF!/#REF!*100,"NA"),"")</f>
        <v/>
      </c>
      <c r="AF64" s="57" t="str">
        <f t="shared" si="11"/>
        <v/>
      </c>
      <c r="AG64" s="57" t="str">
        <f t="shared" si="12"/>
        <v/>
      </c>
      <c r="AH64" s="58" t="str">
        <f t="shared" si="13"/>
        <v/>
      </c>
      <c r="AV64" s="22" t="str">
        <f>IF(A64&lt;&gt;"",A64 &amp; "-" &amp;#REF! &amp; ROW(),"")</f>
        <v/>
      </c>
    </row>
    <row r="65" spans="11:48" x14ac:dyDescent="0.2">
      <c r="K65" s="11" t="str">
        <f>IF(AND(COUNTA(B65:C65)&gt;1,COUNTA(F65:G65)&gt;1,O65="Completed"),(G65-C65)/(C65-#REF!+1)%,"")</f>
        <v/>
      </c>
      <c r="L65" s="11" t="str">
        <f>IF(AND(COUNT(D65:E65)&gt;0,COUNTA(F65:G65)&gt;1,O65="Completed"),(G65-AG65)/(AG65-#REF!+1)%,"")</f>
        <v/>
      </c>
      <c r="M65" s="11" t="str">
        <f t="shared" si="14"/>
        <v/>
      </c>
      <c r="N65" s="11" t="str">
        <f t="shared" si="15"/>
        <v/>
      </c>
      <c r="O65" s="12"/>
      <c r="P65" s="12"/>
      <c r="R65" s="10" t="str">
        <f>IF(H65&lt;&gt;"",SUMIF(H$3:H65,"&lt;&gt;" &amp; "",H$3:H65),"")</f>
        <v/>
      </c>
      <c r="S65" s="10" t="str">
        <f t="array" ref="S65">IF(O65="Completed",SUMIF(W$3:W65,"&lt;&gt;" &amp; "",W$3:W65),"")</f>
        <v/>
      </c>
      <c r="T65" s="10" t="str">
        <f t="array" ref="T65">IF(AND(J65&lt;&gt;"",O65="Completed"),SUM(IF(O$3:O65="Completed",J$3:J65,0)),"")</f>
        <v/>
      </c>
      <c r="U65" s="10" t="str">
        <f t="shared" si="0"/>
        <v/>
      </c>
      <c r="V65" s="10">
        <f>ROW()</f>
        <v>65</v>
      </c>
      <c r="W65" s="10" t="str">
        <f t="shared" si="10"/>
        <v/>
      </c>
      <c r="Z65" s="10" t="str">
        <f>IF(A65&lt;&gt;"",'Metrics planning and tracking'!$K$4,"")</f>
        <v/>
      </c>
      <c r="AA65" s="10" t="str">
        <f>IF(A65&lt;&gt;"",'Metrics planning and tracking'!$K$5,"")</f>
        <v/>
      </c>
      <c r="AB65" s="10" t="str">
        <f>IF(A65&lt;&gt;"",'Metrics planning and tracking'!$K$2,"")</f>
        <v/>
      </c>
      <c r="AC65" s="10" t="str">
        <f>IF(A65&lt;&gt;"",'Metrics planning and tracking'!$K$3,"")</f>
        <v/>
      </c>
      <c r="AD65" s="10" t="str">
        <f>IF(A65&lt;&gt;"",IF(AND(#REF!&lt;&gt;"",#REF!&lt;&gt;"",#REF!&lt;&gt;0),#REF!/#REF!*100,"NA"),"")</f>
        <v/>
      </c>
      <c r="AE65" s="10" t="str">
        <f>IF(A65&lt;&gt;"",IF(AND(#REF!&lt;&gt;"",#REF!&lt;&gt;"",#REF!&lt;&gt;0),#REF!/#REF!*100,"NA"),"")</f>
        <v/>
      </c>
      <c r="AF65" s="57" t="str">
        <f t="shared" si="11"/>
        <v/>
      </c>
      <c r="AG65" s="57" t="str">
        <f t="shared" si="12"/>
        <v/>
      </c>
      <c r="AH65" s="58" t="str">
        <f t="shared" si="13"/>
        <v/>
      </c>
      <c r="AV65" s="22" t="str">
        <f>IF(A65&lt;&gt;"",A65 &amp; "-" &amp;#REF! &amp; ROW(),"")</f>
        <v/>
      </c>
    </row>
    <row r="66" spans="11:48" x14ac:dyDescent="0.2">
      <c r="K66" s="11" t="str">
        <f>IF(AND(COUNTA(B66:C66)&gt;1,COUNTA(F66:G66)&gt;1,O66="Completed"),(G66-C66)/(C66-#REF!+1)%,"")</f>
        <v/>
      </c>
      <c r="L66" s="11" t="str">
        <f>IF(AND(COUNT(D66:E66)&gt;0,COUNTA(F66:G66)&gt;1,O66="Completed"),(G66-AG66)/(AG66-#REF!+1)%,"")</f>
        <v/>
      </c>
      <c r="M66" s="11" t="str">
        <f t="shared" si="14"/>
        <v/>
      </c>
      <c r="N66" s="11" t="str">
        <f t="shared" si="15"/>
        <v/>
      </c>
      <c r="O66" s="12"/>
      <c r="P66" s="12"/>
      <c r="R66" s="10" t="str">
        <f>IF(H66&lt;&gt;"",SUMIF(H$3:H66,"&lt;&gt;" &amp; "",H$3:H66),"")</f>
        <v/>
      </c>
      <c r="S66" s="10" t="str">
        <f t="array" ref="S66">IF(O66="Completed",SUMIF(W$3:W66,"&lt;&gt;" &amp; "",W$3:W66),"")</f>
        <v/>
      </c>
      <c r="T66" s="10" t="str">
        <f t="array" ref="T66">IF(AND(J66&lt;&gt;"",O66="Completed"),SUM(IF(O$3:O66="Completed",J$3:J66,0)),"")</f>
        <v/>
      </c>
      <c r="U66" s="10" t="str">
        <f t="shared" si="0"/>
        <v/>
      </c>
      <c r="V66" s="10">
        <f>ROW()</f>
        <v>66</v>
      </c>
      <c r="W66" s="10" t="str">
        <f t="shared" si="10"/>
        <v/>
      </c>
      <c r="Z66" s="10" t="str">
        <f>IF(A66&lt;&gt;"",'Metrics planning and tracking'!$K$4,"")</f>
        <v/>
      </c>
      <c r="AA66" s="10" t="str">
        <f>IF(A66&lt;&gt;"",'Metrics planning and tracking'!$K$5,"")</f>
        <v/>
      </c>
      <c r="AB66" s="10" t="str">
        <f>IF(A66&lt;&gt;"",'Metrics planning and tracking'!$K$2,"")</f>
        <v/>
      </c>
      <c r="AC66" s="10" t="str">
        <f>IF(A66&lt;&gt;"",'Metrics planning and tracking'!$K$3,"")</f>
        <v/>
      </c>
      <c r="AD66" s="10" t="str">
        <f>IF(A66&lt;&gt;"",IF(AND(#REF!&lt;&gt;"",#REF!&lt;&gt;"",#REF!&lt;&gt;0),#REF!/#REF!*100,"NA"),"")</f>
        <v/>
      </c>
      <c r="AE66" s="10" t="str">
        <f>IF(A66&lt;&gt;"",IF(AND(#REF!&lt;&gt;"",#REF!&lt;&gt;"",#REF!&lt;&gt;0),#REF!/#REF!*100,"NA"),"")</f>
        <v/>
      </c>
      <c r="AF66" s="57" t="str">
        <f t="shared" si="11"/>
        <v/>
      </c>
      <c r="AG66" s="57" t="str">
        <f t="shared" si="12"/>
        <v/>
      </c>
      <c r="AH66" s="58" t="str">
        <f t="shared" si="13"/>
        <v/>
      </c>
      <c r="AV66" s="22" t="str">
        <f>IF(A66&lt;&gt;"",A66 &amp; "-" &amp;#REF! &amp; ROW(),"")</f>
        <v/>
      </c>
    </row>
    <row r="67" spans="11:48" x14ac:dyDescent="0.2">
      <c r="K67" s="11" t="str">
        <f>IF(AND(COUNTA(B67:C67)&gt;1,COUNTA(F67:G67)&gt;1,O67="Completed"),(G67-C67)/(C67-#REF!+1)%,"")</f>
        <v/>
      </c>
      <c r="L67" s="11" t="str">
        <f>IF(AND(COUNT(D67:E67)&gt;0,COUNTA(F67:G67)&gt;1,O67="Completed"),(G67-AG67)/(AG67-#REF!+1)%,"")</f>
        <v/>
      </c>
      <c r="M67" s="11" t="str">
        <f t="shared" si="14"/>
        <v/>
      </c>
      <c r="N67" s="11" t="str">
        <f t="shared" si="15"/>
        <v/>
      </c>
      <c r="O67" s="12"/>
      <c r="P67" s="12"/>
      <c r="R67" s="10" t="str">
        <f>IF(H67&lt;&gt;"",SUMIF(H$3:H67,"&lt;&gt;" &amp; "",H$3:H67),"")</f>
        <v/>
      </c>
      <c r="S67" s="10" t="str">
        <f t="array" ref="S67">IF(O67="Completed",SUMIF(W$3:W67,"&lt;&gt;" &amp; "",W$3:W67),"")</f>
        <v/>
      </c>
      <c r="T67" s="10" t="str">
        <f t="array" ref="T67">IF(AND(J67&lt;&gt;"",O67="Completed"),SUM(IF(O$3:O67="Completed",J$3:J67,0)),"")</f>
        <v/>
      </c>
      <c r="U67" s="10" t="str">
        <f t="shared" ref="U67:U130" si="16">IF(AND(A67&lt;&gt;"",P67="Yes"),ROW(),"")</f>
        <v/>
      </c>
      <c r="V67" s="10">
        <f>ROW()</f>
        <v>67</v>
      </c>
      <c r="W67" s="10" t="str">
        <f t="shared" si="10"/>
        <v/>
      </c>
      <c r="Z67" s="10" t="str">
        <f>IF(A67&lt;&gt;"",'Metrics planning and tracking'!$K$4,"")</f>
        <v/>
      </c>
      <c r="AA67" s="10" t="str">
        <f>IF(A67&lt;&gt;"",'Metrics planning and tracking'!$K$5,"")</f>
        <v/>
      </c>
      <c r="AB67" s="10" t="str">
        <f>IF(A67&lt;&gt;"",'Metrics planning and tracking'!$K$2,"")</f>
        <v/>
      </c>
      <c r="AC67" s="10" t="str">
        <f>IF(A67&lt;&gt;"",'Metrics planning and tracking'!$K$3,"")</f>
        <v/>
      </c>
      <c r="AD67" s="10" t="str">
        <f>IF(A67&lt;&gt;"",IF(AND(#REF!&lt;&gt;"",#REF!&lt;&gt;"",#REF!&lt;&gt;0),#REF!/#REF!*100,"NA"),"")</f>
        <v/>
      </c>
      <c r="AE67" s="10" t="str">
        <f>IF(A67&lt;&gt;"",IF(AND(#REF!&lt;&gt;"",#REF!&lt;&gt;"",#REF!&lt;&gt;0),#REF!/#REF!*100,"NA"),"")</f>
        <v/>
      </c>
      <c r="AF67" s="57" t="str">
        <f t="shared" si="11"/>
        <v/>
      </c>
      <c r="AG67" s="57" t="str">
        <f t="shared" si="12"/>
        <v/>
      </c>
      <c r="AH67" s="58" t="str">
        <f t="shared" si="13"/>
        <v/>
      </c>
      <c r="AV67" s="22" t="str">
        <f>IF(A67&lt;&gt;"",A67 &amp; "-" &amp;#REF! &amp; ROW(),"")</f>
        <v/>
      </c>
    </row>
    <row r="68" spans="11:48" x14ac:dyDescent="0.2">
      <c r="K68" s="11" t="str">
        <f>IF(AND(COUNTA(B68:C68)&gt;1,COUNTA(F68:G68)&gt;1,O68="Completed"),(G68-C68)/(C68-#REF!+1)%,"")</f>
        <v/>
      </c>
      <c r="L68" s="11" t="str">
        <f>IF(AND(COUNT(D68:E68)&gt;0,COUNTA(F68:G68)&gt;1,O68="Completed"),(G68-AG68)/(AG68-#REF!+1)%,"")</f>
        <v/>
      </c>
      <c r="M68" s="11" t="str">
        <f t="shared" si="14"/>
        <v/>
      </c>
      <c r="N68" s="11" t="str">
        <f t="shared" si="15"/>
        <v/>
      </c>
      <c r="O68" s="12"/>
      <c r="P68" s="12"/>
      <c r="R68" s="10" t="str">
        <f>IF(H68&lt;&gt;"",SUMIF(H$3:H68,"&lt;&gt;" &amp; "",H$3:H68),"")</f>
        <v/>
      </c>
      <c r="S68" s="10" t="str">
        <f t="array" ref="S68">IF(O68="Completed",SUMIF(W$3:W68,"&lt;&gt;" &amp; "",W$3:W68),"")</f>
        <v/>
      </c>
      <c r="T68" s="10" t="str">
        <f t="array" ref="T68">IF(AND(J68&lt;&gt;"",O68="Completed"),SUM(IF(O$3:O68="Completed",J$3:J68,0)),"")</f>
        <v/>
      </c>
      <c r="U68" s="10" t="str">
        <f t="shared" si="16"/>
        <v/>
      </c>
      <c r="V68" s="10">
        <f>ROW()</f>
        <v>68</v>
      </c>
      <c r="W68" s="10" t="str">
        <f t="shared" si="10"/>
        <v/>
      </c>
      <c r="Z68" s="10" t="str">
        <f>IF(A68&lt;&gt;"",'Metrics planning and tracking'!$K$4,"")</f>
        <v/>
      </c>
      <c r="AA68" s="10" t="str">
        <f>IF(A68&lt;&gt;"",'Metrics planning and tracking'!$K$5,"")</f>
        <v/>
      </c>
      <c r="AB68" s="10" t="str">
        <f>IF(A68&lt;&gt;"",'Metrics planning and tracking'!$K$2,"")</f>
        <v/>
      </c>
      <c r="AC68" s="10" t="str">
        <f>IF(A68&lt;&gt;"",'Metrics planning and tracking'!$K$3,"")</f>
        <v/>
      </c>
      <c r="AD68" s="10" t="str">
        <f>IF(A68&lt;&gt;"",IF(AND(#REF!&lt;&gt;"",#REF!&lt;&gt;"",#REF!&lt;&gt;0),#REF!/#REF!*100,"NA"),"")</f>
        <v/>
      </c>
      <c r="AE68" s="10" t="str">
        <f>IF(A68&lt;&gt;"",IF(AND(#REF!&lt;&gt;"",#REF!&lt;&gt;"",#REF!&lt;&gt;0),#REF!/#REF!*100,"NA"),"")</f>
        <v/>
      </c>
      <c r="AF68" s="57" t="str">
        <f t="shared" si="11"/>
        <v/>
      </c>
      <c r="AG68" s="57" t="str">
        <f t="shared" si="12"/>
        <v/>
      </c>
      <c r="AH68" s="58" t="str">
        <f t="shared" si="13"/>
        <v/>
      </c>
      <c r="AV68" s="22" t="str">
        <f>IF(A68&lt;&gt;"",A68 &amp; "-" &amp;#REF! &amp; ROW(),"")</f>
        <v/>
      </c>
    </row>
    <row r="69" spans="11:48" x14ac:dyDescent="0.2">
      <c r="K69" s="11" t="str">
        <f>IF(AND(COUNTA(B69:C69)&gt;1,COUNTA(F69:G69)&gt;1,O69="Completed"),(G69-C69)/(C69-#REF!+1)%,"")</f>
        <v/>
      </c>
      <c r="L69" s="11" t="str">
        <f>IF(AND(COUNT(D69:E69)&gt;0,COUNTA(F69:G69)&gt;1,O69="Completed"),(G69-AG69)/(AG69-#REF!+1)%,"")</f>
        <v/>
      </c>
      <c r="M69" s="11" t="str">
        <f t="shared" si="14"/>
        <v/>
      </c>
      <c r="N69" s="11" t="str">
        <f t="shared" si="15"/>
        <v/>
      </c>
      <c r="O69" s="12"/>
      <c r="P69" s="12"/>
      <c r="R69" s="10" t="str">
        <f>IF(H69&lt;&gt;"",SUMIF(H$3:H69,"&lt;&gt;" &amp; "",H$3:H69),"")</f>
        <v/>
      </c>
      <c r="S69" s="10" t="str">
        <f t="array" ref="S69">IF(O69="Completed",SUMIF(W$3:W69,"&lt;&gt;" &amp; "",W$3:W69),"")</f>
        <v/>
      </c>
      <c r="T69" s="10" t="str">
        <f t="array" ref="T69">IF(AND(J69&lt;&gt;"",O69="Completed"),SUM(IF(O$3:O69="Completed",J$3:J69,0)),"")</f>
        <v/>
      </c>
      <c r="U69" s="10" t="str">
        <f t="shared" si="16"/>
        <v/>
      </c>
      <c r="V69" s="10">
        <f>ROW()</f>
        <v>69</v>
      </c>
      <c r="W69" s="10" t="str">
        <f t="shared" si="10"/>
        <v/>
      </c>
      <c r="Z69" s="10" t="str">
        <f>IF(A69&lt;&gt;"",'Metrics planning and tracking'!$K$4,"")</f>
        <v/>
      </c>
      <c r="AA69" s="10" t="str">
        <f>IF(A69&lt;&gt;"",'Metrics planning and tracking'!$K$5,"")</f>
        <v/>
      </c>
      <c r="AB69" s="10" t="str">
        <f>IF(A69&lt;&gt;"",'Metrics planning and tracking'!$K$2,"")</f>
        <v/>
      </c>
      <c r="AC69" s="10" t="str">
        <f>IF(A69&lt;&gt;"",'Metrics planning and tracking'!$K$3,"")</f>
        <v/>
      </c>
      <c r="AD69" s="10" t="str">
        <f>IF(A69&lt;&gt;"",IF(AND(#REF!&lt;&gt;"",#REF!&lt;&gt;"",#REF!&lt;&gt;0),#REF!/#REF!*100,"NA"),"")</f>
        <v/>
      </c>
      <c r="AE69" s="10" t="str">
        <f>IF(A69&lt;&gt;"",IF(AND(#REF!&lt;&gt;"",#REF!&lt;&gt;"",#REF!&lt;&gt;0),#REF!/#REF!*100,"NA"),"")</f>
        <v/>
      </c>
      <c r="AF69" s="57" t="str">
        <f t="shared" si="11"/>
        <v/>
      </c>
      <c r="AG69" s="57" t="str">
        <f t="shared" si="12"/>
        <v/>
      </c>
      <c r="AH69" s="58" t="str">
        <f t="shared" si="13"/>
        <v/>
      </c>
      <c r="AV69" s="22" t="str">
        <f>IF(A69&lt;&gt;"",A69 &amp; "-" &amp;#REF! &amp; ROW(),"")</f>
        <v/>
      </c>
    </row>
    <row r="70" spans="11:48" x14ac:dyDescent="0.2">
      <c r="K70" s="11" t="str">
        <f>IF(AND(COUNTA(B70:C70)&gt;1,COUNTA(F70:G70)&gt;1,O70="Completed"),(G70-C70)/(C70-#REF!+1)%,"")</f>
        <v/>
      </c>
      <c r="L70" s="11" t="str">
        <f>IF(AND(COUNT(D70:E70)&gt;0,COUNTA(F70:G70)&gt;1,O70="Completed"),(G70-AG70)/(AG70-#REF!+1)%,"")</f>
        <v/>
      </c>
      <c r="M70" s="11" t="str">
        <f t="shared" si="14"/>
        <v/>
      </c>
      <c r="N70" s="11" t="str">
        <f t="shared" si="15"/>
        <v/>
      </c>
      <c r="O70" s="12"/>
      <c r="P70" s="12"/>
      <c r="R70" s="10" t="str">
        <f>IF(H70&lt;&gt;"",SUMIF(H$3:H70,"&lt;&gt;" &amp; "",H$3:H70),"")</f>
        <v/>
      </c>
      <c r="S70" s="10" t="str">
        <f t="array" ref="S70">IF(O70="Completed",SUMIF(W$3:W70,"&lt;&gt;" &amp; "",W$3:W70),"")</f>
        <v/>
      </c>
      <c r="T70" s="10" t="str">
        <f t="array" ref="T70">IF(AND(J70&lt;&gt;"",O70="Completed"),SUM(IF(O$3:O70="Completed",J$3:J70,0)),"")</f>
        <v/>
      </c>
      <c r="U70" s="10" t="str">
        <f t="shared" si="16"/>
        <v/>
      </c>
      <c r="V70" s="10">
        <f>ROW()</f>
        <v>70</v>
      </c>
      <c r="W70" s="10" t="str">
        <f t="shared" si="10"/>
        <v/>
      </c>
      <c r="Z70" s="10" t="str">
        <f>IF(A70&lt;&gt;"",'Metrics planning and tracking'!$K$4,"")</f>
        <v/>
      </c>
      <c r="AA70" s="10" t="str">
        <f>IF(A70&lt;&gt;"",'Metrics planning and tracking'!$K$5,"")</f>
        <v/>
      </c>
      <c r="AB70" s="10" t="str">
        <f>IF(A70&lt;&gt;"",'Metrics planning and tracking'!$K$2,"")</f>
        <v/>
      </c>
      <c r="AC70" s="10" t="str">
        <f>IF(A70&lt;&gt;"",'Metrics planning and tracking'!$K$3,"")</f>
        <v/>
      </c>
      <c r="AD70" s="10" t="str">
        <f>IF(A70&lt;&gt;"",IF(AND(#REF!&lt;&gt;"",#REF!&lt;&gt;"",#REF!&lt;&gt;0),#REF!/#REF!*100,"NA"),"")</f>
        <v/>
      </c>
      <c r="AE70" s="10" t="str">
        <f>IF(A70&lt;&gt;"",IF(AND(#REF!&lt;&gt;"",#REF!&lt;&gt;"",#REF!&lt;&gt;0),#REF!/#REF!*100,"NA"),"")</f>
        <v/>
      </c>
      <c r="AF70" s="57" t="str">
        <f t="shared" si="11"/>
        <v/>
      </c>
      <c r="AG70" s="57" t="str">
        <f t="shared" si="12"/>
        <v/>
      </c>
      <c r="AH70" s="58" t="str">
        <f t="shared" si="13"/>
        <v/>
      </c>
      <c r="AV70" s="22" t="str">
        <f>IF(A70&lt;&gt;"",A70 &amp; "-" &amp;#REF! &amp; ROW(),"")</f>
        <v/>
      </c>
    </row>
    <row r="71" spans="11:48" x14ac:dyDescent="0.2">
      <c r="K71" s="11" t="str">
        <f>IF(AND(COUNTA(B71:C71)&gt;1,COUNTA(F71:G71)&gt;1,O71="Completed"),(G71-C71)/(C71-#REF!+1)%,"")</f>
        <v/>
      </c>
      <c r="L71" s="11" t="str">
        <f>IF(AND(COUNT(D71:E71)&gt;0,COUNTA(F71:G71)&gt;1,O71="Completed"),(G71-AG71)/(AG71-#REF!+1)%,"")</f>
        <v/>
      </c>
      <c r="M71" s="11" t="str">
        <f t="shared" si="14"/>
        <v/>
      </c>
      <c r="N71" s="11" t="str">
        <f t="shared" si="15"/>
        <v/>
      </c>
      <c r="O71" s="12"/>
      <c r="P71" s="12"/>
      <c r="R71" s="10" t="str">
        <f>IF(H71&lt;&gt;"",SUMIF(H$3:H71,"&lt;&gt;" &amp; "",H$3:H71),"")</f>
        <v/>
      </c>
      <c r="S71" s="10" t="str">
        <f t="array" ref="S71">IF(O71="Completed",SUMIF(W$3:W71,"&lt;&gt;" &amp; "",W$3:W71),"")</f>
        <v/>
      </c>
      <c r="T71" s="10" t="str">
        <f t="array" ref="T71">IF(AND(J71&lt;&gt;"",O71="Completed"),SUM(IF(O$3:O71="Completed",J$3:J71,0)),"")</f>
        <v/>
      </c>
      <c r="U71" s="10" t="str">
        <f t="shared" si="16"/>
        <v/>
      </c>
      <c r="V71" s="10">
        <f>ROW()</f>
        <v>71</v>
      </c>
      <c r="W71" s="10" t="str">
        <f t="shared" si="10"/>
        <v/>
      </c>
      <c r="Z71" s="10" t="str">
        <f>IF(A71&lt;&gt;"",'Metrics planning and tracking'!$K$4,"")</f>
        <v/>
      </c>
      <c r="AA71" s="10" t="str">
        <f>IF(A71&lt;&gt;"",'Metrics planning and tracking'!$K$5,"")</f>
        <v/>
      </c>
      <c r="AB71" s="10" t="str">
        <f>IF(A71&lt;&gt;"",'Metrics planning and tracking'!$K$2,"")</f>
        <v/>
      </c>
      <c r="AC71" s="10" t="str">
        <f>IF(A71&lt;&gt;"",'Metrics planning and tracking'!$K$3,"")</f>
        <v/>
      </c>
      <c r="AD71" s="10" t="str">
        <f>IF(A71&lt;&gt;"",IF(AND(#REF!&lt;&gt;"",#REF!&lt;&gt;"",#REF!&lt;&gt;0),#REF!/#REF!*100,"NA"),"")</f>
        <v/>
      </c>
      <c r="AE71" s="10" t="str">
        <f>IF(A71&lt;&gt;"",IF(AND(#REF!&lt;&gt;"",#REF!&lt;&gt;"",#REF!&lt;&gt;0),#REF!/#REF!*100,"NA"),"")</f>
        <v/>
      </c>
      <c r="AF71" s="57" t="str">
        <f t="shared" si="11"/>
        <v/>
      </c>
      <c r="AG71" s="57" t="str">
        <f t="shared" si="12"/>
        <v/>
      </c>
      <c r="AH71" s="58" t="str">
        <f t="shared" si="13"/>
        <v/>
      </c>
      <c r="AV71" s="22" t="str">
        <f>IF(A71&lt;&gt;"",A71 &amp; "-" &amp;#REF! &amp; ROW(),"")</f>
        <v/>
      </c>
    </row>
    <row r="72" spans="11:48" x14ac:dyDescent="0.2">
      <c r="K72" s="11" t="str">
        <f>IF(AND(COUNTA(B72:C72)&gt;1,COUNTA(F72:G72)&gt;1,O72="Completed"),(G72-C72)/(C72-#REF!+1)%,"")</f>
        <v/>
      </c>
      <c r="L72" s="11" t="str">
        <f>IF(AND(COUNT(D72:E72)&gt;0,COUNTA(F72:G72)&gt;1,O72="Completed"),(G72-AG72)/(AG72-#REF!+1)%,"")</f>
        <v/>
      </c>
      <c r="M72" s="11" t="str">
        <f t="shared" si="14"/>
        <v/>
      </c>
      <c r="N72" s="11" t="str">
        <f t="shared" si="15"/>
        <v/>
      </c>
      <c r="O72" s="12"/>
      <c r="P72" s="12"/>
      <c r="R72" s="10" t="str">
        <f>IF(H72&lt;&gt;"",SUMIF(H$3:H72,"&lt;&gt;" &amp; "",H$3:H72),"")</f>
        <v/>
      </c>
      <c r="S72" s="10" t="str">
        <f t="array" ref="S72">IF(O72="Completed",SUMIF(W$3:W72,"&lt;&gt;" &amp; "",W$3:W72),"")</f>
        <v/>
      </c>
      <c r="T72" s="10" t="str">
        <f t="array" ref="T72">IF(AND(J72&lt;&gt;"",O72="Completed"),SUM(IF(O$3:O72="Completed",J$3:J72,0)),"")</f>
        <v/>
      </c>
      <c r="U72" s="10" t="str">
        <f t="shared" si="16"/>
        <v/>
      </c>
      <c r="V72" s="10">
        <f>ROW()</f>
        <v>72</v>
      </c>
      <c r="W72" s="10" t="str">
        <f t="shared" si="10"/>
        <v/>
      </c>
      <c r="Z72" s="10" t="str">
        <f>IF(A72&lt;&gt;"",'Metrics planning and tracking'!$K$4,"")</f>
        <v/>
      </c>
      <c r="AA72" s="10" t="str">
        <f>IF(A72&lt;&gt;"",'Metrics planning and tracking'!$K$5,"")</f>
        <v/>
      </c>
      <c r="AB72" s="10" t="str">
        <f>IF(A72&lt;&gt;"",'Metrics planning and tracking'!$K$2,"")</f>
        <v/>
      </c>
      <c r="AC72" s="10" t="str">
        <f>IF(A72&lt;&gt;"",'Metrics planning and tracking'!$K$3,"")</f>
        <v/>
      </c>
      <c r="AD72" s="10" t="str">
        <f>IF(A72&lt;&gt;"",IF(AND(#REF!&lt;&gt;"",#REF!&lt;&gt;"",#REF!&lt;&gt;0),#REF!/#REF!*100,"NA"),"")</f>
        <v/>
      </c>
      <c r="AE72" s="10" t="str">
        <f>IF(A72&lt;&gt;"",IF(AND(#REF!&lt;&gt;"",#REF!&lt;&gt;"",#REF!&lt;&gt;0),#REF!/#REF!*100,"NA"),"")</f>
        <v/>
      </c>
      <c r="AF72" s="57" t="str">
        <f t="shared" si="11"/>
        <v/>
      </c>
      <c r="AG72" s="57" t="str">
        <f t="shared" si="12"/>
        <v/>
      </c>
      <c r="AH72" s="58" t="str">
        <f t="shared" si="13"/>
        <v/>
      </c>
      <c r="AV72" s="22" t="str">
        <f>IF(A72&lt;&gt;"",A72 &amp; "-" &amp;#REF! &amp; ROW(),"")</f>
        <v/>
      </c>
    </row>
    <row r="73" spans="11:48" x14ac:dyDescent="0.2">
      <c r="K73" s="11" t="str">
        <f>IF(AND(COUNTA(B73:C73)&gt;1,COUNTA(F73:G73)&gt;1,O73="Completed"),(G73-C73)/(C73-#REF!+1)%,"")</f>
        <v/>
      </c>
      <c r="L73" s="11" t="str">
        <f>IF(AND(COUNT(D73:E73)&gt;0,COUNTA(F73:G73)&gt;1,O73="Completed"),(G73-AG73)/(AG73-#REF!+1)%,"")</f>
        <v/>
      </c>
      <c r="M73" s="11" t="str">
        <f t="shared" si="14"/>
        <v/>
      </c>
      <c r="N73" s="11" t="str">
        <f t="shared" si="15"/>
        <v/>
      </c>
      <c r="O73" s="12"/>
      <c r="P73" s="12"/>
      <c r="R73" s="10" t="str">
        <f>IF(H73&lt;&gt;"",SUMIF(H$3:H73,"&lt;&gt;" &amp; "",H$3:H73),"")</f>
        <v/>
      </c>
      <c r="S73" s="10" t="str">
        <f t="array" ref="S73">IF(O73="Completed",SUMIF(W$3:W73,"&lt;&gt;" &amp; "",W$3:W73),"")</f>
        <v/>
      </c>
      <c r="T73" s="10" t="str">
        <f t="array" ref="T73">IF(AND(J73&lt;&gt;"",O73="Completed"),SUM(IF(O$3:O73="Completed",J$3:J73,0)),"")</f>
        <v/>
      </c>
      <c r="U73" s="10" t="str">
        <f t="shared" si="16"/>
        <v/>
      </c>
      <c r="V73" s="10">
        <f>ROW()</f>
        <v>73</v>
      </c>
      <c r="W73" s="10" t="str">
        <f t="shared" si="10"/>
        <v/>
      </c>
      <c r="Z73" s="10" t="str">
        <f>IF(A73&lt;&gt;"",'Metrics planning and tracking'!$K$4,"")</f>
        <v/>
      </c>
      <c r="AA73" s="10" t="str">
        <f>IF(A73&lt;&gt;"",'Metrics planning and tracking'!$K$5,"")</f>
        <v/>
      </c>
      <c r="AB73" s="10" t="str">
        <f>IF(A73&lt;&gt;"",'Metrics planning and tracking'!$K$2,"")</f>
        <v/>
      </c>
      <c r="AC73" s="10" t="str">
        <f>IF(A73&lt;&gt;"",'Metrics planning and tracking'!$K$3,"")</f>
        <v/>
      </c>
      <c r="AD73" s="10" t="str">
        <f>IF(A73&lt;&gt;"",IF(AND(#REF!&lt;&gt;"",#REF!&lt;&gt;"",#REF!&lt;&gt;0),#REF!/#REF!*100,"NA"),"")</f>
        <v/>
      </c>
      <c r="AE73" s="10" t="str">
        <f>IF(A73&lt;&gt;"",IF(AND(#REF!&lt;&gt;"",#REF!&lt;&gt;"",#REF!&lt;&gt;0),#REF!/#REF!*100,"NA"),"")</f>
        <v/>
      </c>
      <c r="AF73" s="57" t="str">
        <f t="shared" si="11"/>
        <v/>
      </c>
      <c r="AG73" s="57" t="str">
        <f t="shared" si="12"/>
        <v/>
      </c>
      <c r="AH73" s="58" t="str">
        <f t="shared" si="13"/>
        <v/>
      </c>
      <c r="AV73" s="22" t="str">
        <f>IF(A73&lt;&gt;"",A73 &amp; "-" &amp;#REF! &amp; ROW(),"")</f>
        <v/>
      </c>
    </row>
    <row r="74" spans="11:48" x14ac:dyDescent="0.2">
      <c r="K74" s="11" t="str">
        <f>IF(AND(COUNTA(B74:C74)&gt;1,COUNTA(F74:G74)&gt;1,O74="Completed"),(G74-C74)/(C74-#REF!+1)%,"")</f>
        <v/>
      </c>
      <c r="L74" s="11" t="str">
        <f>IF(AND(COUNT(D74:E74)&gt;0,COUNTA(F74:G74)&gt;1,O74="Completed"),(G74-AG74)/(AG74-#REF!+1)%,"")</f>
        <v/>
      </c>
      <c r="M74" s="11" t="str">
        <f t="shared" si="14"/>
        <v/>
      </c>
      <c r="N74" s="11" t="str">
        <f t="shared" si="15"/>
        <v/>
      </c>
      <c r="O74" s="12"/>
      <c r="P74" s="12"/>
      <c r="R74" s="10" t="str">
        <f>IF(H74&lt;&gt;"",SUMIF(H$3:H74,"&lt;&gt;" &amp; "",H$3:H74),"")</f>
        <v/>
      </c>
      <c r="S74" s="10" t="str">
        <f t="array" ref="S74">IF(O74="Completed",SUMIF(W$3:W74,"&lt;&gt;" &amp; "",W$3:W74),"")</f>
        <v/>
      </c>
      <c r="T74" s="10" t="str">
        <f t="array" ref="T74">IF(AND(J74&lt;&gt;"",O74="Completed"),SUM(IF(O$3:O74="Completed",J$3:J74,0)),"")</f>
        <v/>
      </c>
      <c r="U74" s="10" t="str">
        <f t="shared" si="16"/>
        <v/>
      </c>
      <c r="V74" s="10">
        <f>ROW()</f>
        <v>74</v>
      </c>
      <c r="W74" s="10" t="str">
        <f t="shared" si="10"/>
        <v/>
      </c>
      <c r="Z74" s="10" t="str">
        <f>IF(A74&lt;&gt;"",'Metrics planning and tracking'!$K$4,"")</f>
        <v/>
      </c>
      <c r="AA74" s="10" t="str">
        <f>IF(A74&lt;&gt;"",'Metrics planning and tracking'!$K$5,"")</f>
        <v/>
      </c>
      <c r="AB74" s="10" t="str">
        <f>IF(A74&lt;&gt;"",'Metrics planning and tracking'!$K$2,"")</f>
        <v/>
      </c>
      <c r="AC74" s="10" t="str">
        <f>IF(A74&lt;&gt;"",'Metrics planning and tracking'!$K$3,"")</f>
        <v/>
      </c>
      <c r="AD74" s="10" t="str">
        <f>IF(A74&lt;&gt;"",IF(AND(#REF!&lt;&gt;"",#REF!&lt;&gt;"",#REF!&lt;&gt;0),#REF!/#REF!*100,"NA"),"")</f>
        <v/>
      </c>
      <c r="AE74" s="10" t="str">
        <f>IF(A74&lt;&gt;"",IF(AND(#REF!&lt;&gt;"",#REF!&lt;&gt;"",#REF!&lt;&gt;0),#REF!/#REF!*100,"NA"),"")</f>
        <v/>
      </c>
      <c r="AF74" s="57" t="str">
        <f t="shared" si="11"/>
        <v/>
      </c>
      <c r="AG74" s="57" t="str">
        <f t="shared" si="12"/>
        <v/>
      </c>
      <c r="AH74" s="58" t="str">
        <f t="shared" si="13"/>
        <v/>
      </c>
      <c r="AV74" s="22" t="str">
        <f>IF(A74&lt;&gt;"",A74 &amp; "-" &amp;#REF! &amp; ROW(),"")</f>
        <v/>
      </c>
    </row>
    <row r="75" spans="11:48" x14ac:dyDescent="0.2">
      <c r="K75" s="11" t="str">
        <f>IF(AND(COUNTA(B75:C75)&gt;1,COUNTA(F75:G75)&gt;1,O75="Completed"),(G75-C75)/(C75-#REF!+1)%,"")</f>
        <v/>
      </c>
      <c r="L75" s="11" t="str">
        <f>IF(AND(COUNT(D75:E75)&gt;0,COUNTA(F75:G75)&gt;1,O75="Completed"),(G75-AG75)/(AG75-#REF!+1)%,"")</f>
        <v/>
      </c>
      <c r="M75" s="11" t="str">
        <f t="shared" si="14"/>
        <v/>
      </c>
      <c r="N75" s="11" t="str">
        <f t="shared" si="15"/>
        <v/>
      </c>
      <c r="O75" s="12"/>
      <c r="P75" s="12"/>
      <c r="R75" s="10" t="str">
        <f>IF(H75&lt;&gt;"",SUMIF(H$3:H75,"&lt;&gt;" &amp; "",H$3:H75),"")</f>
        <v/>
      </c>
      <c r="S75" s="10" t="str">
        <f t="array" ref="S75">IF(O75="Completed",SUMIF(W$3:W75,"&lt;&gt;" &amp; "",W$3:W75),"")</f>
        <v/>
      </c>
      <c r="T75" s="10" t="str">
        <f t="array" ref="T75">IF(AND(J75&lt;&gt;"",O75="Completed"),SUM(IF(O$3:O75="Completed",J$3:J75,0)),"")</f>
        <v/>
      </c>
      <c r="U75" s="10" t="str">
        <f t="shared" si="16"/>
        <v/>
      </c>
      <c r="V75" s="10">
        <f>ROW()</f>
        <v>75</v>
      </c>
      <c r="W75" s="10" t="str">
        <f t="shared" si="10"/>
        <v/>
      </c>
      <c r="Z75" s="10" t="str">
        <f>IF(A75&lt;&gt;"",'Metrics planning and tracking'!$K$4,"")</f>
        <v/>
      </c>
      <c r="AA75" s="10" t="str">
        <f>IF(A75&lt;&gt;"",'Metrics planning and tracking'!$K$5,"")</f>
        <v/>
      </c>
      <c r="AB75" s="10" t="str">
        <f>IF(A75&lt;&gt;"",'Metrics planning and tracking'!$K$2,"")</f>
        <v/>
      </c>
      <c r="AC75" s="10" t="str">
        <f>IF(A75&lt;&gt;"",'Metrics planning and tracking'!$K$3,"")</f>
        <v/>
      </c>
      <c r="AD75" s="10" t="str">
        <f>IF(A75&lt;&gt;"",IF(AND(#REF!&lt;&gt;"",#REF!&lt;&gt;"",#REF!&lt;&gt;0),#REF!/#REF!*100,"NA"),"")</f>
        <v/>
      </c>
      <c r="AE75" s="10" t="str">
        <f>IF(A75&lt;&gt;"",IF(AND(#REF!&lt;&gt;"",#REF!&lt;&gt;"",#REF!&lt;&gt;0),#REF!/#REF!*100,"NA"),"")</f>
        <v/>
      </c>
      <c r="AF75" s="57" t="str">
        <f t="shared" si="11"/>
        <v/>
      </c>
      <c r="AG75" s="57" t="str">
        <f t="shared" si="12"/>
        <v/>
      </c>
      <c r="AH75" s="58" t="str">
        <f t="shared" si="13"/>
        <v/>
      </c>
      <c r="AV75" s="22" t="str">
        <f>IF(A75&lt;&gt;"",A75 &amp; "-" &amp;#REF! &amp; ROW(),"")</f>
        <v/>
      </c>
    </row>
    <row r="76" spans="11:48" x14ac:dyDescent="0.2">
      <c r="K76" s="11" t="str">
        <f>IF(AND(COUNTA(B76:C76)&gt;1,COUNTA(F76:G76)&gt;1,O76="Completed"),(G76-C76)/(C76-#REF!+1)%,"")</f>
        <v/>
      </c>
      <c r="L76" s="11" t="str">
        <f>IF(AND(COUNT(D76:E76)&gt;0,COUNTA(F76:G76)&gt;1,O76="Completed"),(G76-AG76)/(AG76-#REF!+1)%,"")</f>
        <v/>
      </c>
      <c r="M76" s="11" t="str">
        <f t="shared" si="14"/>
        <v/>
      </c>
      <c r="N76" s="11" t="str">
        <f t="shared" si="15"/>
        <v/>
      </c>
      <c r="O76" s="12"/>
      <c r="P76" s="12"/>
      <c r="R76" s="10" t="str">
        <f>IF(H76&lt;&gt;"",SUMIF(H$3:H76,"&lt;&gt;" &amp; "",H$3:H76),"")</f>
        <v/>
      </c>
      <c r="S76" s="10" t="str">
        <f t="array" ref="S76">IF(O76="Completed",SUMIF(W$3:W76,"&lt;&gt;" &amp; "",W$3:W76),"")</f>
        <v/>
      </c>
      <c r="T76" s="10" t="str">
        <f t="array" ref="T76">IF(AND(J76&lt;&gt;"",O76="Completed"),SUM(IF(O$3:O76="Completed",J$3:J76,0)),"")</f>
        <v/>
      </c>
      <c r="U76" s="10" t="str">
        <f t="shared" si="16"/>
        <v/>
      </c>
      <c r="V76" s="10">
        <f>ROW()</f>
        <v>76</v>
      </c>
      <c r="W76" s="10" t="str">
        <f t="shared" si="10"/>
        <v/>
      </c>
      <c r="Z76" s="10" t="str">
        <f>IF(A76&lt;&gt;"",'Metrics planning and tracking'!$K$4,"")</f>
        <v/>
      </c>
      <c r="AA76" s="10" t="str">
        <f>IF(A76&lt;&gt;"",'Metrics planning and tracking'!$K$5,"")</f>
        <v/>
      </c>
      <c r="AB76" s="10" t="str">
        <f>IF(A76&lt;&gt;"",'Metrics planning and tracking'!$K$2,"")</f>
        <v/>
      </c>
      <c r="AC76" s="10" t="str">
        <f>IF(A76&lt;&gt;"",'Metrics planning and tracking'!$K$3,"")</f>
        <v/>
      </c>
      <c r="AD76" s="10" t="str">
        <f>IF(A76&lt;&gt;"",IF(AND(#REF!&lt;&gt;"",#REF!&lt;&gt;"",#REF!&lt;&gt;0),#REF!/#REF!*100,"NA"),"")</f>
        <v/>
      </c>
      <c r="AE76" s="10" t="str">
        <f>IF(A76&lt;&gt;"",IF(AND(#REF!&lt;&gt;"",#REF!&lt;&gt;"",#REF!&lt;&gt;0),#REF!/#REF!*100,"NA"),"")</f>
        <v/>
      </c>
      <c r="AF76" s="57" t="str">
        <f t="shared" si="11"/>
        <v/>
      </c>
      <c r="AG76" s="57" t="str">
        <f t="shared" si="12"/>
        <v/>
      </c>
      <c r="AH76" s="58" t="str">
        <f t="shared" si="13"/>
        <v/>
      </c>
      <c r="AV76" s="22" t="str">
        <f>IF(A76&lt;&gt;"",A76 &amp; "-" &amp;#REF! &amp; ROW(),"")</f>
        <v/>
      </c>
    </row>
    <row r="77" spans="11:48" x14ac:dyDescent="0.2">
      <c r="K77" s="11" t="str">
        <f>IF(AND(COUNTA(B77:C77)&gt;1,COUNTA(F77:G77)&gt;1,O77="Completed"),(G77-C77)/(C77-#REF!+1)%,"")</f>
        <v/>
      </c>
      <c r="L77" s="11" t="str">
        <f>IF(AND(COUNT(D77:E77)&gt;0,COUNTA(F77:G77)&gt;1,O77="Completed"),(G77-AG77)/(AG77-#REF!+1)%,"")</f>
        <v/>
      </c>
      <c r="M77" s="11" t="str">
        <f t="shared" si="14"/>
        <v/>
      </c>
      <c r="N77" s="11" t="str">
        <f t="shared" si="15"/>
        <v/>
      </c>
      <c r="O77" s="12"/>
      <c r="P77" s="12"/>
      <c r="R77" s="10" t="str">
        <f>IF(H77&lt;&gt;"",SUMIF(H$3:H77,"&lt;&gt;" &amp; "",H$3:H77),"")</f>
        <v/>
      </c>
      <c r="S77" s="10" t="str">
        <f t="array" ref="S77">IF(O77="Completed",SUMIF(W$3:W77,"&lt;&gt;" &amp; "",W$3:W77),"")</f>
        <v/>
      </c>
      <c r="T77" s="10" t="str">
        <f t="array" ref="T77">IF(AND(J77&lt;&gt;"",O77="Completed"),SUM(IF(O$3:O77="Completed",J$3:J77,0)),"")</f>
        <v/>
      </c>
      <c r="U77" s="10" t="str">
        <f t="shared" si="16"/>
        <v/>
      </c>
      <c r="V77" s="10">
        <f>ROW()</f>
        <v>77</v>
      </c>
      <c r="W77" s="10" t="str">
        <f t="shared" si="10"/>
        <v/>
      </c>
      <c r="Z77" s="10" t="str">
        <f>IF(A77&lt;&gt;"",'Metrics planning and tracking'!$K$4,"")</f>
        <v/>
      </c>
      <c r="AA77" s="10" t="str">
        <f>IF(A77&lt;&gt;"",'Metrics planning and tracking'!$K$5,"")</f>
        <v/>
      </c>
      <c r="AB77" s="10" t="str">
        <f>IF(A77&lt;&gt;"",'Metrics planning and tracking'!$K$2,"")</f>
        <v/>
      </c>
      <c r="AC77" s="10" t="str">
        <f>IF(A77&lt;&gt;"",'Metrics planning and tracking'!$K$3,"")</f>
        <v/>
      </c>
      <c r="AD77" s="10" t="str">
        <f>IF(A77&lt;&gt;"",IF(AND(#REF!&lt;&gt;"",#REF!&lt;&gt;"",#REF!&lt;&gt;0),#REF!/#REF!*100,"NA"),"")</f>
        <v/>
      </c>
      <c r="AE77" s="10" t="str">
        <f>IF(A77&lt;&gt;"",IF(AND(#REF!&lt;&gt;"",#REF!&lt;&gt;"",#REF!&lt;&gt;0),#REF!/#REF!*100,"NA"),"")</f>
        <v/>
      </c>
      <c r="AF77" s="57" t="str">
        <f t="shared" si="11"/>
        <v/>
      </c>
      <c r="AG77" s="57" t="str">
        <f t="shared" si="12"/>
        <v/>
      </c>
      <c r="AH77" s="58" t="str">
        <f t="shared" si="13"/>
        <v/>
      </c>
      <c r="AV77" s="22" t="str">
        <f>IF(A77&lt;&gt;"",A77 &amp; "-" &amp;#REF! &amp; ROW(),"")</f>
        <v/>
      </c>
    </row>
    <row r="78" spans="11:48" x14ac:dyDescent="0.2">
      <c r="K78" s="11" t="str">
        <f>IF(AND(COUNTA(B78:C78)&gt;1,COUNTA(F78:G78)&gt;1,O78="Completed"),(G78-C78)/(C78-#REF!+1)%,"")</f>
        <v/>
      </c>
      <c r="L78" s="11" t="str">
        <f>IF(AND(COUNT(D78:E78)&gt;0,COUNTA(F78:G78)&gt;1,O78="Completed"),(G78-AG78)/(AG78-#REF!+1)%,"")</f>
        <v/>
      </c>
      <c r="M78" s="11" t="str">
        <f t="shared" si="14"/>
        <v/>
      </c>
      <c r="N78" s="11" t="str">
        <f t="shared" si="15"/>
        <v/>
      </c>
      <c r="O78" s="12"/>
      <c r="P78" s="12"/>
      <c r="R78" s="10" t="str">
        <f>IF(H78&lt;&gt;"",SUMIF(H$3:H78,"&lt;&gt;" &amp; "",H$3:H78),"")</f>
        <v/>
      </c>
      <c r="S78" s="10" t="str">
        <f t="array" ref="S78">IF(O78="Completed",SUMIF(W$3:W78,"&lt;&gt;" &amp; "",W$3:W78),"")</f>
        <v/>
      </c>
      <c r="T78" s="10" t="str">
        <f t="array" ref="T78">IF(AND(J78&lt;&gt;"",O78="Completed"),SUM(IF(O$3:O78="Completed",J$3:J78,0)),"")</f>
        <v/>
      </c>
      <c r="U78" s="10" t="str">
        <f t="shared" si="16"/>
        <v/>
      </c>
      <c r="V78" s="10">
        <f>ROW()</f>
        <v>78</v>
      </c>
      <c r="W78" s="10" t="str">
        <f t="shared" si="10"/>
        <v/>
      </c>
      <c r="Z78" s="10" t="str">
        <f>IF(A78&lt;&gt;"",'Metrics planning and tracking'!$K$4,"")</f>
        <v/>
      </c>
      <c r="AA78" s="10" t="str">
        <f>IF(A78&lt;&gt;"",'Metrics planning and tracking'!$K$5,"")</f>
        <v/>
      </c>
      <c r="AB78" s="10" t="str">
        <f>IF(A78&lt;&gt;"",'Metrics planning and tracking'!$K$2,"")</f>
        <v/>
      </c>
      <c r="AC78" s="10" t="str">
        <f>IF(A78&lt;&gt;"",'Metrics planning and tracking'!$K$3,"")</f>
        <v/>
      </c>
      <c r="AD78" s="10" t="str">
        <f>IF(A78&lt;&gt;"",IF(AND(#REF!&lt;&gt;"",#REF!&lt;&gt;"",#REF!&lt;&gt;0),#REF!/#REF!*100,"NA"),"")</f>
        <v/>
      </c>
      <c r="AE78" s="10" t="str">
        <f>IF(A78&lt;&gt;"",IF(AND(#REF!&lt;&gt;"",#REF!&lt;&gt;"",#REF!&lt;&gt;0),#REF!/#REF!*100,"NA"),"")</f>
        <v/>
      </c>
      <c r="AF78" s="57" t="str">
        <f t="shared" si="11"/>
        <v/>
      </c>
      <c r="AG78" s="57" t="str">
        <f t="shared" si="12"/>
        <v/>
      </c>
      <c r="AH78" s="58" t="str">
        <f t="shared" si="13"/>
        <v/>
      </c>
      <c r="AV78" s="22" t="str">
        <f>IF(A78&lt;&gt;"",A78 &amp; "-" &amp;#REF! &amp; ROW(),"")</f>
        <v/>
      </c>
    </row>
    <row r="79" spans="11:48" x14ac:dyDescent="0.2">
      <c r="K79" s="11" t="str">
        <f>IF(AND(COUNTA(B79:C79)&gt;1,COUNTA(F79:G79)&gt;1,O79="Completed"),(G79-C79)/(C79-#REF!+1)%,"")</f>
        <v/>
      </c>
      <c r="L79" s="11" t="str">
        <f>IF(AND(COUNT(D79:E79)&gt;0,COUNTA(F79:G79)&gt;1,O79="Completed"),(G79-AG79)/(AG79-#REF!+1)%,"")</f>
        <v/>
      </c>
      <c r="M79" s="11" t="str">
        <f t="shared" si="14"/>
        <v/>
      </c>
      <c r="N79" s="11" t="str">
        <f t="shared" si="15"/>
        <v/>
      </c>
      <c r="O79" s="12"/>
      <c r="P79" s="12"/>
      <c r="R79" s="10" t="str">
        <f>IF(H79&lt;&gt;"",SUMIF(H$3:H79,"&lt;&gt;" &amp; "",H$3:H79),"")</f>
        <v/>
      </c>
      <c r="S79" s="10" t="str">
        <f t="array" ref="S79">IF(O79="Completed",SUMIF(W$3:W79,"&lt;&gt;" &amp; "",W$3:W79),"")</f>
        <v/>
      </c>
      <c r="T79" s="10" t="str">
        <f t="array" ref="T79">IF(AND(J79&lt;&gt;"",O79="Completed"),SUM(IF(O$3:O79="Completed",J$3:J79,0)),"")</f>
        <v/>
      </c>
      <c r="U79" s="10" t="str">
        <f t="shared" si="16"/>
        <v/>
      </c>
      <c r="V79" s="10">
        <f>ROW()</f>
        <v>79</v>
      </c>
      <c r="W79" s="10" t="str">
        <f t="shared" si="10"/>
        <v/>
      </c>
      <c r="Z79" s="10" t="str">
        <f>IF(A79&lt;&gt;"",'Metrics planning and tracking'!$K$4,"")</f>
        <v/>
      </c>
      <c r="AA79" s="10" t="str">
        <f>IF(A79&lt;&gt;"",'Metrics planning and tracking'!$K$5,"")</f>
        <v/>
      </c>
      <c r="AB79" s="10" t="str">
        <f>IF(A79&lt;&gt;"",'Metrics planning and tracking'!$K$2,"")</f>
        <v/>
      </c>
      <c r="AC79" s="10" t="str">
        <f>IF(A79&lt;&gt;"",'Metrics planning and tracking'!$K$3,"")</f>
        <v/>
      </c>
      <c r="AD79" s="10" t="str">
        <f>IF(A79&lt;&gt;"",IF(AND(#REF!&lt;&gt;"",#REF!&lt;&gt;"",#REF!&lt;&gt;0),#REF!/#REF!*100,"NA"),"")</f>
        <v/>
      </c>
      <c r="AE79" s="10" t="str">
        <f>IF(A79&lt;&gt;"",IF(AND(#REF!&lt;&gt;"",#REF!&lt;&gt;"",#REF!&lt;&gt;0),#REF!/#REF!*100,"NA"),"")</f>
        <v/>
      </c>
      <c r="AF79" s="57" t="str">
        <f t="shared" si="11"/>
        <v/>
      </c>
      <c r="AG79" s="57" t="str">
        <f t="shared" si="12"/>
        <v/>
      </c>
      <c r="AH79" s="58" t="str">
        <f t="shared" si="13"/>
        <v/>
      </c>
      <c r="AV79" s="22" t="str">
        <f>IF(A79&lt;&gt;"",A79 &amp; "-" &amp;#REF! &amp; ROW(),"")</f>
        <v/>
      </c>
    </row>
    <row r="80" spans="11:48" x14ac:dyDescent="0.2">
      <c r="K80" s="11" t="str">
        <f>IF(AND(COUNTA(B80:C80)&gt;1,COUNTA(F80:G80)&gt;1,O80="Completed"),(G80-C80)/(C80-#REF!+1)%,"")</f>
        <v/>
      </c>
      <c r="L80" s="11" t="str">
        <f>IF(AND(COUNT(D80:E80)&gt;0,COUNTA(F80:G80)&gt;1,O80="Completed"),(G80-AG80)/(AG80-#REF!+1)%,"")</f>
        <v/>
      </c>
      <c r="M80" s="11" t="str">
        <f t="shared" si="14"/>
        <v/>
      </c>
      <c r="N80" s="11" t="str">
        <f t="shared" si="15"/>
        <v/>
      </c>
      <c r="O80" s="12"/>
      <c r="P80" s="12"/>
      <c r="R80" s="10" t="str">
        <f>IF(H80&lt;&gt;"",SUMIF(H$3:H80,"&lt;&gt;" &amp; "",H$3:H80),"")</f>
        <v/>
      </c>
      <c r="S80" s="10" t="str">
        <f t="array" ref="S80">IF(O80="Completed",SUMIF(W$3:W80,"&lt;&gt;" &amp; "",W$3:W80),"")</f>
        <v/>
      </c>
      <c r="T80" s="10" t="str">
        <f t="array" ref="T80">IF(AND(J80&lt;&gt;"",O80="Completed"),SUM(IF(O$3:O80="Completed",J$3:J80,0)),"")</f>
        <v/>
      </c>
      <c r="U80" s="10" t="str">
        <f t="shared" si="16"/>
        <v/>
      </c>
      <c r="V80" s="10">
        <f>ROW()</f>
        <v>80</v>
      </c>
      <c r="W80" s="10" t="str">
        <f t="shared" si="10"/>
        <v/>
      </c>
      <c r="Z80" s="10" t="str">
        <f>IF(A80&lt;&gt;"",'Metrics planning and tracking'!$K$4,"")</f>
        <v/>
      </c>
      <c r="AA80" s="10" t="str">
        <f>IF(A80&lt;&gt;"",'Metrics planning and tracking'!$K$5,"")</f>
        <v/>
      </c>
      <c r="AB80" s="10" t="str">
        <f>IF(A80&lt;&gt;"",'Metrics planning and tracking'!$K$2,"")</f>
        <v/>
      </c>
      <c r="AC80" s="10" t="str">
        <f>IF(A80&lt;&gt;"",'Metrics planning and tracking'!$K$3,"")</f>
        <v/>
      </c>
      <c r="AD80" s="10" t="str">
        <f>IF(A80&lt;&gt;"",IF(AND(#REF!&lt;&gt;"",#REF!&lt;&gt;"",#REF!&lt;&gt;0),#REF!/#REF!*100,"NA"),"")</f>
        <v/>
      </c>
      <c r="AE80" s="10" t="str">
        <f>IF(A80&lt;&gt;"",IF(AND(#REF!&lt;&gt;"",#REF!&lt;&gt;"",#REF!&lt;&gt;0),#REF!/#REF!*100,"NA"),"")</f>
        <v/>
      </c>
      <c r="AF80" s="57" t="str">
        <f t="shared" si="11"/>
        <v/>
      </c>
      <c r="AG80" s="57" t="str">
        <f t="shared" si="12"/>
        <v/>
      </c>
      <c r="AH80" s="58" t="str">
        <f t="shared" si="13"/>
        <v/>
      </c>
      <c r="AV80" s="22" t="str">
        <f>IF(A80&lt;&gt;"",A80 &amp; "-" &amp;#REF! &amp; ROW(),"")</f>
        <v/>
      </c>
    </row>
    <row r="81" spans="11:48" x14ac:dyDescent="0.2">
      <c r="K81" s="11" t="str">
        <f>IF(AND(COUNTA(B81:C81)&gt;1,COUNTA(F81:G81)&gt;1,O81="Completed"),(G81-C81)/(C81-#REF!+1)%,"")</f>
        <v/>
      </c>
      <c r="L81" s="11" t="str">
        <f>IF(AND(COUNT(D81:E81)&gt;0,COUNTA(F81:G81)&gt;1,O81="Completed"),(G81-AG81)/(AG81-#REF!+1)%,"")</f>
        <v/>
      </c>
      <c r="M81" s="11" t="str">
        <f t="shared" si="14"/>
        <v/>
      </c>
      <c r="N81" s="11" t="str">
        <f t="shared" si="15"/>
        <v/>
      </c>
      <c r="O81" s="12"/>
      <c r="P81" s="12"/>
      <c r="R81" s="10" t="str">
        <f>IF(H81&lt;&gt;"",SUMIF(H$3:H81,"&lt;&gt;" &amp; "",H$3:H81),"")</f>
        <v/>
      </c>
      <c r="S81" s="10" t="str">
        <f t="array" ref="S81">IF(O81="Completed",SUMIF(W$3:W81,"&lt;&gt;" &amp; "",W$3:W81),"")</f>
        <v/>
      </c>
      <c r="T81" s="10" t="str">
        <f t="array" ref="T81">IF(AND(J81&lt;&gt;"",O81="Completed"),SUM(IF(O$3:O81="Completed",J$3:J81,0)),"")</f>
        <v/>
      </c>
      <c r="U81" s="10" t="str">
        <f t="shared" si="16"/>
        <v/>
      </c>
      <c r="V81" s="10">
        <f>ROW()</f>
        <v>81</v>
      </c>
      <c r="W81" s="10" t="str">
        <f t="shared" si="10"/>
        <v/>
      </c>
      <c r="Z81" s="10" t="str">
        <f>IF(A81&lt;&gt;"",'Metrics planning and tracking'!$K$4,"")</f>
        <v/>
      </c>
      <c r="AA81" s="10" t="str">
        <f>IF(A81&lt;&gt;"",'Metrics planning and tracking'!$K$5,"")</f>
        <v/>
      </c>
      <c r="AB81" s="10" t="str">
        <f>IF(A81&lt;&gt;"",'Metrics planning and tracking'!$K$2,"")</f>
        <v/>
      </c>
      <c r="AC81" s="10" t="str">
        <f>IF(A81&lt;&gt;"",'Metrics planning and tracking'!$K$3,"")</f>
        <v/>
      </c>
      <c r="AD81" s="10" t="str">
        <f>IF(A81&lt;&gt;"",IF(AND(#REF!&lt;&gt;"",#REF!&lt;&gt;"",#REF!&lt;&gt;0),#REF!/#REF!*100,"NA"),"")</f>
        <v/>
      </c>
      <c r="AE81" s="10" t="str">
        <f>IF(A81&lt;&gt;"",IF(AND(#REF!&lt;&gt;"",#REF!&lt;&gt;"",#REF!&lt;&gt;0),#REF!/#REF!*100,"NA"),"")</f>
        <v/>
      </c>
      <c r="AF81" s="57" t="str">
        <f t="shared" si="11"/>
        <v/>
      </c>
      <c r="AG81" s="57" t="str">
        <f t="shared" si="12"/>
        <v/>
      </c>
      <c r="AH81" s="58" t="str">
        <f t="shared" si="13"/>
        <v/>
      </c>
      <c r="AV81" s="22" t="str">
        <f>IF(A81&lt;&gt;"",A81 &amp; "-" &amp;#REF! &amp; ROW(),"")</f>
        <v/>
      </c>
    </row>
    <row r="82" spans="11:48" x14ac:dyDescent="0.2">
      <c r="K82" s="11" t="str">
        <f>IF(AND(COUNTA(B82:C82)&gt;1,COUNTA(F82:G82)&gt;1,O82="Completed"),(G82-C82)/(C82-#REF!+1)%,"")</f>
        <v/>
      </c>
      <c r="L82" s="11" t="str">
        <f>IF(AND(COUNT(D82:E82)&gt;0,COUNTA(F82:G82)&gt;1,O82="Completed"),(G82-AG82)/(AG82-#REF!+1)%,"")</f>
        <v/>
      </c>
      <c r="M82" s="11" t="str">
        <f t="shared" si="14"/>
        <v/>
      </c>
      <c r="N82" s="11" t="str">
        <f t="shared" si="15"/>
        <v/>
      </c>
      <c r="O82" s="12"/>
      <c r="P82" s="12"/>
      <c r="R82" s="10" t="str">
        <f>IF(H82&lt;&gt;"",SUMIF(H$3:H82,"&lt;&gt;" &amp; "",H$3:H82),"")</f>
        <v/>
      </c>
      <c r="S82" s="10" t="str">
        <f t="array" ref="S82">IF(O82="Completed",SUMIF(W$3:W82,"&lt;&gt;" &amp; "",W$3:W82),"")</f>
        <v/>
      </c>
      <c r="T82" s="10" t="str">
        <f t="array" ref="T82">IF(AND(J82&lt;&gt;"",O82="Completed"),SUM(IF(O$3:O82="Completed",J$3:J82,0)),"")</f>
        <v/>
      </c>
      <c r="U82" s="10" t="str">
        <f t="shared" si="16"/>
        <v/>
      </c>
      <c r="V82" s="10">
        <f>ROW()</f>
        <v>82</v>
      </c>
      <c r="W82" s="10" t="str">
        <f t="shared" si="10"/>
        <v/>
      </c>
      <c r="Z82" s="10" t="str">
        <f>IF(A82&lt;&gt;"",'Metrics planning and tracking'!$K$4,"")</f>
        <v/>
      </c>
      <c r="AA82" s="10" t="str">
        <f>IF(A82&lt;&gt;"",'Metrics planning and tracking'!$K$5,"")</f>
        <v/>
      </c>
      <c r="AB82" s="10" t="str">
        <f>IF(A82&lt;&gt;"",'Metrics planning and tracking'!$K$2,"")</f>
        <v/>
      </c>
      <c r="AC82" s="10" t="str">
        <f>IF(A82&lt;&gt;"",'Metrics planning and tracking'!$K$3,"")</f>
        <v/>
      </c>
      <c r="AD82" s="10" t="str">
        <f>IF(A82&lt;&gt;"",IF(AND(#REF!&lt;&gt;"",#REF!&lt;&gt;"",#REF!&lt;&gt;0),#REF!/#REF!*100,"NA"),"")</f>
        <v/>
      </c>
      <c r="AE82" s="10" t="str">
        <f>IF(A82&lt;&gt;"",IF(AND(#REF!&lt;&gt;"",#REF!&lt;&gt;"",#REF!&lt;&gt;0),#REF!/#REF!*100,"NA"),"")</f>
        <v/>
      </c>
      <c r="AF82" s="57" t="str">
        <f t="shared" si="11"/>
        <v/>
      </c>
      <c r="AG82" s="57" t="str">
        <f t="shared" si="12"/>
        <v/>
      </c>
      <c r="AH82" s="58" t="str">
        <f t="shared" si="13"/>
        <v/>
      </c>
      <c r="AV82" s="22" t="str">
        <f>IF(A82&lt;&gt;"",A82 &amp; "-" &amp;#REF! &amp; ROW(),"")</f>
        <v/>
      </c>
    </row>
    <row r="83" spans="11:48" x14ac:dyDescent="0.2">
      <c r="K83" s="11" t="str">
        <f>IF(AND(COUNTA(B83:C83)&gt;1,COUNTA(F83:G83)&gt;1,O83="Completed"),(G83-C83)/(C83-#REF!+1)%,"")</f>
        <v/>
      </c>
      <c r="L83" s="11" t="str">
        <f>IF(AND(COUNT(D83:E83)&gt;0,COUNTA(F83:G83)&gt;1,O83="Completed"),(G83-AG83)/(AG83-#REF!+1)%,"")</f>
        <v/>
      </c>
      <c r="M83" s="11" t="str">
        <f t="shared" si="14"/>
        <v/>
      </c>
      <c r="N83" s="11" t="str">
        <f t="shared" si="15"/>
        <v/>
      </c>
      <c r="O83" s="12"/>
      <c r="P83" s="12"/>
      <c r="R83" s="10" t="str">
        <f>IF(H83&lt;&gt;"",SUMIF(H$3:H83,"&lt;&gt;" &amp; "",H$3:H83),"")</f>
        <v/>
      </c>
      <c r="S83" s="10" t="str">
        <f t="array" ref="S83">IF(O83="Completed",SUMIF(W$3:W83,"&lt;&gt;" &amp; "",W$3:W83),"")</f>
        <v/>
      </c>
      <c r="T83" s="10" t="str">
        <f t="array" ref="T83">IF(AND(J83&lt;&gt;"",O83="Completed"),SUM(IF(O$3:O83="Completed",J$3:J83,0)),"")</f>
        <v/>
      </c>
      <c r="U83" s="10" t="str">
        <f t="shared" si="16"/>
        <v/>
      </c>
      <c r="V83" s="10">
        <f>ROW()</f>
        <v>83</v>
      </c>
      <c r="W83" s="10" t="str">
        <f t="shared" si="10"/>
        <v/>
      </c>
      <c r="Z83" s="10" t="str">
        <f>IF(A83&lt;&gt;"",'Metrics planning and tracking'!$K$4,"")</f>
        <v/>
      </c>
      <c r="AA83" s="10" t="str">
        <f>IF(A83&lt;&gt;"",'Metrics planning and tracking'!$K$5,"")</f>
        <v/>
      </c>
      <c r="AB83" s="10" t="str">
        <f>IF(A83&lt;&gt;"",'Metrics planning and tracking'!$K$2,"")</f>
        <v/>
      </c>
      <c r="AC83" s="10" t="str">
        <f>IF(A83&lt;&gt;"",'Metrics planning and tracking'!$K$3,"")</f>
        <v/>
      </c>
      <c r="AD83" s="10" t="str">
        <f>IF(A83&lt;&gt;"",IF(AND(#REF!&lt;&gt;"",#REF!&lt;&gt;"",#REF!&lt;&gt;0),#REF!/#REF!*100,"NA"),"")</f>
        <v/>
      </c>
      <c r="AE83" s="10" t="str">
        <f>IF(A83&lt;&gt;"",IF(AND(#REF!&lt;&gt;"",#REF!&lt;&gt;"",#REF!&lt;&gt;0),#REF!/#REF!*100,"NA"),"")</f>
        <v/>
      </c>
      <c r="AF83" s="57" t="str">
        <f t="shared" si="11"/>
        <v/>
      </c>
      <c r="AG83" s="57" t="str">
        <f t="shared" si="12"/>
        <v/>
      </c>
      <c r="AH83" s="58" t="str">
        <f t="shared" si="13"/>
        <v/>
      </c>
      <c r="AV83" s="22" t="str">
        <f>IF(A83&lt;&gt;"",A83 &amp; "-" &amp;#REF! &amp; ROW(),"")</f>
        <v/>
      </c>
    </row>
    <row r="84" spans="11:48" x14ac:dyDescent="0.2">
      <c r="K84" s="11" t="str">
        <f>IF(AND(COUNTA(B84:C84)&gt;1,COUNTA(F84:G84)&gt;1,O84="Completed"),(G84-C84)/(C84-#REF!+1)%,"")</f>
        <v/>
      </c>
      <c r="L84" s="11" t="str">
        <f>IF(AND(COUNT(D84:E84)&gt;0,COUNTA(F84:G84)&gt;1,O84="Completed"),(G84-AG84)/(AG84-#REF!+1)%,"")</f>
        <v/>
      </c>
      <c r="M84" s="11" t="str">
        <f t="shared" si="14"/>
        <v/>
      </c>
      <c r="N84" s="11" t="str">
        <f t="shared" si="15"/>
        <v/>
      </c>
      <c r="O84" s="12"/>
      <c r="P84" s="12"/>
      <c r="R84" s="10" t="str">
        <f>IF(H84&lt;&gt;"",SUMIF(H$3:H84,"&lt;&gt;" &amp; "",H$3:H84),"")</f>
        <v/>
      </c>
      <c r="S84" s="10" t="str">
        <f t="array" ref="S84">IF(O84="Completed",SUMIF(W$3:W84,"&lt;&gt;" &amp; "",W$3:W84),"")</f>
        <v/>
      </c>
      <c r="T84" s="10" t="str">
        <f t="array" ref="T84">IF(AND(J84&lt;&gt;"",O84="Completed"),SUM(IF(O$3:O84="Completed",J$3:J84,0)),"")</f>
        <v/>
      </c>
      <c r="U84" s="10" t="str">
        <f t="shared" si="16"/>
        <v/>
      </c>
      <c r="V84" s="10">
        <f>ROW()</f>
        <v>84</v>
      </c>
      <c r="W84" s="10" t="str">
        <f t="shared" si="10"/>
        <v/>
      </c>
      <c r="Z84" s="10" t="str">
        <f>IF(A84&lt;&gt;"",'Metrics planning and tracking'!$K$4,"")</f>
        <v/>
      </c>
      <c r="AA84" s="10" t="str">
        <f>IF(A84&lt;&gt;"",'Metrics planning and tracking'!$K$5,"")</f>
        <v/>
      </c>
      <c r="AB84" s="10" t="str">
        <f>IF(A84&lt;&gt;"",'Metrics planning and tracking'!$K$2,"")</f>
        <v/>
      </c>
      <c r="AC84" s="10" t="str">
        <f>IF(A84&lt;&gt;"",'Metrics planning and tracking'!$K$3,"")</f>
        <v/>
      </c>
      <c r="AD84" s="10" t="str">
        <f>IF(A84&lt;&gt;"",IF(AND(#REF!&lt;&gt;"",#REF!&lt;&gt;"",#REF!&lt;&gt;0),#REF!/#REF!*100,"NA"),"")</f>
        <v/>
      </c>
      <c r="AE84" s="10" t="str">
        <f>IF(A84&lt;&gt;"",IF(AND(#REF!&lt;&gt;"",#REF!&lt;&gt;"",#REF!&lt;&gt;0),#REF!/#REF!*100,"NA"),"")</f>
        <v/>
      </c>
      <c r="AF84" s="57" t="str">
        <f t="shared" si="11"/>
        <v/>
      </c>
      <c r="AG84" s="57" t="str">
        <f t="shared" si="12"/>
        <v/>
      </c>
      <c r="AH84" s="58" t="str">
        <f t="shared" si="13"/>
        <v/>
      </c>
      <c r="AV84" s="22" t="str">
        <f>IF(A84&lt;&gt;"",A84 &amp; "-" &amp;#REF! &amp; ROW(),"")</f>
        <v/>
      </c>
    </row>
    <row r="85" spans="11:48" x14ac:dyDescent="0.2">
      <c r="K85" s="11" t="str">
        <f>IF(AND(COUNTA(B85:C85)&gt;1,COUNTA(F85:G85)&gt;1,O85="Completed"),(G85-C85)/(C85-#REF!+1)%,"")</f>
        <v/>
      </c>
      <c r="L85" s="11" t="str">
        <f>IF(AND(COUNT(D85:E85)&gt;0,COUNTA(F85:G85)&gt;1,O85="Completed"),(G85-AG85)/(AG85-#REF!+1)%,"")</f>
        <v/>
      </c>
      <c r="M85" s="11" t="str">
        <f t="shared" si="14"/>
        <v/>
      </c>
      <c r="N85" s="11" t="str">
        <f t="shared" si="15"/>
        <v/>
      </c>
      <c r="O85" s="12"/>
      <c r="P85" s="12"/>
      <c r="R85" s="10" t="str">
        <f>IF(H85&lt;&gt;"",SUMIF(H$3:H85,"&lt;&gt;" &amp; "",H$3:H85),"")</f>
        <v/>
      </c>
      <c r="S85" s="10" t="str">
        <f t="array" ref="S85">IF(O85="Completed",SUMIF(W$3:W85,"&lt;&gt;" &amp; "",W$3:W85),"")</f>
        <v/>
      </c>
      <c r="T85" s="10" t="str">
        <f t="array" ref="T85">IF(AND(J85&lt;&gt;"",O85="Completed"),SUM(IF(O$3:O85="Completed",J$3:J85,0)),"")</f>
        <v/>
      </c>
      <c r="U85" s="10" t="str">
        <f t="shared" si="16"/>
        <v/>
      </c>
      <c r="V85" s="10">
        <f>ROW()</f>
        <v>85</v>
      </c>
      <c r="W85" s="10" t="str">
        <f t="shared" si="10"/>
        <v/>
      </c>
      <c r="Z85" s="10" t="str">
        <f>IF(A85&lt;&gt;"",'Metrics planning and tracking'!$K$4,"")</f>
        <v/>
      </c>
      <c r="AA85" s="10" t="str">
        <f>IF(A85&lt;&gt;"",'Metrics planning and tracking'!$K$5,"")</f>
        <v/>
      </c>
      <c r="AB85" s="10" t="str">
        <f>IF(A85&lt;&gt;"",'Metrics planning and tracking'!$K$2,"")</f>
        <v/>
      </c>
      <c r="AC85" s="10" t="str">
        <f>IF(A85&lt;&gt;"",'Metrics planning and tracking'!$K$3,"")</f>
        <v/>
      </c>
      <c r="AD85" s="10" t="str">
        <f>IF(A85&lt;&gt;"",IF(AND(#REF!&lt;&gt;"",#REF!&lt;&gt;"",#REF!&lt;&gt;0),#REF!/#REF!*100,"NA"),"")</f>
        <v/>
      </c>
      <c r="AE85" s="10" t="str">
        <f>IF(A85&lt;&gt;"",IF(AND(#REF!&lt;&gt;"",#REF!&lt;&gt;"",#REF!&lt;&gt;0),#REF!/#REF!*100,"NA"),"")</f>
        <v/>
      </c>
      <c r="AF85" s="57" t="str">
        <f t="shared" si="11"/>
        <v/>
      </c>
      <c r="AG85" s="57" t="str">
        <f t="shared" si="12"/>
        <v/>
      </c>
      <c r="AH85" s="58" t="str">
        <f t="shared" si="13"/>
        <v/>
      </c>
      <c r="AV85" s="22" t="str">
        <f>IF(A85&lt;&gt;"",A85 &amp; "-" &amp;#REF! &amp; ROW(),"")</f>
        <v/>
      </c>
    </row>
    <row r="86" spans="11:48" x14ac:dyDescent="0.2">
      <c r="K86" s="11" t="str">
        <f>IF(AND(COUNTA(B86:C86)&gt;1,COUNTA(F86:G86)&gt;1,O86="Completed"),(G86-C86)/(C86-#REF!+1)%,"")</f>
        <v/>
      </c>
      <c r="L86" s="11" t="str">
        <f>IF(AND(COUNT(D86:E86)&gt;0,COUNTA(F86:G86)&gt;1,O86="Completed"),(G86-AG86)/(AG86-#REF!+1)%,"")</f>
        <v/>
      </c>
      <c r="M86" s="11" t="str">
        <f t="shared" ref="M86:M149" si="17">IF(AND(T86&lt;&gt;"",T86&lt;&gt;0,R86&lt;&gt;"",R86&lt;&gt;0),(T86-R86)/R86%,IF(AND(H86&lt;&gt;"",H86&lt;&gt;0,OR(J86="",J86=0)),"Actual Effort reqd.",""))</f>
        <v/>
      </c>
      <c r="N86" s="11" t="str">
        <f t="shared" ref="N86:N149" si="18">IF(AND(T86&lt;&gt;"",T86&lt;&gt;0,S86&lt;&gt;"",S86&lt;&gt;0),(T86-S86)/S86%,IF(AND(I86&lt;&gt;"",I86&lt;&gt;0,OR(J86="",J86=0)),"Actual Effort reqd.",""))</f>
        <v/>
      </c>
      <c r="O86" s="12"/>
      <c r="P86" s="12"/>
      <c r="R86" s="10" t="str">
        <f>IF(H86&lt;&gt;"",SUMIF(H$3:H86,"&lt;&gt;" &amp; "",H$3:H86),"")</f>
        <v/>
      </c>
      <c r="S86" s="10" t="str">
        <f t="array" ref="S86">IF(O86="Completed",SUMIF(W$3:W86,"&lt;&gt;" &amp; "",W$3:W86),"")</f>
        <v/>
      </c>
      <c r="T86" s="10" t="str">
        <f t="array" ref="T86">IF(AND(J86&lt;&gt;"",O86="Completed"),SUM(IF(O$3:O86="Completed",J$3:J86,0)),"")</f>
        <v/>
      </c>
      <c r="U86" s="10" t="str">
        <f t="shared" si="16"/>
        <v/>
      </c>
      <c r="V86" s="10">
        <f>ROW()</f>
        <v>86</v>
      </c>
      <c r="W86" s="10" t="str">
        <f t="shared" ref="W86:W149" si="19">IF(O86="Completed",IF(COUNT($I$3:$I$596)&gt;0,IF(I86&lt;&gt;"",I86,H86),""),"")</f>
        <v/>
      </c>
      <c r="Z86" s="10" t="str">
        <f>IF(A86&lt;&gt;"",'Metrics planning and tracking'!$K$4,"")</f>
        <v/>
      </c>
      <c r="AA86" s="10" t="str">
        <f>IF(A86&lt;&gt;"",'Metrics planning and tracking'!$K$5,"")</f>
        <v/>
      </c>
      <c r="AB86" s="10" t="str">
        <f>IF(A86&lt;&gt;"",'Metrics planning and tracking'!$K$2,"")</f>
        <v/>
      </c>
      <c r="AC86" s="10" t="str">
        <f>IF(A86&lt;&gt;"",'Metrics planning and tracking'!$K$3,"")</f>
        <v/>
      </c>
      <c r="AD86" s="10" t="str">
        <f>IF(A86&lt;&gt;"",IF(AND(#REF!&lt;&gt;"",#REF!&lt;&gt;"",#REF!&lt;&gt;0),#REF!/#REF!*100,"NA"),"")</f>
        <v/>
      </c>
      <c r="AE86" s="10" t="str">
        <f>IF(A86&lt;&gt;"",IF(AND(#REF!&lt;&gt;"",#REF!&lt;&gt;"",#REF!&lt;&gt;0),#REF!/#REF!*100,"NA"),"")</f>
        <v/>
      </c>
      <c r="AF86" s="57" t="str">
        <f t="shared" ref="AF86:AF149" si="20">IF($O86="Completed",IF(D86&lt;&gt;"",D86,IF(B86&lt;&gt;"",B86,"")),"")</f>
        <v/>
      </c>
      <c r="AG86" s="57" t="str">
        <f t="shared" ref="AG86:AG149" si="21">IF($O86="Completed",IF(E86&lt;&gt;"",E86,IF(C86&lt;&gt;"",C86,"")),"")</f>
        <v/>
      </c>
      <c r="AH86" s="58" t="str">
        <f t="shared" ref="AH86:AH149" si="22">IF(O86="Completed",IF(L86&lt;&gt;"",L86,IF(K86&lt;&gt;"",K86,"")),"")</f>
        <v/>
      </c>
      <c r="AV86" s="22" t="str">
        <f>IF(A86&lt;&gt;"",A86 &amp; "-" &amp;#REF! &amp; ROW(),"")</f>
        <v/>
      </c>
    </row>
    <row r="87" spans="11:48" x14ac:dyDescent="0.2">
      <c r="K87" s="11" t="str">
        <f>IF(AND(COUNTA(B87:C87)&gt;1,COUNTA(F87:G87)&gt;1,O87="Completed"),(G87-C87)/(C87-#REF!+1)%,"")</f>
        <v/>
      </c>
      <c r="L87" s="11" t="str">
        <f>IF(AND(COUNT(D87:E87)&gt;0,COUNTA(F87:G87)&gt;1,O87="Completed"),(G87-AG87)/(AG87-#REF!+1)%,"")</f>
        <v/>
      </c>
      <c r="M87" s="11" t="str">
        <f t="shared" si="17"/>
        <v/>
      </c>
      <c r="N87" s="11" t="str">
        <f t="shared" si="18"/>
        <v/>
      </c>
      <c r="O87" s="12"/>
      <c r="P87" s="12"/>
      <c r="R87" s="10" t="str">
        <f>IF(H87&lt;&gt;"",SUMIF(H$3:H87,"&lt;&gt;" &amp; "",H$3:H87),"")</f>
        <v/>
      </c>
      <c r="S87" s="10" t="str">
        <f t="array" ref="S87">IF(O87="Completed",SUMIF(W$3:W87,"&lt;&gt;" &amp; "",W$3:W87),"")</f>
        <v/>
      </c>
      <c r="T87" s="10" t="str">
        <f t="array" ref="T87">IF(AND(J87&lt;&gt;"",O87="Completed"),SUM(IF(O$3:O87="Completed",J$3:J87,0)),"")</f>
        <v/>
      </c>
      <c r="U87" s="10" t="str">
        <f t="shared" si="16"/>
        <v/>
      </c>
      <c r="V87" s="10">
        <f>ROW()</f>
        <v>87</v>
      </c>
      <c r="W87" s="10" t="str">
        <f t="shared" si="19"/>
        <v/>
      </c>
      <c r="Z87" s="10" t="str">
        <f>IF(A87&lt;&gt;"",'Metrics planning and tracking'!$K$4,"")</f>
        <v/>
      </c>
      <c r="AA87" s="10" t="str">
        <f>IF(A87&lt;&gt;"",'Metrics planning and tracking'!$K$5,"")</f>
        <v/>
      </c>
      <c r="AB87" s="10" t="str">
        <f>IF(A87&lt;&gt;"",'Metrics planning and tracking'!$K$2,"")</f>
        <v/>
      </c>
      <c r="AC87" s="10" t="str">
        <f>IF(A87&lt;&gt;"",'Metrics planning and tracking'!$K$3,"")</f>
        <v/>
      </c>
      <c r="AD87" s="10" t="str">
        <f>IF(A87&lt;&gt;"",IF(AND(#REF!&lt;&gt;"",#REF!&lt;&gt;"",#REF!&lt;&gt;0),#REF!/#REF!*100,"NA"),"")</f>
        <v/>
      </c>
      <c r="AE87" s="10" t="str">
        <f>IF(A87&lt;&gt;"",IF(AND(#REF!&lt;&gt;"",#REF!&lt;&gt;"",#REF!&lt;&gt;0),#REF!/#REF!*100,"NA"),"")</f>
        <v/>
      </c>
      <c r="AF87" s="57" t="str">
        <f t="shared" si="20"/>
        <v/>
      </c>
      <c r="AG87" s="57" t="str">
        <f t="shared" si="21"/>
        <v/>
      </c>
      <c r="AH87" s="58" t="str">
        <f t="shared" si="22"/>
        <v/>
      </c>
      <c r="AV87" s="22" t="str">
        <f>IF(A87&lt;&gt;"",A87 &amp; "-" &amp;#REF! &amp; ROW(),"")</f>
        <v/>
      </c>
    </row>
    <row r="88" spans="11:48" x14ac:dyDescent="0.2">
      <c r="K88" s="11" t="str">
        <f>IF(AND(COUNTA(B88:C88)&gt;1,COUNTA(F88:G88)&gt;1,O88="Completed"),(G88-C88)/(C88-#REF!+1)%,"")</f>
        <v/>
      </c>
      <c r="L88" s="11" t="str">
        <f>IF(AND(COUNT(D88:E88)&gt;0,COUNTA(F88:G88)&gt;1,O88="Completed"),(G88-AG88)/(AG88-#REF!+1)%,"")</f>
        <v/>
      </c>
      <c r="M88" s="11" t="str">
        <f t="shared" si="17"/>
        <v/>
      </c>
      <c r="N88" s="11" t="str">
        <f t="shared" si="18"/>
        <v/>
      </c>
      <c r="O88" s="12"/>
      <c r="P88" s="12"/>
      <c r="R88" s="10" t="str">
        <f>IF(H88&lt;&gt;"",SUMIF(H$3:H88,"&lt;&gt;" &amp; "",H$3:H88),"")</f>
        <v/>
      </c>
      <c r="S88" s="10" t="str">
        <f t="array" ref="S88">IF(O88="Completed",SUMIF(W$3:W88,"&lt;&gt;" &amp; "",W$3:W88),"")</f>
        <v/>
      </c>
      <c r="T88" s="10" t="str">
        <f t="array" ref="T88">IF(AND(J88&lt;&gt;"",O88="Completed"),SUM(IF(O$3:O88="Completed",J$3:J88,0)),"")</f>
        <v/>
      </c>
      <c r="U88" s="10" t="str">
        <f t="shared" si="16"/>
        <v/>
      </c>
      <c r="V88" s="10">
        <f>ROW()</f>
        <v>88</v>
      </c>
      <c r="W88" s="10" t="str">
        <f t="shared" si="19"/>
        <v/>
      </c>
      <c r="Z88" s="10" t="str">
        <f>IF(A88&lt;&gt;"",'Metrics planning and tracking'!$K$4,"")</f>
        <v/>
      </c>
      <c r="AA88" s="10" t="str">
        <f>IF(A88&lt;&gt;"",'Metrics planning and tracking'!$K$5,"")</f>
        <v/>
      </c>
      <c r="AB88" s="10" t="str">
        <f>IF(A88&lt;&gt;"",'Metrics planning and tracking'!$K$2,"")</f>
        <v/>
      </c>
      <c r="AC88" s="10" t="str">
        <f>IF(A88&lt;&gt;"",'Metrics planning and tracking'!$K$3,"")</f>
        <v/>
      </c>
      <c r="AD88" s="10" t="str">
        <f>IF(A88&lt;&gt;"",IF(AND(#REF!&lt;&gt;"",#REF!&lt;&gt;"",#REF!&lt;&gt;0),#REF!/#REF!*100,"NA"),"")</f>
        <v/>
      </c>
      <c r="AE88" s="10" t="str">
        <f>IF(A88&lt;&gt;"",IF(AND(#REF!&lt;&gt;"",#REF!&lt;&gt;"",#REF!&lt;&gt;0),#REF!/#REF!*100,"NA"),"")</f>
        <v/>
      </c>
      <c r="AF88" s="57" t="str">
        <f t="shared" si="20"/>
        <v/>
      </c>
      <c r="AG88" s="57" t="str">
        <f t="shared" si="21"/>
        <v/>
      </c>
      <c r="AH88" s="58" t="str">
        <f t="shared" si="22"/>
        <v/>
      </c>
      <c r="AV88" s="22" t="str">
        <f>IF(A88&lt;&gt;"",A88 &amp; "-" &amp;#REF! &amp; ROW(),"")</f>
        <v/>
      </c>
    </row>
    <row r="89" spans="11:48" x14ac:dyDescent="0.2">
      <c r="K89" s="11" t="str">
        <f>IF(AND(COUNTA(B89:C89)&gt;1,COUNTA(F89:G89)&gt;1,O89="Completed"),(G89-C89)/(C89-#REF!+1)%,"")</f>
        <v/>
      </c>
      <c r="L89" s="11" t="str">
        <f>IF(AND(COUNT(D89:E89)&gt;0,COUNTA(F89:G89)&gt;1,O89="Completed"),(G89-AG89)/(AG89-#REF!+1)%,"")</f>
        <v/>
      </c>
      <c r="M89" s="11" t="str">
        <f t="shared" si="17"/>
        <v/>
      </c>
      <c r="N89" s="11" t="str">
        <f t="shared" si="18"/>
        <v/>
      </c>
      <c r="O89" s="12"/>
      <c r="P89" s="12"/>
      <c r="R89" s="10" t="str">
        <f>IF(H89&lt;&gt;"",SUMIF(H$3:H89,"&lt;&gt;" &amp; "",H$3:H89),"")</f>
        <v/>
      </c>
      <c r="S89" s="10" t="str">
        <f t="array" ref="S89">IF(O89="Completed",SUMIF(W$3:W89,"&lt;&gt;" &amp; "",W$3:W89),"")</f>
        <v/>
      </c>
      <c r="T89" s="10" t="str">
        <f t="array" ref="T89">IF(AND(J89&lt;&gt;"",O89="Completed"),SUM(IF(O$3:O89="Completed",J$3:J89,0)),"")</f>
        <v/>
      </c>
      <c r="U89" s="10" t="str">
        <f t="shared" si="16"/>
        <v/>
      </c>
      <c r="V89" s="10">
        <f>ROW()</f>
        <v>89</v>
      </c>
      <c r="W89" s="10" t="str">
        <f t="shared" si="19"/>
        <v/>
      </c>
      <c r="Z89" s="10" t="str">
        <f>IF(A89&lt;&gt;"",'Metrics planning and tracking'!$K$4,"")</f>
        <v/>
      </c>
      <c r="AA89" s="10" t="str">
        <f>IF(A89&lt;&gt;"",'Metrics planning and tracking'!$K$5,"")</f>
        <v/>
      </c>
      <c r="AB89" s="10" t="str">
        <f>IF(A89&lt;&gt;"",'Metrics planning and tracking'!$K$2,"")</f>
        <v/>
      </c>
      <c r="AC89" s="10" t="str">
        <f>IF(A89&lt;&gt;"",'Metrics planning and tracking'!$K$3,"")</f>
        <v/>
      </c>
      <c r="AD89" s="10" t="str">
        <f>IF(A89&lt;&gt;"",IF(AND(#REF!&lt;&gt;"",#REF!&lt;&gt;"",#REF!&lt;&gt;0),#REF!/#REF!*100,"NA"),"")</f>
        <v/>
      </c>
      <c r="AE89" s="10" t="str">
        <f>IF(A89&lt;&gt;"",IF(AND(#REF!&lt;&gt;"",#REF!&lt;&gt;"",#REF!&lt;&gt;0),#REF!/#REF!*100,"NA"),"")</f>
        <v/>
      </c>
      <c r="AF89" s="57" t="str">
        <f t="shared" si="20"/>
        <v/>
      </c>
      <c r="AG89" s="57" t="str">
        <f t="shared" si="21"/>
        <v/>
      </c>
      <c r="AH89" s="58" t="str">
        <f t="shared" si="22"/>
        <v/>
      </c>
      <c r="AV89" s="22" t="str">
        <f>IF(A89&lt;&gt;"",A89 &amp; "-" &amp;#REF! &amp; ROW(),"")</f>
        <v/>
      </c>
    </row>
    <row r="90" spans="11:48" x14ac:dyDescent="0.2">
      <c r="K90" s="11" t="str">
        <f>IF(AND(COUNTA(B90:C90)&gt;1,COUNTA(F90:G90)&gt;1,O90="Completed"),(G90-C90)/(C90-#REF!+1)%,"")</f>
        <v/>
      </c>
      <c r="L90" s="11" t="str">
        <f>IF(AND(COUNT(D90:E90)&gt;0,COUNTA(F90:G90)&gt;1,O90="Completed"),(G90-AG90)/(AG90-#REF!+1)%,"")</f>
        <v/>
      </c>
      <c r="M90" s="11" t="str">
        <f t="shared" si="17"/>
        <v/>
      </c>
      <c r="N90" s="11" t="str">
        <f t="shared" si="18"/>
        <v/>
      </c>
      <c r="O90" s="12"/>
      <c r="P90" s="12"/>
      <c r="R90" s="10" t="str">
        <f>IF(H90&lt;&gt;"",SUMIF(H$3:H90,"&lt;&gt;" &amp; "",H$3:H90),"")</f>
        <v/>
      </c>
      <c r="S90" s="10" t="str">
        <f t="array" ref="S90">IF(O90="Completed",SUMIF(W$3:W90,"&lt;&gt;" &amp; "",W$3:W90),"")</f>
        <v/>
      </c>
      <c r="T90" s="10" t="str">
        <f t="array" ref="T90">IF(AND(J90&lt;&gt;"",O90="Completed"),SUM(IF(O$3:O90="Completed",J$3:J90,0)),"")</f>
        <v/>
      </c>
      <c r="U90" s="10" t="str">
        <f t="shared" si="16"/>
        <v/>
      </c>
      <c r="V90" s="10">
        <f>ROW()</f>
        <v>90</v>
      </c>
      <c r="W90" s="10" t="str">
        <f t="shared" si="19"/>
        <v/>
      </c>
      <c r="Z90" s="10" t="str">
        <f>IF(A90&lt;&gt;"",'Metrics planning and tracking'!$K$4,"")</f>
        <v/>
      </c>
      <c r="AA90" s="10" t="str">
        <f>IF(A90&lt;&gt;"",'Metrics planning and tracking'!$K$5,"")</f>
        <v/>
      </c>
      <c r="AB90" s="10" t="str">
        <f>IF(A90&lt;&gt;"",'Metrics planning and tracking'!$K$2,"")</f>
        <v/>
      </c>
      <c r="AC90" s="10" t="str">
        <f>IF(A90&lt;&gt;"",'Metrics planning and tracking'!$K$3,"")</f>
        <v/>
      </c>
      <c r="AD90" s="10" t="str">
        <f>IF(A90&lt;&gt;"",IF(AND(#REF!&lt;&gt;"",#REF!&lt;&gt;"",#REF!&lt;&gt;0),#REF!/#REF!*100,"NA"),"")</f>
        <v/>
      </c>
      <c r="AE90" s="10" t="str">
        <f>IF(A90&lt;&gt;"",IF(AND(#REF!&lt;&gt;"",#REF!&lt;&gt;"",#REF!&lt;&gt;0),#REF!/#REF!*100,"NA"),"")</f>
        <v/>
      </c>
      <c r="AF90" s="57" t="str">
        <f t="shared" si="20"/>
        <v/>
      </c>
      <c r="AG90" s="57" t="str">
        <f t="shared" si="21"/>
        <v/>
      </c>
      <c r="AH90" s="58" t="str">
        <f t="shared" si="22"/>
        <v/>
      </c>
      <c r="AV90" s="22" t="str">
        <f>IF(A90&lt;&gt;"",A90 &amp; "-" &amp;#REF! &amp; ROW(),"")</f>
        <v/>
      </c>
    </row>
    <row r="91" spans="11:48" x14ac:dyDescent="0.2">
      <c r="K91" s="11" t="str">
        <f>IF(AND(COUNTA(B91:C91)&gt;1,COUNTA(F91:G91)&gt;1,O91="Completed"),(G91-C91)/(C91-#REF!+1)%,"")</f>
        <v/>
      </c>
      <c r="L91" s="11" t="str">
        <f>IF(AND(COUNT(D91:E91)&gt;0,COUNTA(F91:G91)&gt;1,O91="Completed"),(G91-AG91)/(AG91-#REF!+1)%,"")</f>
        <v/>
      </c>
      <c r="M91" s="11" t="str">
        <f t="shared" si="17"/>
        <v/>
      </c>
      <c r="N91" s="11" t="str">
        <f t="shared" si="18"/>
        <v/>
      </c>
      <c r="O91" s="12"/>
      <c r="P91" s="12"/>
      <c r="R91" s="10" t="str">
        <f>IF(H91&lt;&gt;"",SUMIF(H$3:H91,"&lt;&gt;" &amp; "",H$3:H91),"")</f>
        <v/>
      </c>
      <c r="S91" s="10" t="str">
        <f t="array" ref="S91">IF(O91="Completed",SUMIF(W$3:W91,"&lt;&gt;" &amp; "",W$3:W91),"")</f>
        <v/>
      </c>
      <c r="T91" s="10" t="str">
        <f t="array" ref="T91">IF(AND(J91&lt;&gt;"",O91="Completed"),SUM(IF(O$3:O91="Completed",J$3:J91,0)),"")</f>
        <v/>
      </c>
      <c r="U91" s="10" t="str">
        <f t="shared" si="16"/>
        <v/>
      </c>
      <c r="V91" s="10">
        <f>ROW()</f>
        <v>91</v>
      </c>
      <c r="W91" s="10" t="str">
        <f t="shared" si="19"/>
        <v/>
      </c>
      <c r="Z91" s="10" t="str">
        <f>IF(A91&lt;&gt;"",'Metrics planning and tracking'!$K$4,"")</f>
        <v/>
      </c>
      <c r="AA91" s="10" t="str">
        <f>IF(A91&lt;&gt;"",'Metrics planning and tracking'!$K$5,"")</f>
        <v/>
      </c>
      <c r="AB91" s="10" t="str">
        <f>IF(A91&lt;&gt;"",'Metrics planning and tracking'!$K$2,"")</f>
        <v/>
      </c>
      <c r="AC91" s="10" t="str">
        <f>IF(A91&lt;&gt;"",'Metrics planning and tracking'!$K$3,"")</f>
        <v/>
      </c>
      <c r="AD91" s="10" t="str">
        <f>IF(A91&lt;&gt;"",IF(AND(#REF!&lt;&gt;"",#REF!&lt;&gt;"",#REF!&lt;&gt;0),#REF!/#REF!*100,"NA"),"")</f>
        <v/>
      </c>
      <c r="AE91" s="10" t="str">
        <f>IF(A91&lt;&gt;"",IF(AND(#REF!&lt;&gt;"",#REF!&lt;&gt;"",#REF!&lt;&gt;0),#REF!/#REF!*100,"NA"),"")</f>
        <v/>
      </c>
      <c r="AF91" s="57" t="str">
        <f t="shared" si="20"/>
        <v/>
      </c>
      <c r="AG91" s="57" t="str">
        <f t="shared" si="21"/>
        <v/>
      </c>
      <c r="AH91" s="58" t="str">
        <f t="shared" si="22"/>
        <v/>
      </c>
      <c r="AV91" s="22" t="str">
        <f>IF(A91&lt;&gt;"",A91 &amp; "-" &amp;#REF! &amp; ROW(),"")</f>
        <v/>
      </c>
    </row>
    <row r="92" spans="11:48" x14ac:dyDescent="0.2">
      <c r="K92" s="11" t="str">
        <f>IF(AND(COUNTA(B92:C92)&gt;1,COUNTA(F92:G92)&gt;1,O92="Completed"),(G92-C92)/(C92-#REF!+1)%,"")</f>
        <v/>
      </c>
      <c r="L92" s="11" t="str">
        <f>IF(AND(COUNT(D92:E92)&gt;0,COUNTA(F92:G92)&gt;1,O92="Completed"),(G92-AG92)/(AG92-#REF!+1)%,"")</f>
        <v/>
      </c>
      <c r="M92" s="11" t="str">
        <f t="shared" si="17"/>
        <v/>
      </c>
      <c r="N92" s="11" t="str">
        <f t="shared" si="18"/>
        <v/>
      </c>
      <c r="O92" s="12"/>
      <c r="P92" s="12"/>
      <c r="R92" s="10" t="str">
        <f>IF(H92&lt;&gt;"",SUMIF(H$3:H92,"&lt;&gt;" &amp; "",H$3:H92),"")</f>
        <v/>
      </c>
      <c r="S92" s="10" t="str">
        <f t="array" ref="S92">IF(O92="Completed",SUMIF(W$3:W92,"&lt;&gt;" &amp; "",W$3:W92),"")</f>
        <v/>
      </c>
      <c r="T92" s="10" t="str">
        <f t="array" ref="T92">IF(AND(J92&lt;&gt;"",O92="Completed"),SUM(IF(O$3:O92="Completed",J$3:J92,0)),"")</f>
        <v/>
      </c>
      <c r="U92" s="10" t="str">
        <f t="shared" si="16"/>
        <v/>
      </c>
      <c r="V92" s="10">
        <f>ROW()</f>
        <v>92</v>
      </c>
      <c r="W92" s="10" t="str">
        <f t="shared" si="19"/>
        <v/>
      </c>
      <c r="Z92" s="10" t="str">
        <f>IF(A92&lt;&gt;"",'Metrics planning and tracking'!$K$4,"")</f>
        <v/>
      </c>
      <c r="AA92" s="10" t="str">
        <f>IF(A92&lt;&gt;"",'Metrics planning and tracking'!$K$5,"")</f>
        <v/>
      </c>
      <c r="AB92" s="10" t="str">
        <f>IF(A92&lt;&gt;"",'Metrics planning and tracking'!$K$2,"")</f>
        <v/>
      </c>
      <c r="AC92" s="10" t="str">
        <f>IF(A92&lt;&gt;"",'Metrics planning and tracking'!$K$3,"")</f>
        <v/>
      </c>
      <c r="AD92" s="10" t="str">
        <f>IF(A92&lt;&gt;"",IF(AND(#REF!&lt;&gt;"",#REF!&lt;&gt;"",#REF!&lt;&gt;0),#REF!/#REF!*100,"NA"),"")</f>
        <v/>
      </c>
      <c r="AE92" s="10" t="str">
        <f>IF(A92&lt;&gt;"",IF(AND(#REF!&lt;&gt;"",#REF!&lt;&gt;"",#REF!&lt;&gt;0),#REF!/#REF!*100,"NA"),"")</f>
        <v/>
      </c>
      <c r="AF92" s="57" t="str">
        <f t="shared" si="20"/>
        <v/>
      </c>
      <c r="AG92" s="57" t="str">
        <f t="shared" si="21"/>
        <v/>
      </c>
      <c r="AH92" s="58" t="str">
        <f t="shared" si="22"/>
        <v/>
      </c>
      <c r="AV92" s="22" t="str">
        <f>IF(A92&lt;&gt;"",A92 &amp; "-" &amp;#REF! &amp; ROW(),"")</f>
        <v/>
      </c>
    </row>
    <row r="93" spans="11:48" x14ac:dyDescent="0.2">
      <c r="K93" s="11" t="str">
        <f>IF(AND(COUNTA(B93:C93)&gt;1,COUNTA(F93:G93)&gt;1,O93="Completed"),(G93-C93)/(C93-#REF!+1)%,"")</f>
        <v/>
      </c>
      <c r="L93" s="11" t="str">
        <f>IF(AND(COUNT(D93:E93)&gt;0,COUNTA(F93:G93)&gt;1,O93="Completed"),(G93-AG93)/(AG93-#REF!+1)%,"")</f>
        <v/>
      </c>
      <c r="M93" s="11" t="str">
        <f t="shared" si="17"/>
        <v/>
      </c>
      <c r="N93" s="11" t="str">
        <f t="shared" si="18"/>
        <v/>
      </c>
      <c r="O93" s="12"/>
      <c r="P93" s="12"/>
      <c r="R93" s="10" t="str">
        <f>IF(H93&lt;&gt;"",SUMIF(H$3:H93,"&lt;&gt;" &amp; "",H$3:H93),"")</f>
        <v/>
      </c>
      <c r="S93" s="10" t="str">
        <f t="array" ref="S93">IF(O93="Completed",SUMIF(W$3:W93,"&lt;&gt;" &amp; "",W$3:W93),"")</f>
        <v/>
      </c>
      <c r="T93" s="10" t="str">
        <f t="array" ref="T93">IF(AND(J93&lt;&gt;"",O93="Completed"),SUM(IF(O$3:O93="Completed",J$3:J93,0)),"")</f>
        <v/>
      </c>
      <c r="U93" s="10" t="str">
        <f t="shared" si="16"/>
        <v/>
      </c>
      <c r="V93" s="10">
        <f>ROW()</f>
        <v>93</v>
      </c>
      <c r="W93" s="10" t="str">
        <f t="shared" si="19"/>
        <v/>
      </c>
      <c r="Z93" s="10" t="str">
        <f>IF(A93&lt;&gt;"",'Metrics planning and tracking'!$K$4,"")</f>
        <v/>
      </c>
      <c r="AA93" s="10" t="str">
        <f>IF(A93&lt;&gt;"",'Metrics planning and tracking'!$K$5,"")</f>
        <v/>
      </c>
      <c r="AB93" s="10" t="str">
        <f>IF(A93&lt;&gt;"",'Metrics planning and tracking'!$K$2,"")</f>
        <v/>
      </c>
      <c r="AC93" s="10" t="str">
        <f>IF(A93&lt;&gt;"",'Metrics planning and tracking'!$K$3,"")</f>
        <v/>
      </c>
      <c r="AD93" s="10" t="str">
        <f>IF(A93&lt;&gt;"",IF(AND(#REF!&lt;&gt;"",#REF!&lt;&gt;"",#REF!&lt;&gt;0),#REF!/#REF!*100,"NA"),"")</f>
        <v/>
      </c>
      <c r="AE93" s="10" t="str">
        <f>IF(A93&lt;&gt;"",IF(AND(#REF!&lt;&gt;"",#REF!&lt;&gt;"",#REF!&lt;&gt;0),#REF!/#REF!*100,"NA"),"")</f>
        <v/>
      </c>
      <c r="AF93" s="57" t="str">
        <f t="shared" si="20"/>
        <v/>
      </c>
      <c r="AG93" s="57" t="str">
        <f t="shared" si="21"/>
        <v/>
      </c>
      <c r="AH93" s="58" t="str">
        <f t="shared" si="22"/>
        <v/>
      </c>
      <c r="AV93" s="22" t="str">
        <f>IF(A93&lt;&gt;"",A93 &amp; "-" &amp;#REF! &amp; ROW(),"")</f>
        <v/>
      </c>
    </row>
    <row r="94" spans="11:48" x14ac:dyDescent="0.2">
      <c r="K94" s="11" t="str">
        <f>IF(AND(COUNTA(B94:C94)&gt;1,COUNTA(F94:G94)&gt;1,O94="Completed"),(G94-C94)/(C94-#REF!+1)%,"")</f>
        <v/>
      </c>
      <c r="L94" s="11" t="str">
        <f>IF(AND(COUNT(D94:E94)&gt;0,COUNTA(F94:G94)&gt;1,O94="Completed"),(G94-AG94)/(AG94-#REF!+1)%,"")</f>
        <v/>
      </c>
      <c r="M94" s="11" t="str">
        <f t="shared" si="17"/>
        <v/>
      </c>
      <c r="N94" s="11" t="str">
        <f t="shared" si="18"/>
        <v/>
      </c>
      <c r="O94" s="12"/>
      <c r="P94" s="12"/>
      <c r="R94" s="10" t="str">
        <f>IF(H94&lt;&gt;"",SUMIF(H$3:H94,"&lt;&gt;" &amp; "",H$3:H94),"")</f>
        <v/>
      </c>
      <c r="S94" s="10" t="str">
        <f t="array" ref="S94">IF(O94="Completed",SUMIF(W$3:W94,"&lt;&gt;" &amp; "",W$3:W94),"")</f>
        <v/>
      </c>
      <c r="T94" s="10" t="str">
        <f t="array" ref="T94">IF(AND(J94&lt;&gt;"",O94="Completed"),SUM(IF(O$3:O94="Completed",J$3:J94,0)),"")</f>
        <v/>
      </c>
      <c r="U94" s="10" t="str">
        <f t="shared" si="16"/>
        <v/>
      </c>
      <c r="V94" s="10">
        <f>ROW()</f>
        <v>94</v>
      </c>
      <c r="W94" s="10" t="str">
        <f t="shared" si="19"/>
        <v/>
      </c>
      <c r="Z94" s="10" t="str">
        <f>IF(A94&lt;&gt;"",'Metrics planning and tracking'!$K$4,"")</f>
        <v/>
      </c>
      <c r="AA94" s="10" t="str">
        <f>IF(A94&lt;&gt;"",'Metrics planning and tracking'!$K$5,"")</f>
        <v/>
      </c>
      <c r="AB94" s="10" t="str">
        <f>IF(A94&lt;&gt;"",'Metrics planning and tracking'!$K$2,"")</f>
        <v/>
      </c>
      <c r="AC94" s="10" t="str">
        <f>IF(A94&lt;&gt;"",'Metrics planning and tracking'!$K$3,"")</f>
        <v/>
      </c>
      <c r="AD94" s="10" t="str">
        <f>IF(A94&lt;&gt;"",IF(AND(#REF!&lt;&gt;"",#REF!&lt;&gt;"",#REF!&lt;&gt;0),#REF!/#REF!*100,"NA"),"")</f>
        <v/>
      </c>
      <c r="AE94" s="10" t="str">
        <f>IF(A94&lt;&gt;"",IF(AND(#REF!&lt;&gt;"",#REF!&lt;&gt;"",#REF!&lt;&gt;0),#REF!/#REF!*100,"NA"),"")</f>
        <v/>
      </c>
      <c r="AF94" s="57" t="str">
        <f t="shared" si="20"/>
        <v/>
      </c>
      <c r="AG94" s="57" t="str">
        <f t="shared" si="21"/>
        <v/>
      </c>
      <c r="AH94" s="58" t="str">
        <f t="shared" si="22"/>
        <v/>
      </c>
      <c r="AV94" s="22" t="str">
        <f>IF(A94&lt;&gt;"",A94 &amp; "-" &amp;#REF! &amp; ROW(),"")</f>
        <v/>
      </c>
    </row>
    <row r="95" spans="11:48" x14ac:dyDescent="0.2">
      <c r="K95" s="11" t="str">
        <f>IF(AND(COUNTA(B95:C95)&gt;1,COUNTA(F95:G95)&gt;1,O95="Completed"),(G95-C95)/(C95-#REF!+1)%,"")</f>
        <v/>
      </c>
      <c r="L95" s="11" t="str">
        <f>IF(AND(COUNT(D95:E95)&gt;0,COUNTA(F95:G95)&gt;1,O95="Completed"),(G95-AG95)/(AG95-#REF!+1)%,"")</f>
        <v/>
      </c>
      <c r="M95" s="11" t="str">
        <f t="shared" si="17"/>
        <v/>
      </c>
      <c r="N95" s="11" t="str">
        <f t="shared" si="18"/>
        <v/>
      </c>
      <c r="O95" s="12"/>
      <c r="P95" s="12"/>
      <c r="R95" s="10" t="str">
        <f>IF(H95&lt;&gt;"",SUMIF(H$3:H95,"&lt;&gt;" &amp; "",H$3:H95),"")</f>
        <v/>
      </c>
      <c r="S95" s="10" t="str">
        <f t="array" ref="S95">IF(O95="Completed",SUMIF(W$3:W95,"&lt;&gt;" &amp; "",W$3:W95),"")</f>
        <v/>
      </c>
      <c r="T95" s="10" t="str">
        <f t="array" ref="T95">IF(AND(J95&lt;&gt;"",O95="Completed"),SUM(IF(O$3:O95="Completed",J$3:J95,0)),"")</f>
        <v/>
      </c>
      <c r="U95" s="10" t="str">
        <f t="shared" si="16"/>
        <v/>
      </c>
      <c r="V95" s="10">
        <f>ROW()</f>
        <v>95</v>
      </c>
      <c r="W95" s="10" t="str">
        <f t="shared" si="19"/>
        <v/>
      </c>
      <c r="Z95" s="10" t="str">
        <f>IF(A95&lt;&gt;"",'Metrics planning and tracking'!$K$4,"")</f>
        <v/>
      </c>
      <c r="AA95" s="10" t="str">
        <f>IF(A95&lt;&gt;"",'Metrics planning and tracking'!$K$5,"")</f>
        <v/>
      </c>
      <c r="AB95" s="10" t="str">
        <f>IF(A95&lt;&gt;"",'Metrics planning and tracking'!$K$2,"")</f>
        <v/>
      </c>
      <c r="AC95" s="10" t="str">
        <f>IF(A95&lt;&gt;"",'Metrics planning and tracking'!$K$3,"")</f>
        <v/>
      </c>
      <c r="AD95" s="10" t="str">
        <f>IF(A95&lt;&gt;"",IF(AND(#REF!&lt;&gt;"",#REF!&lt;&gt;"",#REF!&lt;&gt;0),#REF!/#REF!*100,"NA"),"")</f>
        <v/>
      </c>
      <c r="AE95" s="10" t="str">
        <f>IF(A95&lt;&gt;"",IF(AND(#REF!&lt;&gt;"",#REF!&lt;&gt;"",#REF!&lt;&gt;0),#REF!/#REF!*100,"NA"),"")</f>
        <v/>
      </c>
      <c r="AF95" s="57" t="str">
        <f t="shared" si="20"/>
        <v/>
      </c>
      <c r="AG95" s="57" t="str">
        <f t="shared" si="21"/>
        <v/>
      </c>
      <c r="AH95" s="58" t="str">
        <f t="shared" si="22"/>
        <v/>
      </c>
      <c r="AV95" s="22" t="str">
        <f>IF(A95&lt;&gt;"",A95 &amp; "-" &amp;#REF! &amp; ROW(),"")</f>
        <v/>
      </c>
    </row>
    <row r="96" spans="11:48" x14ac:dyDescent="0.2">
      <c r="K96" s="11" t="str">
        <f>IF(AND(COUNTA(B96:C96)&gt;1,COUNTA(F96:G96)&gt;1,O96="Completed"),(G96-C96)/(C96-#REF!+1)%,"")</f>
        <v/>
      </c>
      <c r="L96" s="11" t="str">
        <f>IF(AND(COUNT(D96:E96)&gt;0,COUNTA(F96:G96)&gt;1,O96="Completed"),(G96-AG96)/(AG96-#REF!+1)%,"")</f>
        <v/>
      </c>
      <c r="M96" s="11" t="str">
        <f t="shared" si="17"/>
        <v/>
      </c>
      <c r="N96" s="11" t="str">
        <f t="shared" si="18"/>
        <v/>
      </c>
      <c r="O96" s="12"/>
      <c r="P96" s="12"/>
      <c r="R96" s="10" t="str">
        <f>IF(H96&lt;&gt;"",SUMIF(H$3:H96,"&lt;&gt;" &amp; "",H$3:H96),"")</f>
        <v/>
      </c>
      <c r="S96" s="10" t="str">
        <f t="array" ref="S96">IF(O96="Completed",SUMIF(W$3:W96,"&lt;&gt;" &amp; "",W$3:W96),"")</f>
        <v/>
      </c>
      <c r="T96" s="10" t="str">
        <f t="array" ref="T96">IF(AND(J96&lt;&gt;"",O96="Completed"),SUM(IF(O$3:O96="Completed",J$3:J96,0)),"")</f>
        <v/>
      </c>
      <c r="U96" s="10" t="str">
        <f t="shared" si="16"/>
        <v/>
      </c>
      <c r="V96" s="10">
        <f>ROW()</f>
        <v>96</v>
      </c>
      <c r="W96" s="10" t="str">
        <f t="shared" si="19"/>
        <v/>
      </c>
      <c r="Z96" s="10" t="str">
        <f>IF(A96&lt;&gt;"",'Metrics planning and tracking'!$K$4,"")</f>
        <v/>
      </c>
      <c r="AA96" s="10" t="str">
        <f>IF(A96&lt;&gt;"",'Metrics planning and tracking'!$K$5,"")</f>
        <v/>
      </c>
      <c r="AB96" s="10" t="str">
        <f>IF(A96&lt;&gt;"",'Metrics planning and tracking'!$K$2,"")</f>
        <v/>
      </c>
      <c r="AC96" s="10" t="str">
        <f>IF(A96&lt;&gt;"",'Metrics planning and tracking'!$K$3,"")</f>
        <v/>
      </c>
      <c r="AD96" s="10" t="str">
        <f>IF(A96&lt;&gt;"",IF(AND(#REF!&lt;&gt;"",#REF!&lt;&gt;"",#REF!&lt;&gt;0),#REF!/#REF!*100,"NA"),"")</f>
        <v/>
      </c>
      <c r="AE96" s="10" t="str">
        <f>IF(A96&lt;&gt;"",IF(AND(#REF!&lt;&gt;"",#REF!&lt;&gt;"",#REF!&lt;&gt;0),#REF!/#REF!*100,"NA"),"")</f>
        <v/>
      </c>
      <c r="AF96" s="57" t="str">
        <f t="shared" si="20"/>
        <v/>
      </c>
      <c r="AG96" s="57" t="str">
        <f t="shared" si="21"/>
        <v/>
      </c>
      <c r="AH96" s="58" t="str">
        <f t="shared" si="22"/>
        <v/>
      </c>
      <c r="AV96" s="22" t="str">
        <f>IF(A96&lt;&gt;"",A96 &amp; "-" &amp;#REF! &amp; ROW(),"")</f>
        <v/>
      </c>
    </row>
    <row r="97" spans="11:48" x14ac:dyDescent="0.2">
      <c r="K97" s="11" t="str">
        <f>IF(AND(COUNTA(B97:C97)&gt;1,COUNTA(F97:G97)&gt;1,O97="Completed"),(G97-C97)/(C97-#REF!+1)%,"")</f>
        <v/>
      </c>
      <c r="L97" s="11" t="str">
        <f>IF(AND(COUNT(D97:E97)&gt;0,COUNTA(F97:G97)&gt;1,O97="Completed"),(G97-AG97)/(AG97-#REF!+1)%,"")</f>
        <v/>
      </c>
      <c r="M97" s="11" t="str">
        <f t="shared" si="17"/>
        <v/>
      </c>
      <c r="N97" s="11" t="str">
        <f t="shared" si="18"/>
        <v/>
      </c>
      <c r="O97" s="12"/>
      <c r="P97" s="12"/>
      <c r="R97" s="10" t="str">
        <f>IF(H97&lt;&gt;"",SUMIF(H$3:H97,"&lt;&gt;" &amp; "",H$3:H97),"")</f>
        <v/>
      </c>
      <c r="S97" s="10" t="str">
        <f t="array" ref="S97">IF(O97="Completed",SUMIF(W$3:W97,"&lt;&gt;" &amp; "",W$3:W97),"")</f>
        <v/>
      </c>
      <c r="T97" s="10" t="str">
        <f t="array" ref="T97">IF(AND(J97&lt;&gt;"",O97="Completed"),SUM(IF(O$3:O97="Completed",J$3:J97,0)),"")</f>
        <v/>
      </c>
      <c r="U97" s="10" t="str">
        <f t="shared" si="16"/>
        <v/>
      </c>
      <c r="V97" s="10">
        <f>ROW()</f>
        <v>97</v>
      </c>
      <c r="W97" s="10" t="str">
        <f t="shared" si="19"/>
        <v/>
      </c>
      <c r="Z97" s="10" t="str">
        <f>IF(A97&lt;&gt;"",'Metrics planning and tracking'!$K$4,"")</f>
        <v/>
      </c>
      <c r="AA97" s="10" t="str">
        <f>IF(A97&lt;&gt;"",'Metrics planning and tracking'!$K$5,"")</f>
        <v/>
      </c>
      <c r="AB97" s="10" t="str">
        <f>IF(A97&lt;&gt;"",'Metrics planning and tracking'!$K$2,"")</f>
        <v/>
      </c>
      <c r="AC97" s="10" t="str">
        <f>IF(A97&lt;&gt;"",'Metrics planning and tracking'!$K$3,"")</f>
        <v/>
      </c>
      <c r="AD97" s="10" t="str">
        <f>IF(A97&lt;&gt;"",IF(AND(#REF!&lt;&gt;"",#REF!&lt;&gt;"",#REF!&lt;&gt;0),#REF!/#REF!*100,"NA"),"")</f>
        <v/>
      </c>
      <c r="AE97" s="10" t="str">
        <f>IF(A97&lt;&gt;"",IF(AND(#REF!&lt;&gt;"",#REF!&lt;&gt;"",#REF!&lt;&gt;0),#REF!/#REF!*100,"NA"),"")</f>
        <v/>
      </c>
      <c r="AF97" s="57" t="str">
        <f t="shared" si="20"/>
        <v/>
      </c>
      <c r="AG97" s="57" t="str">
        <f t="shared" si="21"/>
        <v/>
      </c>
      <c r="AH97" s="58" t="str">
        <f t="shared" si="22"/>
        <v/>
      </c>
      <c r="AV97" s="22" t="str">
        <f>IF(A97&lt;&gt;"",A97 &amp; "-" &amp;#REF! &amp; ROW(),"")</f>
        <v/>
      </c>
    </row>
    <row r="98" spans="11:48" x14ac:dyDescent="0.2">
      <c r="K98" s="11" t="str">
        <f>IF(AND(COUNTA(B98:C98)&gt;1,COUNTA(F98:G98)&gt;1,O98="Completed"),(G98-C98)/(C98-#REF!+1)%,"")</f>
        <v/>
      </c>
      <c r="L98" s="11" t="str">
        <f>IF(AND(COUNT(D98:E98)&gt;0,COUNTA(F98:G98)&gt;1,O98="Completed"),(G98-AG98)/(AG98-#REF!+1)%,"")</f>
        <v/>
      </c>
      <c r="M98" s="11" t="str">
        <f t="shared" si="17"/>
        <v/>
      </c>
      <c r="N98" s="11" t="str">
        <f t="shared" si="18"/>
        <v/>
      </c>
      <c r="O98" s="12"/>
      <c r="P98" s="12"/>
      <c r="R98" s="10" t="str">
        <f>IF(H98&lt;&gt;"",SUMIF(H$3:H98,"&lt;&gt;" &amp; "",H$3:H98),"")</f>
        <v/>
      </c>
      <c r="S98" s="10" t="str">
        <f t="array" ref="S98">IF(O98="Completed",SUMIF(W$3:W98,"&lt;&gt;" &amp; "",W$3:W98),"")</f>
        <v/>
      </c>
      <c r="T98" s="10" t="str">
        <f t="array" ref="T98">IF(AND(J98&lt;&gt;"",O98="Completed"),SUM(IF(O$3:O98="Completed",J$3:J98,0)),"")</f>
        <v/>
      </c>
      <c r="U98" s="10" t="str">
        <f t="shared" si="16"/>
        <v/>
      </c>
      <c r="V98" s="10">
        <f>ROW()</f>
        <v>98</v>
      </c>
      <c r="W98" s="10" t="str">
        <f t="shared" si="19"/>
        <v/>
      </c>
      <c r="Z98" s="10" t="str">
        <f>IF(A98&lt;&gt;"",'Metrics planning and tracking'!$K$4,"")</f>
        <v/>
      </c>
      <c r="AA98" s="10" t="str">
        <f>IF(A98&lt;&gt;"",'Metrics planning and tracking'!$K$5,"")</f>
        <v/>
      </c>
      <c r="AB98" s="10" t="str">
        <f>IF(A98&lt;&gt;"",'Metrics planning and tracking'!$K$2,"")</f>
        <v/>
      </c>
      <c r="AC98" s="10" t="str">
        <f>IF(A98&lt;&gt;"",'Metrics planning and tracking'!$K$3,"")</f>
        <v/>
      </c>
      <c r="AD98" s="10" t="str">
        <f>IF(A98&lt;&gt;"",IF(AND(#REF!&lt;&gt;"",#REF!&lt;&gt;"",#REF!&lt;&gt;0),#REF!/#REF!*100,"NA"),"")</f>
        <v/>
      </c>
      <c r="AE98" s="10" t="str">
        <f>IF(A98&lt;&gt;"",IF(AND(#REF!&lt;&gt;"",#REF!&lt;&gt;"",#REF!&lt;&gt;0),#REF!/#REF!*100,"NA"),"")</f>
        <v/>
      </c>
      <c r="AF98" s="57" t="str">
        <f t="shared" si="20"/>
        <v/>
      </c>
      <c r="AG98" s="57" t="str">
        <f t="shared" si="21"/>
        <v/>
      </c>
      <c r="AH98" s="58" t="str">
        <f t="shared" si="22"/>
        <v/>
      </c>
      <c r="AV98" s="22" t="str">
        <f>IF(A98&lt;&gt;"",A98 &amp; "-" &amp;#REF! &amp; ROW(),"")</f>
        <v/>
      </c>
    </row>
    <row r="99" spans="11:48" x14ac:dyDescent="0.2">
      <c r="K99" s="11" t="str">
        <f>IF(AND(COUNTA(B99:C99)&gt;1,COUNTA(F99:G99)&gt;1,O99="Completed"),(G99-C99)/(C99-#REF!+1)%,"")</f>
        <v/>
      </c>
      <c r="L99" s="11" t="str">
        <f>IF(AND(COUNT(D99:E99)&gt;0,COUNTA(F99:G99)&gt;1,O99="Completed"),(G99-AG99)/(AG99-#REF!+1)%,"")</f>
        <v/>
      </c>
      <c r="M99" s="11" t="str">
        <f t="shared" si="17"/>
        <v/>
      </c>
      <c r="N99" s="11" t="str">
        <f t="shared" si="18"/>
        <v/>
      </c>
      <c r="O99" s="12"/>
      <c r="P99" s="12"/>
      <c r="R99" s="10" t="str">
        <f>IF(H99&lt;&gt;"",SUMIF(H$3:H99,"&lt;&gt;" &amp; "",H$3:H99),"")</f>
        <v/>
      </c>
      <c r="S99" s="10" t="str">
        <f t="array" ref="S99">IF(O99="Completed",SUMIF(W$3:W99,"&lt;&gt;" &amp; "",W$3:W99),"")</f>
        <v/>
      </c>
      <c r="T99" s="10" t="str">
        <f t="array" ref="T99">IF(AND(J99&lt;&gt;"",O99="Completed"),SUM(IF(O$3:O99="Completed",J$3:J99,0)),"")</f>
        <v/>
      </c>
      <c r="U99" s="10" t="str">
        <f t="shared" si="16"/>
        <v/>
      </c>
      <c r="V99" s="10">
        <f>ROW()</f>
        <v>99</v>
      </c>
      <c r="W99" s="10" t="str">
        <f t="shared" si="19"/>
        <v/>
      </c>
      <c r="Z99" s="10" t="str">
        <f>IF(A99&lt;&gt;"",'Metrics planning and tracking'!$K$4,"")</f>
        <v/>
      </c>
      <c r="AA99" s="10" t="str">
        <f>IF(A99&lt;&gt;"",'Metrics planning and tracking'!$K$5,"")</f>
        <v/>
      </c>
      <c r="AB99" s="10" t="str">
        <f>IF(A99&lt;&gt;"",'Metrics planning and tracking'!$K$2,"")</f>
        <v/>
      </c>
      <c r="AC99" s="10" t="str">
        <f>IF(A99&lt;&gt;"",'Metrics planning and tracking'!$K$3,"")</f>
        <v/>
      </c>
      <c r="AD99" s="10" t="str">
        <f>IF(A99&lt;&gt;"",IF(AND(#REF!&lt;&gt;"",#REF!&lt;&gt;"",#REF!&lt;&gt;0),#REF!/#REF!*100,"NA"),"")</f>
        <v/>
      </c>
      <c r="AE99" s="10" t="str">
        <f>IF(A99&lt;&gt;"",IF(AND(#REF!&lt;&gt;"",#REF!&lt;&gt;"",#REF!&lt;&gt;0),#REF!/#REF!*100,"NA"),"")</f>
        <v/>
      </c>
      <c r="AF99" s="57" t="str">
        <f t="shared" si="20"/>
        <v/>
      </c>
      <c r="AG99" s="57" t="str">
        <f t="shared" si="21"/>
        <v/>
      </c>
      <c r="AH99" s="58" t="str">
        <f t="shared" si="22"/>
        <v/>
      </c>
      <c r="AV99" s="22" t="str">
        <f>IF(A99&lt;&gt;"",A99 &amp; "-" &amp;#REF! &amp; ROW(),"")</f>
        <v/>
      </c>
    </row>
    <row r="100" spans="11:48" x14ac:dyDescent="0.2">
      <c r="K100" s="11" t="str">
        <f>IF(AND(COUNTA(B100:C100)&gt;1,COUNTA(F100:G100)&gt;1,O100="Completed"),(G100-C100)/(C100-#REF!+1)%,"")</f>
        <v/>
      </c>
      <c r="L100" s="11" t="str">
        <f>IF(AND(COUNT(D100:E100)&gt;0,COUNTA(F100:G100)&gt;1,O100="Completed"),(G100-AG100)/(AG100-#REF!+1)%,"")</f>
        <v/>
      </c>
      <c r="M100" s="11" t="str">
        <f t="shared" si="17"/>
        <v/>
      </c>
      <c r="N100" s="11" t="str">
        <f t="shared" si="18"/>
        <v/>
      </c>
      <c r="O100" s="12"/>
      <c r="P100" s="12"/>
      <c r="R100" s="10" t="str">
        <f>IF(H100&lt;&gt;"",SUMIF(H$3:H100,"&lt;&gt;" &amp; "",H$3:H100),"")</f>
        <v/>
      </c>
      <c r="S100" s="10" t="str">
        <f t="array" ref="S100">IF(O100="Completed",SUMIF(W$3:W100,"&lt;&gt;" &amp; "",W$3:W100),"")</f>
        <v/>
      </c>
      <c r="T100" s="10" t="str">
        <f t="array" ref="T100">IF(AND(J100&lt;&gt;"",O100="Completed"),SUM(IF(O$3:O100="Completed",J$3:J100,0)),"")</f>
        <v/>
      </c>
      <c r="U100" s="10" t="str">
        <f t="shared" si="16"/>
        <v/>
      </c>
      <c r="V100" s="10">
        <f>ROW()</f>
        <v>100</v>
      </c>
      <c r="W100" s="10" t="str">
        <f t="shared" si="19"/>
        <v/>
      </c>
      <c r="Z100" s="10" t="str">
        <f>IF(A100&lt;&gt;"",'Metrics planning and tracking'!$K$4,"")</f>
        <v/>
      </c>
      <c r="AA100" s="10" t="str">
        <f>IF(A100&lt;&gt;"",'Metrics planning and tracking'!$K$5,"")</f>
        <v/>
      </c>
      <c r="AB100" s="10" t="str">
        <f>IF(A100&lt;&gt;"",'Metrics planning and tracking'!$K$2,"")</f>
        <v/>
      </c>
      <c r="AC100" s="10" t="str">
        <f>IF(A100&lt;&gt;"",'Metrics planning and tracking'!$K$3,"")</f>
        <v/>
      </c>
      <c r="AD100" s="10" t="str">
        <f>IF(A100&lt;&gt;"",IF(AND(#REF!&lt;&gt;"",#REF!&lt;&gt;"",#REF!&lt;&gt;0),#REF!/#REF!*100,"NA"),"")</f>
        <v/>
      </c>
      <c r="AE100" s="10" t="str">
        <f>IF(A100&lt;&gt;"",IF(AND(#REF!&lt;&gt;"",#REF!&lt;&gt;"",#REF!&lt;&gt;0),#REF!/#REF!*100,"NA"),"")</f>
        <v/>
      </c>
      <c r="AF100" s="57" t="str">
        <f t="shared" si="20"/>
        <v/>
      </c>
      <c r="AG100" s="57" t="str">
        <f t="shared" si="21"/>
        <v/>
      </c>
      <c r="AH100" s="58" t="str">
        <f t="shared" si="22"/>
        <v/>
      </c>
      <c r="AV100" s="22" t="str">
        <f>IF(A100&lt;&gt;"",A100 &amp; "-" &amp;#REF! &amp; ROW(),"")</f>
        <v/>
      </c>
    </row>
    <row r="101" spans="11:48" x14ac:dyDescent="0.2">
      <c r="K101" s="11" t="str">
        <f>IF(AND(COUNTA(B101:C101)&gt;1,COUNTA(F101:G101)&gt;1,O101="Completed"),(G101-C101)/(C101-#REF!+1)%,"")</f>
        <v/>
      </c>
      <c r="L101" s="11" t="str">
        <f>IF(AND(COUNT(D101:E101)&gt;0,COUNTA(F101:G101)&gt;1,O101="Completed"),(G101-AG101)/(AG101-#REF!+1)%,"")</f>
        <v/>
      </c>
      <c r="M101" s="11" t="str">
        <f t="shared" si="17"/>
        <v/>
      </c>
      <c r="N101" s="11" t="str">
        <f t="shared" si="18"/>
        <v/>
      </c>
      <c r="O101" s="12"/>
      <c r="P101" s="12"/>
      <c r="R101" s="10" t="str">
        <f>IF(H101&lt;&gt;"",SUMIF(H$3:H101,"&lt;&gt;" &amp; "",H$3:H101),"")</f>
        <v/>
      </c>
      <c r="S101" s="10" t="str">
        <f t="array" ref="S101">IF(O101="Completed",SUMIF(W$3:W101,"&lt;&gt;" &amp; "",W$3:W101),"")</f>
        <v/>
      </c>
      <c r="T101" s="10" t="str">
        <f t="array" ref="T101">IF(AND(J101&lt;&gt;"",O101="Completed"),SUM(IF(O$3:O101="Completed",J$3:J101,0)),"")</f>
        <v/>
      </c>
      <c r="U101" s="10" t="str">
        <f t="shared" si="16"/>
        <v/>
      </c>
      <c r="V101" s="10">
        <f>ROW()</f>
        <v>101</v>
      </c>
      <c r="W101" s="10" t="str">
        <f t="shared" si="19"/>
        <v/>
      </c>
      <c r="Z101" s="10" t="str">
        <f>IF(A101&lt;&gt;"",'Metrics planning and tracking'!$K$4,"")</f>
        <v/>
      </c>
      <c r="AA101" s="10" t="str">
        <f>IF(A101&lt;&gt;"",'Metrics planning and tracking'!$K$5,"")</f>
        <v/>
      </c>
      <c r="AB101" s="10" t="str">
        <f>IF(A101&lt;&gt;"",'Metrics planning and tracking'!$K$2,"")</f>
        <v/>
      </c>
      <c r="AC101" s="10" t="str">
        <f>IF(A101&lt;&gt;"",'Metrics planning and tracking'!$K$3,"")</f>
        <v/>
      </c>
      <c r="AD101" s="10" t="str">
        <f>IF(A101&lt;&gt;"",IF(AND(#REF!&lt;&gt;"",#REF!&lt;&gt;"",#REF!&lt;&gt;0),#REF!/#REF!*100,"NA"),"")</f>
        <v/>
      </c>
      <c r="AE101" s="10" t="str">
        <f>IF(A101&lt;&gt;"",IF(AND(#REF!&lt;&gt;"",#REF!&lt;&gt;"",#REF!&lt;&gt;0),#REF!/#REF!*100,"NA"),"")</f>
        <v/>
      </c>
      <c r="AF101" s="57" t="str">
        <f t="shared" si="20"/>
        <v/>
      </c>
      <c r="AG101" s="57" t="str">
        <f t="shared" si="21"/>
        <v/>
      </c>
      <c r="AH101" s="58" t="str">
        <f t="shared" si="22"/>
        <v/>
      </c>
      <c r="AV101" s="22" t="str">
        <f>IF(A101&lt;&gt;"",A101 &amp; "-" &amp;#REF! &amp; ROW(),"")</f>
        <v/>
      </c>
    </row>
    <row r="102" spans="11:48" x14ac:dyDescent="0.2">
      <c r="K102" s="11" t="str">
        <f>IF(AND(COUNTA(B102:C102)&gt;1,COUNTA(F102:G102)&gt;1,O102="Completed"),(G102-C102)/(C102-#REF!+1)%,"")</f>
        <v/>
      </c>
      <c r="L102" s="11" t="str">
        <f>IF(AND(COUNT(D102:E102)&gt;0,COUNTA(F102:G102)&gt;1,O102="Completed"),(G102-AG102)/(AG102-#REF!+1)%,"")</f>
        <v/>
      </c>
      <c r="M102" s="11" t="str">
        <f t="shared" si="17"/>
        <v/>
      </c>
      <c r="N102" s="11" t="str">
        <f t="shared" si="18"/>
        <v/>
      </c>
      <c r="O102" s="12"/>
      <c r="P102" s="12"/>
      <c r="R102" s="10" t="str">
        <f>IF(H102&lt;&gt;"",SUMIF(H$3:H102,"&lt;&gt;" &amp; "",H$3:H102),"")</f>
        <v/>
      </c>
      <c r="S102" s="10" t="str">
        <f t="array" ref="S102">IF(O102="Completed",SUMIF(W$3:W102,"&lt;&gt;" &amp; "",W$3:W102),"")</f>
        <v/>
      </c>
      <c r="T102" s="10" t="str">
        <f t="array" ref="T102">IF(AND(J102&lt;&gt;"",O102="Completed"),SUM(IF(O$3:O102="Completed",J$3:J102,0)),"")</f>
        <v/>
      </c>
      <c r="U102" s="10" t="str">
        <f t="shared" si="16"/>
        <v/>
      </c>
      <c r="V102" s="10">
        <f>ROW()</f>
        <v>102</v>
      </c>
      <c r="W102" s="10" t="str">
        <f t="shared" si="19"/>
        <v/>
      </c>
      <c r="Z102" s="10" t="str">
        <f>IF(A102&lt;&gt;"",'Metrics planning and tracking'!$K$4,"")</f>
        <v/>
      </c>
      <c r="AA102" s="10" t="str">
        <f>IF(A102&lt;&gt;"",'Metrics planning and tracking'!$K$5,"")</f>
        <v/>
      </c>
      <c r="AB102" s="10" t="str">
        <f>IF(A102&lt;&gt;"",'Metrics planning and tracking'!$K$2,"")</f>
        <v/>
      </c>
      <c r="AC102" s="10" t="str">
        <f>IF(A102&lt;&gt;"",'Metrics planning and tracking'!$K$3,"")</f>
        <v/>
      </c>
      <c r="AD102" s="10" t="str">
        <f>IF(A102&lt;&gt;"",IF(AND(#REF!&lt;&gt;"",#REF!&lt;&gt;"",#REF!&lt;&gt;0),#REF!/#REF!*100,"NA"),"")</f>
        <v/>
      </c>
      <c r="AE102" s="10" t="str">
        <f>IF(A102&lt;&gt;"",IF(AND(#REF!&lt;&gt;"",#REF!&lt;&gt;"",#REF!&lt;&gt;0),#REF!/#REF!*100,"NA"),"")</f>
        <v/>
      </c>
      <c r="AF102" s="57" t="str">
        <f t="shared" si="20"/>
        <v/>
      </c>
      <c r="AG102" s="57" t="str">
        <f t="shared" si="21"/>
        <v/>
      </c>
      <c r="AH102" s="58" t="str">
        <f t="shared" si="22"/>
        <v/>
      </c>
      <c r="AV102" s="22" t="str">
        <f>IF(A102&lt;&gt;"",A102 &amp; "-" &amp;#REF! &amp; ROW(),"")</f>
        <v/>
      </c>
    </row>
    <row r="103" spans="11:48" x14ac:dyDescent="0.2">
      <c r="K103" s="11" t="str">
        <f>IF(AND(COUNTA(B103:C103)&gt;1,COUNTA(F103:G103)&gt;1,O103="Completed"),(G103-C103)/(C103-#REF!+1)%,"")</f>
        <v/>
      </c>
      <c r="L103" s="11" t="str">
        <f>IF(AND(COUNT(D103:E103)&gt;0,COUNTA(F103:G103)&gt;1,O103="Completed"),(G103-AG103)/(AG103-#REF!+1)%,"")</f>
        <v/>
      </c>
      <c r="M103" s="11" t="str">
        <f t="shared" si="17"/>
        <v/>
      </c>
      <c r="N103" s="11" t="str">
        <f t="shared" si="18"/>
        <v/>
      </c>
      <c r="O103" s="12"/>
      <c r="P103" s="12"/>
      <c r="R103" s="10" t="str">
        <f>IF(H103&lt;&gt;"",SUMIF(H$3:H103,"&lt;&gt;" &amp; "",H$3:H103),"")</f>
        <v/>
      </c>
      <c r="S103" s="10" t="str">
        <f t="array" ref="S103">IF(O103="Completed",SUMIF(W$3:W103,"&lt;&gt;" &amp; "",W$3:W103),"")</f>
        <v/>
      </c>
      <c r="T103" s="10" t="str">
        <f t="array" ref="T103">IF(AND(J103&lt;&gt;"",O103="Completed"),SUM(IF(O$3:O103="Completed",J$3:J103,0)),"")</f>
        <v/>
      </c>
      <c r="U103" s="10" t="str">
        <f t="shared" si="16"/>
        <v/>
      </c>
      <c r="V103" s="10">
        <f>ROW()</f>
        <v>103</v>
      </c>
      <c r="W103" s="10" t="str">
        <f t="shared" si="19"/>
        <v/>
      </c>
      <c r="Z103" s="10" t="str">
        <f>IF(A103&lt;&gt;"",'Metrics planning and tracking'!$K$4,"")</f>
        <v/>
      </c>
      <c r="AA103" s="10" t="str">
        <f>IF(A103&lt;&gt;"",'Metrics planning and tracking'!$K$5,"")</f>
        <v/>
      </c>
      <c r="AB103" s="10" t="str">
        <f>IF(A103&lt;&gt;"",'Metrics planning and tracking'!$K$2,"")</f>
        <v/>
      </c>
      <c r="AC103" s="10" t="str">
        <f>IF(A103&lt;&gt;"",'Metrics planning and tracking'!$K$3,"")</f>
        <v/>
      </c>
      <c r="AD103" s="10" t="str">
        <f>IF(A103&lt;&gt;"",IF(AND(#REF!&lt;&gt;"",#REF!&lt;&gt;"",#REF!&lt;&gt;0),#REF!/#REF!*100,"NA"),"")</f>
        <v/>
      </c>
      <c r="AE103" s="10" t="str">
        <f>IF(A103&lt;&gt;"",IF(AND(#REF!&lt;&gt;"",#REF!&lt;&gt;"",#REF!&lt;&gt;0),#REF!/#REF!*100,"NA"),"")</f>
        <v/>
      </c>
      <c r="AF103" s="57" t="str">
        <f t="shared" si="20"/>
        <v/>
      </c>
      <c r="AG103" s="57" t="str">
        <f t="shared" si="21"/>
        <v/>
      </c>
      <c r="AH103" s="58" t="str">
        <f t="shared" si="22"/>
        <v/>
      </c>
      <c r="AV103" s="22" t="str">
        <f>IF(A103&lt;&gt;"",A103 &amp; "-" &amp;#REF! &amp; ROW(),"")</f>
        <v/>
      </c>
    </row>
    <row r="104" spans="11:48" x14ac:dyDescent="0.2">
      <c r="K104" s="11" t="str">
        <f>IF(AND(COUNTA(B104:C104)&gt;1,COUNTA(F104:G104)&gt;1,O104="Completed"),(G104-C104)/(C104-#REF!+1)%,"")</f>
        <v/>
      </c>
      <c r="L104" s="11" t="str">
        <f>IF(AND(COUNT(D104:E104)&gt;0,COUNTA(F104:G104)&gt;1,O104="Completed"),(G104-AG104)/(AG104-#REF!+1)%,"")</f>
        <v/>
      </c>
      <c r="M104" s="11" t="str">
        <f t="shared" si="17"/>
        <v/>
      </c>
      <c r="N104" s="11" t="str">
        <f t="shared" si="18"/>
        <v/>
      </c>
      <c r="O104" s="12"/>
      <c r="P104" s="12"/>
      <c r="R104" s="10" t="str">
        <f>IF(H104&lt;&gt;"",SUMIF(H$3:H104,"&lt;&gt;" &amp; "",H$3:H104),"")</f>
        <v/>
      </c>
      <c r="S104" s="10" t="str">
        <f t="array" ref="S104">IF(O104="Completed",SUMIF(W$3:W104,"&lt;&gt;" &amp; "",W$3:W104),"")</f>
        <v/>
      </c>
      <c r="T104" s="10" t="str">
        <f t="array" ref="T104">IF(AND(J104&lt;&gt;"",O104="Completed"),SUM(IF(O$3:O104="Completed",J$3:J104,0)),"")</f>
        <v/>
      </c>
      <c r="U104" s="10" t="str">
        <f t="shared" si="16"/>
        <v/>
      </c>
      <c r="V104" s="10">
        <f>ROW()</f>
        <v>104</v>
      </c>
      <c r="W104" s="10" t="str">
        <f t="shared" si="19"/>
        <v/>
      </c>
      <c r="Z104" s="10" t="str">
        <f>IF(A104&lt;&gt;"",'Metrics planning and tracking'!$K$4,"")</f>
        <v/>
      </c>
      <c r="AA104" s="10" t="str">
        <f>IF(A104&lt;&gt;"",'Metrics planning and tracking'!$K$5,"")</f>
        <v/>
      </c>
      <c r="AB104" s="10" t="str">
        <f>IF(A104&lt;&gt;"",'Metrics planning and tracking'!$K$2,"")</f>
        <v/>
      </c>
      <c r="AC104" s="10" t="str">
        <f>IF(A104&lt;&gt;"",'Metrics planning and tracking'!$K$3,"")</f>
        <v/>
      </c>
      <c r="AD104" s="10" t="str">
        <f>IF(A104&lt;&gt;"",IF(AND(#REF!&lt;&gt;"",#REF!&lt;&gt;"",#REF!&lt;&gt;0),#REF!/#REF!*100,"NA"),"")</f>
        <v/>
      </c>
      <c r="AE104" s="10" t="str">
        <f>IF(A104&lt;&gt;"",IF(AND(#REF!&lt;&gt;"",#REF!&lt;&gt;"",#REF!&lt;&gt;0),#REF!/#REF!*100,"NA"),"")</f>
        <v/>
      </c>
      <c r="AF104" s="57" t="str">
        <f t="shared" si="20"/>
        <v/>
      </c>
      <c r="AG104" s="57" t="str">
        <f t="shared" si="21"/>
        <v/>
      </c>
      <c r="AH104" s="58" t="str">
        <f t="shared" si="22"/>
        <v/>
      </c>
      <c r="AV104" s="22" t="str">
        <f>IF(A104&lt;&gt;"",A104 &amp; "-" &amp;#REF! &amp; ROW(),"")</f>
        <v/>
      </c>
    </row>
    <row r="105" spans="11:48" x14ac:dyDescent="0.2">
      <c r="K105" s="11" t="str">
        <f>IF(AND(COUNTA(B105:C105)&gt;1,COUNTA(F105:G105)&gt;1,O105="Completed"),(G105-C105)/(C105-#REF!+1)%,"")</f>
        <v/>
      </c>
      <c r="L105" s="11" t="str">
        <f>IF(AND(COUNT(D105:E105)&gt;0,COUNTA(F105:G105)&gt;1,O105="Completed"),(G105-AG105)/(AG105-#REF!+1)%,"")</f>
        <v/>
      </c>
      <c r="M105" s="11" t="str">
        <f t="shared" si="17"/>
        <v/>
      </c>
      <c r="N105" s="11" t="str">
        <f t="shared" si="18"/>
        <v/>
      </c>
      <c r="O105" s="12"/>
      <c r="P105" s="12"/>
      <c r="R105" s="10" t="str">
        <f>IF(H105&lt;&gt;"",SUMIF(H$3:H105,"&lt;&gt;" &amp; "",H$3:H105),"")</f>
        <v/>
      </c>
      <c r="S105" s="10" t="str">
        <f t="array" ref="S105">IF(O105="Completed",SUMIF(W$3:W105,"&lt;&gt;" &amp; "",W$3:W105),"")</f>
        <v/>
      </c>
      <c r="T105" s="10" t="str">
        <f t="array" ref="T105">IF(AND(J105&lt;&gt;"",O105="Completed"),SUM(IF(O$3:O105="Completed",J$3:J105,0)),"")</f>
        <v/>
      </c>
      <c r="U105" s="10" t="str">
        <f t="shared" si="16"/>
        <v/>
      </c>
      <c r="V105" s="10">
        <f>ROW()</f>
        <v>105</v>
      </c>
      <c r="W105" s="10" t="str">
        <f t="shared" si="19"/>
        <v/>
      </c>
      <c r="Z105" s="10" t="str">
        <f>IF(A105&lt;&gt;"",'Metrics planning and tracking'!$K$4,"")</f>
        <v/>
      </c>
      <c r="AA105" s="10" t="str">
        <f>IF(A105&lt;&gt;"",'Metrics planning and tracking'!$K$5,"")</f>
        <v/>
      </c>
      <c r="AB105" s="10" t="str">
        <f>IF(A105&lt;&gt;"",'Metrics planning and tracking'!$K$2,"")</f>
        <v/>
      </c>
      <c r="AC105" s="10" t="str">
        <f>IF(A105&lt;&gt;"",'Metrics planning and tracking'!$K$3,"")</f>
        <v/>
      </c>
      <c r="AD105" s="10" t="str">
        <f>IF(A105&lt;&gt;"",IF(AND(#REF!&lt;&gt;"",#REF!&lt;&gt;"",#REF!&lt;&gt;0),#REF!/#REF!*100,"NA"),"")</f>
        <v/>
      </c>
      <c r="AE105" s="10" t="str">
        <f>IF(A105&lt;&gt;"",IF(AND(#REF!&lt;&gt;"",#REF!&lt;&gt;"",#REF!&lt;&gt;0),#REF!/#REF!*100,"NA"),"")</f>
        <v/>
      </c>
      <c r="AF105" s="57" t="str">
        <f t="shared" si="20"/>
        <v/>
      </c>
      <c r="AG105" s="57" t="str">
        <f t="shared" si="21"/>
        <v/>
      </c>
      <c r="AH105" s="58" t="str">
        <f t="shared" si="22"/>
        <v/>
      </c>
      <c r="AV105" s="22" t="str">
        <f>IF(A105&lt;&gt;"",A105 &amp; "-" &amp;#REF! &amp; ROW(),"")</f>
        <v/>
      </c>
    </row>
    <row r="106" spans="11:48" x14ac:dyDescent="0.2">
      <c r="K106" s="11" t="str">
        <f>IF(AND(COUNTA(B106:C106)&gt;1,COUNTA(F106:G106)&gt;1,O106="Completed"),(G106-C106)/(C106-#REF!+1)%,"")</f>
        <v/>
      </c>
      <c r="L106" s="11" t="str">
        <f>IF(AND(COUNT(D106:E106)&gt;0,COUNTA(F106:G106)&gt;1,O106="Completed"),(G106-AG106)/(AG106-#REF!+1)%,"")</f>
        <v/>
      </c>
      <c r="M106" s="11" t="str">
        <f t="shared" si="17"/>
        <v/>
      </c>
      <c r="N106" s="11" t="str">
        <f t="shared" si="18"/>
        <v/>
      </c>
      <c r="O106" s="12"/>
      <c r="P106" s="12"/>
      <c r="R106" s="10" t="str">
        <f>IF(H106&lt;&gt;"",SUMIF(H$3:H106,"&lt;&gt;" &amp; "",H$3:H106),"")</f>
        <v/>
      </c>
      <c r="S106" s="10" t="str">
        <f t="array" ref="S106">IF(O106="Completed",SUMIF(W$3:W106,"&lt;&gt;" &amp; "",W$3:W106),"")</f>
        <v/>
      </c>
      <c r="T106" s="10" t="str">
        <f t="array" ref="T106">IF(AND(J106&lt;&gt;"",O106="Completed"),SUM(IF(O$3:O106="Completed",J$3:J106,0)),"")</f>
        <v/>
      </c>
      <c r="U106" s="10" t="str">
        <f t="shared" si="16"/>
        <v/>
      </c>
      <c r="V106" s="10">
        <f>ROW()</f>
        <v>106</v>
      </c>
      <c r="W106" s="10" t="str">
        <f t="shared" si="19"/>
        <v/>
      </c>
      <c r="Z106" s="10" t="str">
        <f>IF(A106&lt;&gt;"",'Metrics planning and tracking'!$K$4,"")</f>
        <v/>
      </c>
      <c r="AA106" s="10" t="str">
        <f>IF(A106&lt;&gt;"",'Metrics planning and tracking'!$K$5,"")</f>
        <v/>
      </c>
      <c r="AB106" s="10" t="str">
        <f>IF(A106&lt;&gt;"",'Metrics planning and tracking'!$K$2,"")</f>
        <v/>
      </c>
      <c r="AC106" s="10" t="str">
        <f>IF(A106&lt;&gt;"",'Metrics planning and tracking'!$K$3,"")</f>
        <v/>
      </c>
      <c r="AD106" s="10" t="str">
        <f>IF(A106&lt;&gt;"",IF(AND(#REF!&lt;&gt;"",#REF!&lt;&gt;"",#REF!&lt;&gt;0),#REF!/#REF!*100,"NA"),"")</f>
        <v/>
      </c>
      <c r="AE106" s="10" t="str">
        <f>IF(A106&lt;&gt;"",IF(AND(#REF!&lt;&gt;"",#REF!&lt;&gt;"",#REF!&lt;&gt;0),#REF!/#REF!*100,"NA"),"")</f>
        <v/>
      </c>
      <c r="AF106" s="57" t="str">
        <f t="shared" si="20"/>
        <v/>
      </c>
      <c r="AG106" s="57" t="str">
        <f t="shared" si="21"/>
        <v/>
      </c>
      <c r="AH106" s="58" t="str">
        <f t="shared" si="22"/>
        <v/>
      </c>
      <c r="AV106" s="22" t="str">
        <f>IF(A106&lt;&gt;"",A106 &amp; "-" &amp;#REF! &amp; ROW(),"")</f>
        <v/>
      </c>
    </row>
    <row r="107" spans="11:48" x14ac:dyDescent="0.2">
      <c r="K107" s="11" t="str">
        <f>IF(AND(COUNTA(B107:C107)&gt;1,COUNTA(F107:G107)&gt;1,O107="Completed"),(G107-C107)/(C107-#REF!+1)%,"")</f>
        <v/>
      </c>
      <c r="L107" s="11" t="str">
        <f>IF(AND(COUNT(D107:E107)&gt;0,COUNTA(F107:G107)&gt;1,O107="Completed"),(G107-AG107)/(AG107-#REF!+1)%,"")</f>
        <v/>
      </c>
      <c r="M107" s="11" t="str">
        <f t="shared" si="17"/>
        <v/>
      </c>
      <c r="N107" s="11" t="str">
        <f t="shared" si="18"/>
        <v/>
      </c>
      <c r="O107" s="12"/>
      <c r="P107" s="12"/>
      <c r="R107" s="10" t="str">
        <f>IF(H107&lt;&gt;"",SUMIF(H$3:H107,"&lt;&gt;" &amp; "",H$3:H107),"")</f>
        <v/>
      </c>
      <c r="S107" s="10" t="str">
        <f t="array" ref="S107">IF(O107="Completed",SUMIF(W$3:W107,"&lt;&gt;" &amp; "",W$3:W107),"")</f>
        <v/>
      </c>
      <c r="T107" s="10" t="str">
        <f t="array" ref="T107">IF(AND(J107&lt;&gt;"",O107="Completed"),SUM(IF(O$3:O107="Completed",J$3:J107,0)),"")</f>
        <v/>
      </c>
      <c r="U107" s="10" t="str">
        <f t="shared" si="16"/>
        <v/>
      </c>
      <c r="V107" s="10">
        <f>ROW()</f>
        <v>107</v>
      </c>
      <c r="W107" s="10" t="str">
        <f t="shared" si="19"/>
        <v/>
      </c>
      <c r="Z107" s="10" t="str">
        <f>IF(A107&lt;&gt;"",'Metrics planning and tracking'!$K$4,"")</f>
        <v/>
      </c>
      <c r="AA107" s="10" t="str">
        <f>IF(A107&lt;&gt;"",'Metrics planning and tracking'!$K$5,"")</f>
        <v/>
      </c>
      <c r="AB107" s="10" t="str">
        <f>IF(A107&lt;&gt;"",'Metrics planning and tracking'!$K$2,"")</f>
        <v/>
      </c>
      <c r="AC107" s="10" t="str">
        <f>IF(A107&lt;&gt;"",'Metrics planning and tracking'!$K$3,"")</f>
        <v/>
      </c>
      <c r="AD107" s="10" t="str">
        <f>IF(A107&lt;&gt;"",IF(AND(#REF!&lt;&gt;"",#REF!&lt;&gt;"",#REF!&lt;&gt;0),#REF!/#REF!*100,"NA"),"")</f>
        <v/>
      </c>
      <c r="AE107" s="10" t="str">
        <f>IF(A107&lt;&gt;"",IF(AND(#REF!&lt;&gt;"",#REF!&lt;&gt;"",#REF!&lt;&gt;0),#REF!/#REF!*100,"NA"),"")</f>
        <v/>
      </c>
      <c r="AF107" s="57" t="str">
        <f t="shared" si="20"/>
        <v/>
      </c>
      <c r="AG107" s="57" t="str">
        <f t="shared" si="21"/>
        <v/>
      </c>
      <c r="AH107" s="58" t="str">
        <f t="shared" si="22"/>
        <v/>
      </c>
      <c r="AV107" s="22" t="str">
        <f>IF(A107&lt;&gt;"",A107 &amp; "-" &amp;#REF! &amp; ROW(),"")</f>
        <v/>
      </c>
    </row>
    <row r="108" spans="11:48" x14ac:dyDescent="0.2">
      <c r="K108" s="11" t="str">
        <f>IF(AND(COUNTA(B108:C108)&gt;1,COUNTA(F108:G108)&gt;1,O108="Completed"),(G108-C108)/(C108-#REF!+1)%,"")</f>
        <v/>
      </c>
      <c r="L108" s="11" t="str">
        <f>IF(AND(COUNT(D108:E108)&gt;0,COUNTA(F108:G108)&gt;1,O108="Completed"),(G108-AG108)/(AG108-#REF!+1)%,"")</f>
        <v/>
      </c>
      <c r="M108" s="11" t="str">
        <f t="shared" si="17"/>
        <v/>
      </c>
      <c r="N108" s="11" t="str">
        <f t="shared" si="18"/>
        <v/>
      </c>
      <c r="O108" s="12"/>
      <c r="P108" s="12"/>
      <c r="R108" s="10" t="str">
        <f>IF(H108&lt;&gt;"",SUMIF(H$3:H108,"&lt;&gt;" &amp; "",H$3:H108),"")</f>
        <v/>
      </c>
      <c r="S108" s="10" t="str">
        <f t="array" ref="S108">IF(O108="Completed",SUMIF(W$3:W108,"&lt;&gt;" &amp; "",W$3:W108),"")</f>
        <v/>
      </c>
      <c r="T108" s="10" t="str">
        <f t="array" ref="T108">IF(AND(J108&lt;&gt;"",O108="Completed"),SUM(IF(O$3:O108="Completed",J$3:J108,0)),"")</f>
        <v/>
      </c>
      <c r="U108" s="10" t="str">
        <f t="shared" si="16"/>
        <v/>
      </c>
      <c r="V108" s="10">
        <f>ROW()</f>
        <v>108</v>
      </c>
      <c r="W108" s="10" t="str">
        <f t="shared" si="19"/>
        <v/>
      </c>
      <c r="Z108" s="10" t="str">
        <f>IF(A108&lt;&gt;"",'Metrics planning and tracking'!$K$4,"")</f>
        <v/>
      </c>
      <c r="AA108" s="10" t="str">
        <f>IF(A108&lt;&gt;"",'Metrics planning and tracking'!$K$5,"")</f>
        <v/>
      </c>
      <c r="AB108" s="10" t="str">
        <f>IF(A108&lt;&gt;"",'Metrics planning and tracking'!$K$2,"")</f>
        <v/>
      </c>
      <c r="AC108" s="10" t="str">
        <f>IF(A108&lt;&gt;"",'Metrics planning and tracking'!$K$3,"")</f>
        <v/>
      </c>
      <c r="AD108" s="10" t="str">
        <f>IF(A108&lt;&gt;"",IF(AND(#REF!&lt;&gt;"",#REF!&lt;&gt;"",#REF!&lt;&gt;0),#REF!/#REF!*100,"NA"),"")</f>
        <v/>
      </c>
      <c r="AE108" s="10" t="str">
        <f>IF(A108&lt;&gt;"",IF(AND(#REF!&lt;&gt;"",#REF!&lt;&gt;"",#REF!&lt;&gt;0),#REF!/#REF!*100,"NA"),"")</f>
        <v/>
      </c>
      <c r="AF108" s="57" t="str">
        <f t="shared" si="20"/>
        <v/>
      </c>
      <c r="AG108" s="57" t="str">
        <f t="shared" si="21"/>
        <v/>
      </c>
      <c r="AH108" s="58" t="str">
        <f t="shared" si="22"/>
        <v/>
      </c>
      <c r="AV108" s="22" t="str">
        <f>IF(A108&lt;&gt;"",A108 &amp; "-" &amp;#REF! &amp; ROW(),"")</f>
        <v/>
      </c>
    </row>
    <row r="109" spans="11:48" x14ac:dyDescent="0.2">
      <c r="K109" s="11" t="str">
        <f>IF(AND(COUNTA(B109:C109)&gt;1,COUNTA(F109:G109)&gt;1,O109="Completed"),(G109-C109)/(C109-#REF!+1)%,"")</f>
        <v/>
      </c>
      <c r="L109" s="11" t="str">
        <f>IF(AND(COUNT(D109:E109)&gt;0,COUNTA(F109:G109)&gt;1,O109="Completed"),(G109-AG109)/(AG109-#REF!+1)%,"")</f>
        <v/>
      </c>
      <c r="M109" s="11" t="str">
        <f t="shared" si="17"/>
        <v/>
      </c>
      <c r="N109" s="11" t="str">
        <f t="shared" si="18"/>
        <v/>
      </c>
      <c r="O109" s="12"/>
      <c r="P109" s="12"/>
      <c r="R109" s="10" t="str">
        <f>IF(H109&lt;&gt;"",SUMIF(H$3:H109,"&lt;&gt;" &amp; "",H$3:H109),"")</f>
        <v/>
      </c>
      <c r="S109" s="10" t="str">
        <f t="array" ref="S109">IF(O109="Completed",SUMIF(W$3:W109,"&lt;&gt;" &amp; "",W$3:W109),"")</f>
        <v/>
      </c>
      <c r="T109" s="10" t="str">
        <f t="array" ref="T109">IF(AND(J109&lt;&gt;"",O109="Completed"),SUM(IF(O$3:O109="Completed",J$3:J109,0)),"")</f>
        <v/>
      </c>
      <c r="U109" s="10" t="str">
        <f t="shared" si="16"/>
        <v/>
      </c>
      <c r="V109" s="10">
        <f>ROW()</f>
        <v>109</v>
      </c>
      <c r="W109" s="10" t="str">
        <f t="shared" si="19"/>
        <v/>
      </c>
      <c r="Z109" s="10" t="str">
        <f>IF(A109&lt;&gt;"",'Metrics planning and tracking'!$K$4,"")</f>
        <v/>
      </c>
      <c r="AA109" s="10" t="str">
        <f>IF(A109&lt;&gt;"",'Metrics planning and tracking'!$K$5,"")</f>
        <v/>
      </c>
      <c r="AB109" s="10" t="str">
        <f>IF(A109&lt;&gt;"",'Metrics planning and tracking'!$K$2,"")</f>
        <v/>
      </c>
      <c r="AC109" s="10" t="str">
        <f>IF(A109&lt;&gt;"",'Metrics planning and tracking'!$K$3,"")</f>
        <v/>
      </c>
      <c r="AD109" s="10" t="str">
        <f>IF(A109&lt;&gt;"",IF(AND(#REF!&lt;&gt;"",#REF!&lt;&gt;"",#REF!&lt;&gt;0),#REF!/#REF!*100,"NA"),"")</f>
        <v/>
      </c>
      <c r="AE109" s="10" t="str">
        <f>IF(A109&lt;&gt;"",IF(AND(#REF!&lt;&gt;"",#REF!&lt;&gt;"",#REF!&lt;&gt;0),#REF!/#REF!*100,"NA"),"")</f>
        <v/>
      </c>
      <c r="AF109" s="57" t="str">
        <f t="shared" si="20"/>
        <v/>
      </c>
      <c r="AG109" s="57" t="str">
        <f t="shared" si="21"/>
        <v/>
      </c>
      <c r="AH109" s="58" t="str">
        <f t="shared" si="22"/>
        <v/>
      </c>
      <c r="AV109" s="22" t="str">
        <f>IF(A109&lt;&gt;"",A109 &amp; "-" &amp;#REF! &amp; ROW(),"")</f>
        <v/>
      </c>
    </row>
    <row r="110" spans="11:48" x14ac:dyDescent="0.2">
      <c r="K110" s="11" t="str">
        <f>IF(AND(COUNTA(B110:C110)&gt;1,COUNTA(F110:G110)&gt;1,O110="Completed"),(G110-C110)/(C110-#REF!+1)%,"")</f>
        <v/>
      </c>
      <c r="L110" s="11" t="str">
        <f>IF(AND(COUNT(D110:E110)&gt;0,COUNTA(F110:G110)&gt;1,O110="Completed"),(G110-AG110)/(AG110-#REF!+1)%,"")</f>
        <v/>
      </c>
      <c r="M110" s="11" t="str">
        <f t="shared" si="17"/>
        <v/>
      </c>
      <c r="N110" s="11" t="str">
        <f t="shared" si="18"/>
        <v/>
      </c>
      <c r="O110" s="12"/>
      <c r="P110" s="12"/>
      <c r="R110" s="10" t="str">
        <f>IF(H110&lt;&gt;"",SUMIF(H$3:H110,"&lt;&gt;" &amp; "",H$3:H110),"")</f>
        <v/>
      </c>
      <c r="S110" s="10" t="str">
        <f t="array" ref="S110">IF(O110="Completed",SUMIF(W$3:W110,"&lt;&gt;" &amp; "",W$3:W110),"")</f>
        <v/>
      </c>
      <c r="T110" s="10" t="str">
        <f t="array" ref="T110">IF(AND(J110&lt;&gt;"",O110="Completed"),SUM(IF(O$3:O110="Completed",J$3:J110,0)),"")</f>
        <v/>
      </c>
      <c r="U110" s="10" t="str">
        <f t="shared" si="16"/>
        <v/>
      </c>
      <c r="V110" s="10">
        <f>ROW()</f>
        <v>110</v>
      </c>
      <c r="W110" s="10" t="str">
        <f t="shared" si="19"/>
        <v/>
      </c>
      <c r="Z110" s="10" t="str">
        <f>IF(A110&lt;&gt;"",'Metrics planning and tracking'!$K$4,"")</f>
        <v/>
      </c>
      <c r="AA110" s="10" t="str">
        <f>IF(A110&lt;&gt;"",'Metrics planning and tracking'!$K$5,"")</f>
        <v/>
      </c>
      <c r="AB110" s="10" t="str">
        <f>IF(A110&lt;&gt;"",'Metrics planning and tracking'!$K$2,"")</f>
        <v/>
      </c>
      <c r="AC110" s="10" t="str">
        <f>IF(A110&lt;&gt;"",'Metrics planning and tracking'!$K$3,"")</f>
        <v/>
      </c>
      <c r="AD110" s="10" t="str">
        <f>IF(A110&lt;&gt;"",IF(AND(#REF!&lt;&gt;"",#REF!&lt;&gt;"",#REF!&lt;&gt;0),#REF!/#REF!*100,"NA"),"")</f>
        <v/>
      </c>
      <c r="AE110" s="10" t="str">
        <f>IF(A110&lt;&gt;"",IF(AND(#REF!&lt;&gt;"",#REF!&lt;&gt;"",#REF!&lt;&gt;0),#REF!/#REF!*100,"NA"),"")</f>
        <v/>
      </c>
      <c r="AF110" s="57" t="str">
        <f t="shared" si="20"/>
        <v/>
      </c>
      <c r="AG110" s="57" t="str">
        <f t="shared" si="21"/>
        <v/>
      </c>
      <c r="AH110" s="58" t="str">
        <f t="shared" si="22"/>
        <v/>
      </c>
      <c r="AV110" s="22" t="str">
        <f>IF(A110&lt;&gt;"",A110 &amp; "-" &amp;#REF! &amp; ROW(),"")</f>
        <v/>
      </c>
    </row>
    <row r="111" spans="11:48" x14ac:dyDescent="0.2">
      <c r="K111" s="11" t="str">
        <f>IF(AND(COUNTA(B111:C111)&gt;1,COUNTA(F111:G111)&gt;1,O111="Completed"),(G111-C111)/(C111-#REF!+1)%,"")</f>
        <v/>
      </c>
      <c r="L111" s="11" t="str">
        <f>IF(AND(COUNT(D111:E111)&gt;0,COUNTA(F111:G111)&gt;1,O111="Completed"),(G111-AG111)/(AG111-#REF!+1)%,"")</f>
        <v/>
      </c>
      <c r="M111" s="11" t="str">
        <f t="shared" si="17"/>
        <v/>
      </c>
      <c r="N111" s="11" t="str">
        <f t="shared" si="18"/>
        <v/>
      </c>
      <c r="O111" s="12"/>
      <c r="P111" s="12"/>
      <c r="R111" s="10" t="str">
        <f>IF(H111&lt;&gt;"",SUMIF(H$3:H111,"&lt;&gt;" &amp; "",H$3:H111),"")</f>
        <v/>
      </c>
      <c r="S111" s="10" t="str">
        <f t="array" ref="S111">IF(O111="Completed",SUMIF(W$3:W111,"&lt;&gt;" &amp; "",W$3:W111),"")</f>
        <v/>
      </c>
      <c r="T111" s="10" t="str">
        <f t="array" ref="T111">IF(AND(J111&lt;&gt;"",O111="Completed"),SUM(IF(O$3:O111="Completed",J$3:J111,0)),"")</f>
        <v/>
      </c>
      <c r="U111" s="10" t="str">
        <f t="shared" si="16"/>
        <v/>
      </c>
      <c r="V111" s="10">
        <f>ROW()</f>
        <v>111</v>
      </c>
      <c r="W111" s="10" t="str">
        <f t="shared" si="19"/>
        <v/>
      </c>
      <c r="Z111" s="10" t="str">
        <f>IF(A111&lt;&gt;"",'Metrics planning and tracking'!$K$4,"")</f>
        <v/>
      </c>
      <c r="AA111" s="10" t="str">
        <f>IF(A111&lt;&gt;"",'Metrics planning and tracking'!$K$5,"")</f>
        <v/>
      </c>
      <c r="AB111" s="10" t="str">
        <f>IF(A111&lt;&gt;"",'Metrics planning and tracking'!$K$2,"")</f>
        <v/>
      </c>
      <c r="AC111" s="10" t="str">
        <f>IF(A111&lt;&gt;"",'Metrics planning and tracking'!$K$3,"")</f>
        <v/>
      </c>
      <c r="AD111" s="10" t="str">
        <f>IF(A111&lt;&gt;"",IF(AND(#REF!&lt;&gt;"",#REF!&lt;&gt;"",#REF!&lt;&gt;0),#REF!/#REF!*100,"NA"),"")</f>
        <v/>
      </c>
      <c r="AE111" s="10" t="str">
        <f>IF(A111&lt;&gt;"",IF(AND(#REF!&lt;&gt;"",#REF!&lt;&gt;"",#REF!&lt;&gt;0),#REF!/#REF!*100,"NA"),"")</f>
        <v/>
      </c>
      <c r="AF111" s="57" t="str">
        <f t="shared" si="20"/>
        <v/>
      </c>
      <c r="AG111" s="57" t="str">
        <f t="shared" si="21"/>
        <v/>
      </c>
      <c r="AH111" s="58" t="str">
        <f t="shared" si="22"/>
        <v/>
      </c>
      <c r="AV111" s="22" t="str">
        <f>IF(A111&lt;&gt;"",A111 &amp; "-" &amp;#REF! &amp; ROW(),"")</f>
        <v/>
      </c>
    </row>
    <row r="112" spans="11:48" x14ac:dyDescent="0.2">
      <c r="K112" s="11" t="str">
        <f>IF(AND(COUNTA(B112:C112)&gt;1,COUNTA(F112:G112)&gt;1,O112="Completed"),(G112-C112)/(C112-#REF!+1)%,"")</f>
        <v/>
      </c>
      <c r="L112" s="11" t="str">
        <f>IF(AND(COUNT(D112:E112)&gt;0,COUNTA(F112:G112)&gt;1,O112="Completed"),(G112-AG112)/(AG112-#REF!+1)%,"")</f>
        <v/>
      </c>
      <c r="M112" s="11" t="str">
        <f t="shared" si="17"/>
        <v/>
      </c>
      <c r="N112" s="11" t="str">
        <f t="shared" si="18"/>
        <v/>
      </c>
      <c r="O112" s="12"/>
      <c r="P112" s="12"/>
      <c r="R112" s="10" t="str">
        <f>IF(H112&lt;&gt;"",SUMIF(H$3:H112,"&lt;&gt;" &amp; "",H$3:H112),"")</f>
        <v/>
      </c>
      <c r="S112" s="10" t="str">
        <f t="array" ref="S112">IF(O112="Completed",SUMIF(W$3:W112,"&lt;&gt;" &amp; "",W$3:W112),"")</f>
        <v/>
      </c>
      <c r="T112" s="10" t="str">
        <f t="array" ref="T112">IF(AND(J112&lt;&gt;"",O112="Completed"),SUM(IF(O$3:O112="Completed",J$3:J112,0)),"")</f>
        <v/>
      </c>
      <c r="U112" s="10" t="str">
        <f t="shared" si="16"/>
        <v/>
      </c>
      <c r="V112" s="10">
        <f>ROW()</f>
        <v>112</v>
      </c>
      <c r="W112" s="10" t="str">
        <f t="shared" si="19"/>
        <v/>
      </c>
      <c r="Z112" s="10" t="str">
        <f>IF(A112&lt;&gt;"",'Metrics planning and tracking'!$K$4,"")</f>
        <v/>
      </c>
      <c r="AA112" s="10" t="str">
        <f>IF(A112&lt;&gt;"",'Metrics planning and tracking'!$K$5,"")</f>
        <v/>
      </c>
      <c r="AB112" s="10" t="str">
        <f>IF(A112&lt;&gt;"",'Metrics planning and tracking'!$K$2,"")</f>
        <v/>
      </c>
      <c r="AC112" s="10" t="str">
        <f>IF(A112&lt;&gt;"",'Metrics planning and tracking'!$K$3,"")</f>
        <v/>
      </c>
      <c r="AD112" s="10" t="str">
        <f>IF(A112&lt;&gt;"",IF(AND(#REF!&lt;&gt;"",#REF!&lt;&gt;"",#REF!&lt;&gt;0),#REF!/#REF!*100,"NA"),"")</f>
        <v/>
      </c>
      <c r="AE112" s="10" t="str">
        <f>IF(A112&lt;&gt;"",IF(AND(#REF!&lt;&gt;"",#REF!&lt;&gt;"",#REF!&lt;&gt;0),#REF!/#REF!*100,"NA"),"")</f>
        <v/>
      </c>
      <c r="AF112" s="57" t="str">
        <f t="shared" si="20"/>
        <v/>
      </c>
      <c r="AG112" s="57" t="str">
        <f t="shared" si="21"/>
        <v/>
      </c>
      <c r="AH112" s="58" t="str">
        <f t="shared" si="22"/>
        <v/>
      </c>
      <c r="AV112" s="22" t="str">
        <f>IF(A112&lt;&gt;"",A112 &amp; "-" &amp;#REF! &amp; ROW(),"")</f>
        <v/>
      </c>
    </row>
    <row r="113" spans="11:48" x14ac:dyDescent="0.2">
      <c r="K113" s="11" t="str">
        <f>IF(AND(COUNTA(B113:C113)&gt;1,COUNTA(F113:G113)&gt;1,O113="Completed"),(G113-C113)/(C113-#REF!+1)%,"")</f>
        <v/>
      </c>
      <c r="L113" s="11" t="str">
        <f>IF(AND(COUNT(D113:E113)&gt;0,COUNTA(F113:G113)&gt;1,O113="Completed"),(G113-AG113)/(AG113-#REF!+1)%,"")</f>
        <v/>
      </c>
      <c r="M113" s="11" t="str">
        <f t="shared" si="17"/>
        <v/>
      </c>
      <c r="N113" s="11" t="str">
        <f t="shared" si="18"/>
        <v/>
      </c>
      <c r="O113" s="12"/>
      <c r="P113" s="12"/>
      <c r="R113" s="10" t="str">
        <f>IF(H113&lt;&gt;"",SUMIF(H$3:H113,"&lt;&gt;" &amp; "",H$3:H113),"")</f>
        <v/>
      </c>
      <c r="S113" s="10" t="str">
        <f t="array" ref="S113">IF(O113="Completed",SUMIF(W$3:W113,"&lt;&gt;" &amp; "",W$3:W113),"")</f>
        <v/>
      </c>
      <c r="T113" s="10" t="str">
        <f t="array" ref="T113">IF(AND(J113&lt;&gt;"",O113="Completed"),SUM(IF(O$3:O113="Completed",J$3:J113,0)),"")</f>
        <v/>
      </c>
      <c r="U113" s="10" t="str">
        <f t="shared" si="16"/>
        <v/>
      </c>
      <c r="V113" s="10">
        <f>ROW()</f>
        <v>113</v>
      </c>
      <c r="W113" s="10" t="str">
        <f t="shared" si="19"/>
        <v/>
      </c>
      <c r="Z113" s="10" t="str">
        <f>IF(A113&lt;&gt;"",'Metrics planning and tracking'!$K$4,"")</f>
        <v/>
      </c>
      <c r="AA113" s="10" t="str">
        <f>IF(A113&lt;&gt;"",'Metrics planning and tracking'!$K$5,"")</f>
        <v/>
      </c>
      <c r="AB113" s="10" t="str">
        <f>IF(A113&lt;&gt;"",'Metrics planning and tracking'!$K$2,"")</f>
        <v/>
      </c>
      <c r="AC113" s="10" t="str">
        <f>IF(A113&lt;&gt;"",'Metrics planning and tracking'!$K$3,"")</f>
        <v/>
      </c>
      <c r="AD113" s="10" t="str">
        <f>IF(A113&lt;&gt;"",IF(AND(#REF!&lt;&gt;"",#REF!&lt;&gt;"",#REF!&lt;&gt;0),#REF!/#REF!*100,"NA"),"")</f>
        <v/>
      </c>
      <c r="AE113" s="10" t="str">
        <f>IF(A113&lt;&gt;"",IF(AND(#REF!&lt;&gt;"",#REF!&lt;&gt;"",#REF!&lt;&gt;0),#REF!/#REF!*100,"NA"),"")</f>
        <v/>
      </c>
      <c r="AF113" s="57" t="str">
        <f t="shared" si="20"/>
        <v/>
      </c>
      <c r="AG113" s="57" t="str">
        <f t="shared" si="21"/>
        <v/>
      </c>
      <c r="AH113" s="58" t="str">
        <f t="shared" si="22"/>
        <v/>
      </c>
      <c r="AV113" s="22" t="str">
        <f>IF(A113&lt;&gt;"",A113 &amp; "-" &amp;#REF! &amp; ROW(),"")</f>
        <v/>
      </c>
    </row>
    <row r="114" spans="11:48" x14ac:dyDescent="0.2">
      <c r="K114" s="11" t="str">
        <f>IF(AND(COUNTA(B114:C114)&gt;1,COUNTA(F114:G114)&gt;1,O114="Completed"),(G114-C114)/(C114-#REF!+1)%,"")</f>
        <v/>
      </c>
      <c r="L114" s="11" t="str">
        <f>IF(AND(COUNT(D114:E114)&gt;0,COUNTA(F114:G114)&gt;1,O114="Completed"),(G114-AG114)/(AG114-#REF!+1)%,"")</f>
        <v/>
      </c>
      <c r="M114" s="11" t="str">
        <f t="shared" si="17"/>
        <v/>
      </c>
      <c r="N114" s="11" t="str">
        <f t="shared" si="18"/>
        <v/>
      </c>
      <c r="O114" s="12"/>
      <c r="P114" s="12"/>
      <c r="R114" s="10" t="str">
        <f>IF(H114&lt;&gt;"",SUMIF(H$3:H114,"&lt;&gt;" &amp; "",H$3:H114),"")</f>
        <v/>
      </c>
      <c r="S114" s="10" t="str">
        <f t="array" ref="S114">IF(O114="Completed",SUMIF(W$3:W114,"&lt;&gt;" &amp; "",W$3:W114),"")</f>
        <v/>
      </c>
      <c r="T114" s="10" t="str">
        <f t="array" ref="T114">IF(AND(J114&lt;&gt;"",O114="Completed"),SUM(IF(O$3:O114="Completed",J$3:J114,0)),"")</f>
        <v/>
      </c>
      <c r="U114" s="10" t="str">
        <f t="shared" si="16"/>
        <v/>
      </c>
      <c r="V114" s="10">
        <f>ROW()</f>
        <v>114</v>
      </c>
      <c r="W114" s="10" t="str">
        <f t="shared" si="19"/>
        <v/>
      </c>
      <c r="Z114" s="10" t="str">
        <f>IF(A114&lt;&gt;"",'Metrics planning and tracking'!$K$4,"")</f>
        <v/>
      </c>
      <c r="AA114" s="10" t="str">
        <f>IF(A114&lt;&gt;"",'Metrics planning and tracking'!$K$5,"")</f>
        <v/>
      </c>
      <c r="AB114" s="10" t="str">
        <f>IF(A114&lt;&gt;"",'Metrics planning and tracking'!$K$2,"")</f>
        <v/>
      </c>
      <c r="AC114" s="10" t="str">
        <f>IF(A114&lt;&gt;"",'Metrics planning and tracking'!$K$3,"")</f>
        <v/>
      </c>
      <c r="AD114" s="10" t="str">
        <f>IF(A114&lt;&gt;"",IF(AND(#REF!&lt;&gt;"",#REF!&lt;&gt;"",#REF!&lt;&gt;0),#REF!/#REF!*100,"NA"),"")</f>
        <v/>
      </c>
      <c r="AE114" s="10" t="str">
        <f>IF(A114&lt;&gt;"",IF(AND(#REF!&lt;&gt;"",#REF!&lt;&gt;"",#REF!&lt;&gt;0),#REF!/#REF!*100,"NA"),"")</f>
        <v/>
      </c>
      <c r="AF114" s="57" t="str">
        <f t="shared" si="20"/>
        <v/>
      </c>
      <c r="AG114" s="57" t="str">
        <f t="shared" si="21"/>
        <v/>
      </c>
      <c r="AH114" s="58" t="str">
        <f t="shared" si="22"/>
        <v/>
      </c>
      <c r="AV114" s="22" t="str">
        <f>IF(A114&lt;&gt;"",A114 &amp; "-" &amp;#REF! &amp; ROW(),"")</f>
        <v/>
      </c>
    </row>
    <row r="115" spans="11:48" x14ac:dyDescent="0.2">
      <c r="K115" s="11" t="str">
        <f>IF(AND(COUNTA(B115:C115)&gt;1,COUNTA(F115:G115)&gt;1,O115="Completed"),(G115-C115)/(C115-#REF!+1)%,"")</f>
        <v/>
      </c>
      <c r="L115" s="11" t="str">
        <f>IF(AND(COUNT(D115:E115)&gt;0,COUNTA(F115:G115)&gt;1,O115="Completed"),(G115-AG115)/(AG115-#REF!+1)%,"")</f>
        <v/>
      </c>
      <c r="M115" s="11" t="str">
        <f t="shared" si="17"/>
        <v/>
      </c>
      <c r="N115" s="11" t="str">
        <f t="shared" si="18"/>
        <v/>
      </c>
      <c r="O115" s="12"/>
      <c r="P115" s="12"/>
      <c r="R115" s="10" t="str">
        <f>IF(H115&lt;&gt;"",SUMIF(H$3:H115,"&lt;&gt;" &amp; "",H$3:H115),"")</f>
        <v/>
      </c>
      <c r="S115" s="10" t="str">
        <f t="array" ref="S115">IF(O115="Completed",SUMIF(W$3:W115,"&lt;&gt;" &amp; "",W$3:W115),"")</f>
        <v/>
      </c>
      <c r="T115" s="10" t="str">
        <f t="array" ref="T115">IF(AND(J115&lt;&gt;"",O115="Completed"),SUM(IF(O$3:O115="Completed",J$3:J115,0)),"")</f>
        <v/>
      </c>
      <c r="U115" s="10" t="str">
        <f t="shared" si="16"/>
        <v/>
      </c>
      <c r="V115" s="10">
        <f>ROW()</f>
        <v>115</v>
      </c>
      <c r="W115" s="10" t="str">
        <f t="shared" si="19"/>
        <v/>
      </c>
      <c r="Z115" s="10" t="str">
        <f>IF(A115&lt;&gt;"",'Metrics planning and tracking'!$K$4,"")</f>
        <v/>
      </c>
      <c r="AA115" s="10" t="str">
        <f>IF(A115&lt;&gt;"",'Metrics planning and tracking'!$K$5,"")</f>
        <v/>
      </c>
      <c r="AB115" s="10" t="str">
        <f>IF(A115&lt;&gt;"",'Metrics planning and tracking'!$K$2,"")</f>
        <v/>
      </c>
      <c r="AC115" s="10" t="str">
        <f>IF(A115&lt;&gt;"",'Metrics planning and tracking'!$K$3,"")</f>
        <v/>
      </c>
      <c r="AD115" s="10" t="str">
        <f>IF(A115&lt;&gt;"",IF(AND(#REF!&lt;&gt;"",#REF!&lt;&gt;"",#REF!&lt;&gt;0),#REF!/#REF!*100,"NA"),"")</f>
        <v/>
      </c>
      <c r="AE115" s="10" t="str">
        <f>IF(A115&lt;&gt;"",IF(AND(#REF!&lt;&gt;"",#REF!&lt;&gt;"",#REF!&lt;&gt;0),#REF!/#REF!*100,"NA"),"")</f>
        <v/>
      </c>
      <c r="AF115" s="57" t="str">
        <f t="shared" si="20"/>
        <v/>
      </c>
      <c r="AG115" s="57" t="str">
        <f t="shared" si="21"/>
        <v/>
      </c>
      <c r="AH115" s="58" t="str">
        <f t="shared" si="22"/>
        <v/>
      </c>
      <c r="AV115" s="22" t="str">
        <f>IF(A115&lt;&gt;"",A115 &amp; "-" &amp;#REF! &amp; ROW(),"")</f>
        <v/>
      </c>
    </row>
    <row r="116" spans="11:48" x14ac:dyDescent="0.2">
      <c r="K116" s="11" t="str">
        <f>IF(AND(COUNTA(B116:C116)&gt;1,COUNTA(F116:G116)&gt;1,O116="Completed"),(G116-C116)/(C116-#REF!+1)%,"")</f>
        <v/>
      </c>
      <c r="L116" s="11" t="str">
        <f>IF(AND(COUNT(D116:E116)&gt;0,COUNTA(F116:G116)&gt;1,O116="Completed"),(G116-AG116)/(AG116-#REF!+1)%,"")</f>
        <v/>
      </c>
      <c r="M116" s="11" t="str">
        <f t="shared" si="17"/>
        <v/>
      </c>
      <c r="N116" s="11" t="str">
        <f t="shared" si="18"/>
        <v/>
      </c>
      <c r="O116" s="12"/>
      <c r="P116" s="12"/>
      <c r="R116" s="10" t="str">
        <f>IF(H116&lt;&gt;"",SUMIF(H$3:H116,"&lt;&gt;" &amp; "",H$3:H116),"")</f>
        <v/>
      </c>
      <c r="S116" s="10" t="str">
        <f t="array" ref="S116">IF(O116="Completed",SUMIF(W$3:W116,"&lt;&gt;" &amp; "",W$3:W116),"")</f>
        <v/>
      </c>
      <c r="T116" s="10" t="str">
        <f t="array" ref="T116">IF(AND(J116&lt;&gt;"",O116="Completed"),SUM(IF(O$3:O116="Completed",J$3:J116,0)),"")</f>
        <v/>
      </c>
      <c r="U116" s="10" t="str">
        <f t="shared" si="16"/>
        <v/>
      </c>
      <c r="V116" s="10">
        <f>ROW()</f>
        <v>116</v>
      </c>
      <c r="W116" s="10" t="str">
        <f t="shared" si="19"/>
        <v/>
      </c>
      <c r="Z116" s="10" t="str">
        <f>IF(A116&lt;&gt;"",'Metrics planning and tracking'!$K$4,"")</f>
        <v/>
      </c>
      <c r="AA116" s="10" t="str">
        <f>IF(A116&lt;&gt;"",'Metrics planning and tracking'!$K$5,"")</f>
        <v/>
      </c>
      <c r="AB116" s="10" t="str">
        <f>IF(A116&lt;&gt;"",'Metrics planning and tracking'!$K$2,"")</f>
        <v/>
      </c>
      <c r="AC116" s="10" t="str">
        <f>IF(A116&lt;&gt;"",'Metrics planning and tracking'!$K$3,"")</f>
        <v/>
      </c>
      <c r="AD116" s="10" t="str">
        <f>IF(A116&lt;&gt;"",IF(AND(#REF!&lt;&gt;"",#REF!&lt;&gt;"",#REF!&lt;&gt;0),#REF!/#REF!*100,"NA"),"")</f>
        <v/>
      </c>
      <c r="AE116" s="10" t="str">
        <f>IF(A116&lt;&gt;"",IF(AND(#REF!&lt;&gt;"",#REF!&lt;&gt;"",#REF!&lt;&gt;0),#REF!/#REF!*100,"NA"),"")</f>
        <v/>
      </c>
      <c r="AF116" s="57" t="str">
        <f t="shared" si="20"/>
        <v/>
      </c>
      <c r="AG116" s="57" t="str">
        <f t="shared" si="21"/>
        <v/>
      </c>
      <c r="AH116" s="58" t="str">
        <f t="shared" si="22"/>
        <v/>
      </c>
      <c r="AV116" s="22" t="str">
        <f>IF(A116&lt;&gt;"",A116 &amp; "-" &amp;#REF! &amp; ROW(),"")</f>
        <v/>
      </c>
    </row>
    <row r="117" spans="11:48" x14ac:dyDescent="0.2">
      <c r="K117" s="11" t="str">
        <f>IF(AND(COUNTA(B117:C117)&gt;1,COUNTA(F117:G117)&gt;1,O117="Completed"),(G117-C117)/(C117-#REF!+1)%,"")</f>
        <v/>
      </c>
      <c r="L117" s="11" t="str">
        <f>IF(AND(COUNT(D117:E117)&gt;0,COUNTA(F117:G117)&gt;1,O117="Completed"),(G117-AG117)/(AG117-#REF!+1)%,"")</f>
        <v/>
      </c>
      <c r="M117" s="11" t="str">
        <f t="shared" si="17"/>
        <v/>
      </c>
      <c r="N117" s="11" t="str">
        <f t="shared" si="18"/>
        <v/>
      </c>
      <c r="O117" s="12"/>
      <c r="P117" s="12"/>
      <c r="R117" s="10" t="str">
        <f>IF(H117&lt;&gt;"",SUMIF(H$3:H117,"&lt;&gt;" &amp; "",H$3:H117),"")</f>
        <v/>
      </c>
      <c r="S117" s="10" t="str">
        <f t="array" ref="S117">IF(O117="Completed",SUMIF(W$3:W117,"&lt;&gt;" &amp; "",W$3:W117),"")</f>
        <v/>
      </c>
      <c r="T117" s="10" t="str">
        <f t="array" ref="T117">IF(AND(J117&lt;&gt;"",O117="Completed"),SUM(IF(O$3:O117="Completed",J$3:J117,0)),"")</f>
        <v/>
      </c>
      <c r="U117" s="10" t="str">
        <f t="shared" si="16"/>
        <v/>
      </c>
      <c r="V117" s="10">
        <f>ROW()</f>
        <v>117</v>
      </c>
      <c r="W117" s="10" t="str">
        <f t="shared" si="19"/>
        <v/>
      </c>
      <c r="Z117" s="10" t="str">
        <f>IF(A117&lt;&gt;"",'Metrics planning and tracking'!$K$4,"")</f>
        <v/>
      </c>
      <c r="AA117" s="10" t="str">
        <f>IF(A117&lt;&gt;"",'Metrics planning and tracking'!$K$5,"")</f>
        <v/>
      </c>
      <c r="AB117" s="10" t="str">
        <f>IF(A117&lt;&gt;"",'Metrics planning and tracking'!$K$2,"")</f>
        <v/>
      </c>
      <c r="AC117" s="10" t="str">
        <f>IF(A117&lt;&gt;"",'Metrics planning and tracking'!$K$3,"")</f>
        <v/>
      </c>
      <c r="AD117" s="10" t="str">
        <f>IF(A117&lt;&gt;"",IF(AND(#REF!&lt;&gt;"",#REF!&lt;&gt;"",#REF!&lt;&gt;0),#REF!/#REF!*100,"NA"),"")</f>
        <v/>
      </c>
      <c r="AE117" s="10" t="str">
        <f>IF(A117&lt;&gt;"",IF(AND(#REF!&lt;&gt;"",#REF!&lt;&gt;"",#REF!&lt;&gt;0),#REF!/#REF!*100,"NA"),"")</f>
        <v/>
      </c>
      <c r="AF117" s="57" t="str">
        <f t="shared" si="20"/>
        <v/>
      </c>
      <c r="AG117" s="57" t="str">
        <f t="shared" si="21"/>
        <v/>
      </c>
      <c r="AH117" s="58" t="str">
        <f t="shared" si="22"/>
        <v/>
      </c>
      <c r="AV117" s="22" t="str">
        <f>IF(A117&lt;&gt;"",A117 &amp; "-" &amp;#REF! &amp; ROW(),"")</f>
        <v/>
      </c>
    </row>
    <row r="118" spans="11:48" x14ac:dyDescent="0.2">
      <c r="K118" s="11" t="str">
        <f>IF(AND(COUNTA(B118:C118)&gt;1,COUNTA(F118:G118)&gt;1,O118="Completed"),(G118-C118)/(C118-#REF!+1)%,"")</f>
        <v/>
      </c>
      <c r="L118" s="11" t="str">
        <f>IF(AND(COUNT(D118:E118)&gt;0,COUNTA(F118:G118)&gt;1,O118="Completed"),(G118-AG118)/(AG118-#REF!+1)%,"")</f>
        <v/>
      </c>
      <c r="M118" s="11" t="str">
        <f t="shared" si="17"/>
        <v/>
      </c>
      <c r="N118" s="11" t="str">
        <f t="shared" si="18"/>
        <v/>
      </c>
      <c r="O118" s="12"/>
      <c r="P118" s="12"/>
      <c r="R118" s="10" t="str">
        <f>IF(H118&lt;&gt;"",SUMIF(H$3:H118,"&lt;&gt;" &amp; "",H$3:H118),"")</f>
        <v/>
      </c>
      <c r="S118" s="10" t="str">
        <f t="array" ref="S118">IF(O118="Completed",SUMIF(W$3:W118,"&lt;&gt;" &amp; "",W$3:W118),"")</f>
        <v/>
      </c>
      <c r="T118" s="10" t="str">
        <f t="array" ref="T118">IF(AND(J118&lt;&gt;"",O118="Completed"),SUM(IF(O$3:O118="Completed",J$3:J118,0)),"")</f>
        <v/>
      </c>
      <c r="U118" s="10" t="str">
        <f t="shared" si="16"/>
        <v/>
      </c>
      <c r="V118" s="10">
        <f>ROW()</f>
        <v>118</v>
      </c>
      <c r="W118" s="10" t="str">
        <f t="shared" si="19"/>
        <v/>
      </c>
      <c r="Z118" s="10" t="str">
        <f>IF(A118&lt;&gt;"",'Metrics planning and tracking'!$K$4,"")</f>
        <v/>
      </c>
      <c r="AA118" s="10" t="str">
        <f>IF(A118&lt;&gt;"",'Metrics planning and tracking'!$K$5,"")</f>
        <v/>
      </c>
      <c r="AB118" s="10" t="str">
        <f>IF(A118&lt;&gt;"",'Metrics planning and tracking'!$K$2,"")</f>
        <v/>
      </c>
      <c r="AC118" s="10" t="str">
        <f>IF(A118&lt;&gt;"",'Metrics planning and tracking'!$K$3,"")</f>
        <v/>
      </c>
      <c r="AD118" s="10" t="str">
        <f>IF(A118&lt;&gt;"",IF(AND(#REF!&lt;&gt;"",#REF!&lt;&gt;"",#REF!&lt;&gt;0),#REF!/#REF!*100,"NA"),"")</f>
        <v/>
      </c>
      <c r="AE118" s="10" t="str">
        <f>IF(A118&lt;&gt;"",IF(AND(#REF!&lt;&gt;"",#REF!&lt;&gt;"",#REF!&lt;&gt;0),#REF!/#REF!*100,"NA"),"")</f>
        <v/>
      </c>
      <c r="AF118" s="57" t="str">
        <f t="shared" si="20"/>
        <v/>
      </c>
      <c r="AG118" s="57" t="str">
        <f t="shared" si="21"/>
        <v/>
      </c>
      <c r="AH118" s="58" t="str">
        <f t="shared" si="22"/>
        <v/>
      </c>
      <c r="AV118" s="22" t="str">
        <f>IF(A118&lt;&gt;"",A118 &amp; "-" &amp;#REF! &amp; ROW(),"")</f>
        <v/>
      </c>
    </row>
    <row r="119" spans="11:48" x14ac:dyDescent="0.2">
      <c r="K119" s="11" t="str">
        <f>IF(AND(COUNTA(B119:C119)&gt;1,COUNTA(F119:G119)&gt;1,O119="Completed"),(G119-C119)/(C119-#REF!+1)%,"")</f>
        <v/>
      </c>
      <c r="L119" s="11" t="str">
        <f>IF(AND(COUNT(D119:E119)&gt;0,COUNTA(F119:G119)&gt;1,O119="Completed"),(G119-AG119)/(AG119-#REF!+1)%,"")</f>
        <v/>
      </c>
      <c r="M119" s="11" t="str">
        <f t="shared" si="17"/>
        <v/>
      </c>
      <c r="N119" s="11" t="str">
        <f t="shared" si="18"/>
        <v/>
      </c>
      <c r="O119" s="12"/>
      <c r="P119" s="12"/>
      <c r="R119" s="10" t="str">
        <f>IF(H119&lt;&gt;"",SUMIF(H$3:H119,"&lt;&gt;" &amp; "",H$3:H119),"")</f>
        <v/>
      </c>
      <c r="S119" s="10" t="str">
        <f t="array" ref="S119">IF(O119="Completed",SUMIF(W$3:W119,"&lt;&gt;" &amp; "",W$3:W119),"")</f>
        <v/>
      </c>
      <c r="T119" s="10" t="str">
        <f t="array" ref="T119">IF(AND(J119&lt;&gt;"",O119="Completed"),SUM(IF(O$3:O119="Completed",J$3:J119,0)),"")</f>
        <v/>
      </c>
      <c r="U119" s="10" t="str">
        <f t="shared" si="16"/>
        <v/>
      </c>
      <c r="V119" s="10">
        <f>ROW()</f>
        <v>119</v>
      </c>
      <c r="W119" s="10" t="str">
        <f t="shared" si="19"/>
        <v/>
      </c>
      <c r="Z119" s="10" t="str">
        <f>IF(A119&lt;&gt;"",'Metrics planning and tracking'!$K$4,"")</f>
        <v/>
      </c>
      <c r="AA119" s="10" t="str">
        <f>IF(A119&lt;&gt;"",'Metrics planning and tracking'!$K$5,"")</f>
        <v/>
      </c>
      <c r="AB119" s="10" t="str">
        <f>IF(A119&lt;&gt;"",'Metrics planning and tracking'!$K$2,"")</f>
        <v/>
      </c>
      <c r="AC119" s="10" t="str">
        <f>IF(A119&lt;&gt;"",'Metrics planning and tracking'!$K$3,"")</f>
        <v/>
      </c>
      <c r="AD119" s="10" t="str">
        <f>IF(A119&lt;&gt;"",IF(AND(#REF!&lt;&gt;"",#REF!&lt;&gt;"",#REF!&lt;&gt;0),#REF!/#REF!*100,"NA"),"")</f>
        <v/>
      </c>
      <c r="AE119" s="10" t="str">
        <f>IF(A119&lt;&gt;"",IF(AND(#REF!&lt;&gt;"",#REF!&lt;&gt;"",#REF!&lt;&gt;0),#REF!/#REF!*100,"NA"),"")</f>
        <v/>
      </c>
      <c r="AF119" s="57" t="str">
        <f t="shared" si="20"/>
        <v/>
      </c>
      <c r="AG119" s="57" t="str">
        <f t="shared" si="21"/>
        <v/>
      </c>
      <c r="AH119" s="58" t="str">
        <f t="shared" si="22"/>
        <v/>
      </c>
      <c r="AV119" s="22" t="str">
        <f>IF(A119&lt;&gt;"",A119 &amp; "-" &amp;#REF! &amp; ROW(),"")</f>
        <v/>
      </c>
    </row>
    <row r="120" spans="11:48" x14ac:dyDescent="0.2">
      <c r="K120" s="11" t="str">
        <f>IF(AND(COUNTA(B120:C120)&gt;1,COUNTA(F120:G120)&gt;1,O120="Completed"),(G120-C120)/(C120-#REF!+1)%,"")</f>
        <v/>
      </c>
      <c r="L120" s="11" t="str">
        <f>IF(AND(COUNT(D120:E120)&gt;0,COUNTA(F120:G120)&gt;1,O120="Completed"),(G120-AG120)/(AG120-#REF!+1)%,"")</f>
        <v/>
      </c>
      <c r="M120" s="11" t="str">
        <f t="shared" si="17"/>
        <v/>
      </c>
      <c r="N120" s="11" t="str">
        <f t="shared" si="18"/>
        <v/>
      </c>
      <c r="O120" s="12"/>
      <c r="P120" s="12"/>
      <c r="R120" s="10" t="str">
        <f>IF(H120&lt;&gt;"",SUMIF(H$3:H120,"&lt;&gt;" &amp; "",H$3:H120),"")</f>
        <v/>
      </c>
      <c r="S120" s="10" t="str">
        <f t="array" ref="S120">IF(O120="Completed",SUMIF(W$3:W120,"&lt;&gt;" &amp; "",W$3:W120),"")</f>
        <v/>
      </c>
      <c r="T120" s="10" t="str">
        <f t="array" ref="T120">IF(AND(J120&lt;&gt;"",O120="Completed"),SUM(IF(O$3:O120="Completed",J$3:J120,0)),"")</f>
        <v/>
      </c>
      <c r="U120" s="10" t="str">
        <f t="shared" si="16"/>
        <v/>
      </c>
      <c r="V120" s="10">
        <f>ROW()</f>
        <v>120</v>
      </c>
      <c r="W120" s="10" t="str">
        <f t="shared" si="19"/>
        <v/>
      </c>
      <c r="Z120" s="10" t="str">
        <f>IF(A120&lt;&gt;"",'Metrics planning and tracking'!$K$4,"")</f>
        <v/>
      </c>
      <c r="AA120" s="10" t="str">
        <f>IF(A120&lt;&gt;"",'Metrics planning and tracking'!$K$5,"")</f>
        <v/>
      </c>
      <c r="AB120" s="10" t="str">
        <f>IF(A120&lt;&gt;"",'Metrics planning and tracking'!$K$2,"")</f>
        <v/>
      </c>
      <c r="AC120" s="10" t="str">
        <f>IF(A120&lt;&gt;"",'Metrics planning and tracking'!$K$3,"")</f>
        <v/>
      </c>
      <c r="AD120" s="10" t="str">
        <f>IF(A120&lt;&gt;"",IF(AND(#REF!&lt;&gt;"",#REF!&lt;&gt;"",#REF!&lt;&gt;0),#REF!/#REF!*100,"NA"),"")</f>
        <v/>
      </c>
      <c r="AE120" s="10" t="str">
        <f>IF(A120&lt;&gt;"",IF(AND(#REF!&lt;&gt;"",#REF!&lt;&gt;"",#REF!&lt;&gt;0),#REF!/#REF!*100,"NA"),"")</f>
        <v/>
      </c>
      <c r="AF120" s="57" t="str">
        <f t="shared" si="20"/>
        <v/>
      </c>
      <c r="AG120" s="57" t="str">
        <f t="shared" si="21"/>
        <v/>
      </c>
      <c r="AH120" s="58" t="str">
        <f t="shared" si="22"/>
        <v/>
      </c>
      <c r="AV120" s="22" t="str">
        <f>IF(A120&lt;&gt;"",A120 &amp; "-" &amp;#REF! &amp; ROW(),"")</f>
        <v/>
      </c>
    </row>
    <row r="121" spans="11:48" x14ac:dyDescent="0.2">
      <c r="K121" s="11" t="str">
        <f>IF(AND(COUNTA(B121:C121)&gt;1,COUNTA(F121:G121)&gt;1,O121="Completed"),(G121-C121)/(C121-#REF!+1)%,"")</f>
        <v/>
      </c>
      <c r="L121" s="11" t="str">
        <f>IF(AND(COUNT(D121:E121)&gt;0,COUNTA(F121:G121)&gt;1,O121="Completed"),(G121-AG121)/(AG121-#REF!+1)%,"")</f>
        <v/>
      </c>
      <c r="M121" s="11" t="str">
        <f t="shared" si="17"/>
        <v/>
      </c>
      <c r="N121" s="11" t="str">
        <f t="shared" si="18"/>
        <v/>
      </c>
      <c r="O121" s="12"/>
      <c r="P121" s="12"/>
      <c r="R121" s="10" t="str">
        <f>IF(H121&lt;&gt;"",SUMIF(H$3:H121,"&lt;&gt;" &amp; "",H$3:H121),"")</f>
        <v/>
      </c>
      <c r="S121" s="10" t="str">
        <f t="array" ref="S121">IF(O121="Completed",SUMIF(W$3:W121,"&lt;&gt;" &amp; "",W$3:W121),"")</f>
        <v/>
      </c>
      <c r="T121" s="10" t="str">
        <f t="array" ref="T121">IF(AND(J121&lt;&gt;"",O121="Completed"),SUM(IF(O$3:O121="Completed",J$3:J121,0)),"")</f>
        <v/>
      </c>
      <c r="U121" s="10" t="str">
        <f t="shared" si="16"/>
        <v/>
      </c>
      <c r="V121" s="10">
        <f>ROW()</f>
        <v>121</v>
      </c>
      <c r="W121" s="10" t="str">
        <f t="shared" si="19"/>
        <v/>
      </c>
      <c r="Z121" s="10" t="str">
        <f>IF(A121&lt;&gt;"",'Metrics planning and tracking'!$K$4,"")</f>
        <v/>
      </c>
      <c r="AA121" s="10" t="str">
        <f>IF(A121&lt;&gt;"",'Metrics planning and tracking'!$K$5,"")</f>
        <v/>
      </c>
      <c r="AB121" s="10" t="str">
        <f>IF(A121&lt;&gt;"",'Metrics planning and tracking'!$K$2,"")</f>
        <v/>
      </c>
      <c r="AC121" s="10" t="str">
        <f>IF(A121&lt;&gt;"",'Metrics planning and tracking'!$K$3,"")</f>
        <v/>
      </c>
      <c r="AD121" s="10" t="str">
        <f>IF(A121&lt;&gt;"",IF(AND(#REF!&lt;&gt;"",#REF!&lt;&gt;"",#REF!&lt;&gt;0),#REF!/#REF!*100,"NA"),"")</f>
        <v/>
      </c>
      <c r="AE121" s="10" t="str">
        <f>IF(A121&lt;&gt;"",IF(AND(#REF!&lt;&gt;"",#REF!&lt;&gt;"",#REF!&lt;&gt;0),#REF!/#REF!*100,"NA"),"")</f>
        <v/>
      </c>
      <c r="AF121" s="57" t="str">
        <f t="shared" si="20"/>
        <v/>
      </c>
      <c r="AG121" s="57" t="str">
        <f t="shared" si="21"/>
        <v/>
      </c>
      <c r="AH121" s="58" t="str">
        <f t="shared" si="22"/>
        <v/>
      </c>
      <c r="AV121" s="22" t="str">
        <f>IF(A121&lt;&gt;"",A121 &amp; "-" &amp;#REF! &amp; ROW(),"")</f>
        <v/>
      </c>
    </row>
    <row r="122" spans="11:48" x14ac:dyDescent="0.2">
      <c r="K122" s="11" t="str">
        <f>IF(AND(COUNTA(B122:C122)&gt;1,COUNTA(F122:G122)&gt;1,O122="Completed"),(G122-C122)/(C122-#REF!+1)%,"")</f>
        <v/>
      </c>
      <c r="L122" s="11" t="str">
        <f>IF(AND(COUNT(D122:E122)&gt;0,COUNTA(F122:G122)&gt;1,O122="Completed"),(G122-AG122)/(AG122-#REF!+1)%,"")</f>
        <v/>
      </c>
      <c r="M122" s="11" t="str">
        <f t="shared" si="17"/>
        <v/>
      </c>
      <c r="N122" s="11" t="str">
        <f t="shared" si="18"/>
        <v/>
      </c>
      <c r="O122" s="12"/>
      <c r="P122" s="12"/>
      <c r="R122" s="10" t="str">
        <f>IF(H122&lt;&gt;"",SUMIF(H$3:H122,"&lt;&gt;" &amp; "",H$3:H122),"")</f>
        <v/>
      </c>
      <c r="S122" s="10" t="str">
        <f t="array" ref="S122">IF(O122="Completed",SUMIF(W$3:W122,"&lt;&gt;" &amp; "",W$3:W122),"")</f>
        <v/>
      </c>
      <c r="T122" s="10" t="str">
        <f t="array" ref="T122">IF(AND(J122&lt;&gt;"",O122="Completed"),SUM(IF(O$3:O122="Completed",J$3:J122,0)),"")</f>
        <v/>
      </c>
      <c r="U122" s="10" t="str">
        <f t="shared" si="16"/>
        <v/>
      </c>
      <c r="V122" s="10">
        <f>ROW()</f>
        <v>122</v>
      </c>
      <c r="W122" s="10" t="str">
        <f t="shared" si="19"/>
        <v/>
      </c>
      <c r="Z122" s="10" t="str">
        <f>IF(A122&lt;&gt;"",'Metrics planning and tracking'!$K$4,"")</f>
        <v/>
      </c>
      <c r="AA122" s="10" t="str">
        <f>IF(A122&lt;&gt;"",'Metrics planning and tracking'!$K$5,"")</f>
        <v/>
      </c>
      <c r="AB122" s="10" t="str">
        <f>IF(A122&lt;&gt;"",'Metrics planning and tracking'!$K$2,"")</f>
        <v/>
      </c>
      <c r="AC122" s="10" t="str">
        <f>IF(A122&lt;&gt;"",'Metrics planning and tracking'!$K$3,"")</f>
        <v/>
      </c>
      <c r="AD122" s="10" t="str">
        <f>IF(A122&lt;&gt;"",IF(AND(#REF!&lt;&gt;"",#REF!&lt;&gt;"",#REF!&lt;&gt;0),#REF!/#REF!*100,"NA"),"")</f>
        <v/>
      </c>
      <c r="AE122" s="10" t="str">
        <f>IF(A122&lt;&gt;"",IF(AND(#REF!&lt;&gt;"",#REF!&lt;&gt;"",#REF!&lt;&gt;0),#REF!/#REF!*100,"NA"),"")</f>
        <v/>
      </c>
      <c r="AF122" s="57" t="str">
        <f t="shared" si="20"/>
        <v/>
      </c>
      <c r="AG122" s="57" t="str">
        <f t="shared" si="21"/>
        <v/>
      </c>
      <c r="AH122" s="58" t="str">
        <f t="shared" si="22"/>
        <v/>
      </c>
      <c r="AV122" s="22" t="str">
        <f>IF(A122&lt;&gt;"",A122 &amp; "-" &amp;#REF! &amp; ROW(),"")</f>
        <v/>
      </c>
    </row>
    <row r="123" spans="11:48" x14ac:dyDescent="0.2">
      <c r="K123" s="11" t="str">
        <f>IF(AND(COUNTA(B123:C123)&gt;1,COUNTA(F123:G123)&gt;1,O123="Completed"),(G123-C123)/(C123-#REF!+1)%,"")</f>
        <v/>
      </c>
      <c r="L123" s="11" t="str">
        <f>IF(AND(COUNT(D123:E123)&gt;0,COUNTA(F123:G123)&gt;1,O123="Completed"),(G123-AG123)/(AG123-#REF!+1)%,"")</f>
        <v/>
      </c>
      <c r="M123" s="11" t="str">
        <f t="shared" si="17"/>
        <v/>
      </c>
      <c r="N123" s="11" t="str">
        <f t="shared" si="18"/>
        <v/>
      </c>
      <c r="O123" s="12"/>
      <c r="P123" s="12"/>
      <c r="R123" s="10" t="str">
        <f>IF(H123&lt;&gt;"",SUMIF(H$3:H123,"&lt;&gt;" &amp; "",H$3:H123),"")</f>
        <v/>
      </c>
      <c r="S123" s="10" t="str">
        <f t="array" ref="S123">IF(O123="Completed",SUMIF(W$3:W123,"&lt;&gt;" &amp; "",W$3:W123),"")</f>
        <v/>
      </c>
      <c r="T123" s="10" t="str">
        <f t="array" ref="T123">IF(AND(J123&lt;&gt;"",O123="Completed"),SUM(IF(O$3:O123="Completed",J$3:J123,0)),"")</f>
        <v/>
      </c>
      <c r="U123" s="10" t="str">
        <f t="shared" si="16"/>
        <v/>
      </c>
      <c r="V123" s="10">
        <f>ROW()</f>
        <v>123</v>
      </c>
      <c r="W123" s="10" t="str">
        <f t="shared" si="19"/>
        <v/>
      </c>
      <c r="Z123" s="10" t="str">
        <f>IF(A123&lt;&gt;"",'Metrics planning and tracking'!$K$4,"")</f>
        <v/>
      </c>
      <c r="AA123" s="10" t="str">
        <f>IF(A123&lt;&gt;"",'Metrics planning and tracking'!$K$5,"")</f>
        <v/>
      </c>
      <c r="AB123" s="10" t="str">
        <f>IF(A123&lt;&gt;"",'Metrics planning and tracking'!$K$2,"")</f>
        <v/>
      </c>
      <c r="AC123" s="10" t="str">
        <f>IF(A123&lt;&gt;"",'Metrics planning and tracking'!$K$3,"")</f>
        <v/>
      </c>
      <c r="AD123" s="10" t="str">
        <f>IF(A123&lt;&gt;"",IF(AND(#REF!&lt;&gt;"",#REF!&lt;&gt;"",#REF!&lt;&gt;0),#REF!/#REF!*100,"NA"),"")</f>
        <v/>
      </c>
      <c r="AE123" s="10" t="str">
        <f>IF(A123&lt;&gt;"",IF(AND(#REF!&lt;&gt;"",#REF!&lt;&gt;"",#REF!&lt;&gt;0),#REF!/#REF!*100,"NA"),"")</f>
        <v/>
      </c>
      <c r="AF123" s="57" t="str">
        <f t="shared" si="20"/>
        <v/>
      </c>
      <c r="AG123" s="57" t="str">
        <f t="shared" si="21"/>
        <v/>
      </c>
      <c r="AH123" s="58" t="str">
        <f t="shared" si="22"/>
        <v/>
      </c>
      <c r="AV123" s="22" t="str">
        <f>IF(A123&lt;&gt;"",A123 &amp; "-" &amp;#REF! &amp; ROW(),"")</f>
        <v/>
      </c>
    </row>
    <row r="124" spans="11:48" x14ac:dyDescent="0.2">
      <c r="K124" s="11" t="str">
        <f>IF(AND(COUNTA(B124:C124)&gt;1,COUNTA(F124:G124)&gt;1,O124="Completed"),(G124-C124)/(C124-#REF!+1)%,"")</f>
        <v/>
      </c>
      <c r="L124" s="11" t="str">
        <f>IF(AND(COUNT(D124:E124)&gt;0,COUNTA(F124:G124)&gt;1,O124="Completed"),(G124-AG124)/(AG124-#REF!+1)%,"")</f>
        <v/>
      </c>
      <c r="M124" s="11" t="str">
        <f t="shared" si="17"/>
        <v/>
      </c>
      <c r="N124" s="11" t="str">
        <f t="shared" si="18"/>
        <v/>
      </c>
      <c r="O124" s="12"/>
      <c r="P124" s="12"/>
      <c r="R124" s="10" t="str">
        <f>IF(H124&lt;&gt;"",SUMIF(H$3:H124,"&lt;&gt;" &amp; "",H$3:H124),"")</f>
        <v/>
      </c>
      <c r="S124" s="10" t="str">
        <f t="array" ref="S124">IF(O124="Completed",SUMIF(W$3:W124,"&lt;&gt;" &amp; "",W$3:W124),"")</f>
        <v/>
      </c>
      <c r="T124" s="10" t="str">
        <f t="array" ref="T124">IF(AND(J124&lt;&gt;"",O124="Completed"),SUM(IF(O$3:O124="Completed",J$3:J124,0)),"")</f>
        <v/>
      </c>
      <c r="U124" s="10" t="str">
        <f t="shared" si="16"/>
        <v/>
      </c>
      <c r="V124" s="10">
        <f>ROW()</f>
        <v>124</v>
      </c>
      <c r="W124" s="10" t="str">
        <f t="shared" si="19"/>
        <v/>
      </c>
      <c r="Z124" s="10" t="str">
        <f>IF(A124&lt;&gt;"",'Metrics planning and tracking'!$K$4,"")</f>
        <v/>
      </c>
      <c r="AA124" s="10" t="str">
        <f>IF(A124&lt;&gt;"",'Metrics planning and tracking'!$K$5,"")</f>
        <v/>
      </c>
      <c r="AB124" s="10" t="str">
        <f>IF(A124&lt;&gt;"",'Metrics planning and tracking'!$K$2,"")</f>
        <v/>
      </c>
      <c r="AC124" s="10" t="str">
        <f>IF(A124&lt;&gt;"",'Metrics planning and tracking'!$K$3,"")</f>
        <v/>
      </c>
      <c r="AD124" s="10" t="str">
        <f>IF(A124&lt;&gt;"",IF(AND(#REF!&lt;&gt;"",#REF!&lt;&gt;"",#REF!&lt;&gt;0),#REF!/#REF!*100,"NA"),"")</f>
        <v/>
      </c>
      <c r="AE124" s="10" t="str">
        <f>IF(A124&lt;&gt;"",IF(AND(#REF!&lt;&gt;"",#REF!&lt;&gt;"",#REF!&lt;&gt;0),#REF!/#REF!*100,"NA"),"")</f>
        <v/>
      </c>
      <c r="AF124" s="57" t="str">
        <f t="shared" si="20"/>
        <v/>
      </c>
      <c r="AG124" s="57" t="str">
        <f t="shared" si="21"/>
        <v/>
      </c>
      <c r="AH124" s="58" t="str">
        <f t="shared" si="22"/>
        <v/>
      </c>
      <c r="AV124" s="22" t="str">
        <f>IF(A124&lt;&gt;"",A124 &amp; "-" &amp;#REF! &amp; ROW(),"")</f>
        <v/>
      </c>
    </row>
    <row r="125" spans="11:48" x14ac:dyDescent="0.2">
      <c r="K125" s="11" t="str">
        <f>IF(AND(COUNTA(B125:C125)&gt;1,COUNTA(F125:G125)&gt;1,O125="Completed"),(G125-C125)/(C125-#REF!+1)%,"")</f>
        <v/>
      </c>
      <c r="L125" s="11" t="str">
        <f>IF(AND(COUNT(D125:E125)&gt;0,COUNTA(F125:G125)&gt;1,O125="Completed"),(G125-AG125)/(AG125-#REF!+1)%,"")</f>
        <v/>
      </c>
      <c r="M125" s="11" t="str">
        <f t="shared" si="17"/>
        <v/>
      </c>
      <c r="N125" s="11" t="str">
        <f t="shared" si="18"/>
        <v/>
      </c>
      <c r="O125" s="12"/>
      <c r="P125" s="12"/>
      <c r="R125" s="10" t="str">
        <f>IF(H125&lt;&gt;"",SUMIF(H$3:H125,"&lt;&gt;" &amp; "",H$3:H125),"")</f>
        <v/>
      </c>
      <c r="S125" s="10" t="str">
        <f t="array" ref="S125">IF(O125="Completed",SUMIF(W$3:W125,"&lt;&gt;" &amp; "",W$3:W125),"")</f>
        <v/>
      </c>
      <c r="T125" s="10" t="str">
        <f t="array" ref="T125">IF(AND(J125&lt;&gt;"",O125="Completed"),SUM(IF(O$3:O125="Completed",J$3:J125,0)),"")</f>
        <v/>
      </c>
      <c r="U125" s="10" t="str">
        <f t="shared" si="16"/>
        <v/>
      </c>
      <c r="V125" s="10">
        <f>ROW()</f>
        <v>125</v>
      </c>
      <c r="W125" s="10" t="str">
        <f t="shared" si="19"/>
        <v/>
      </c>
      <c r="Z125" s="10" t="str">
        <f>IF(A125&lt;&gt;"",'Metrics planning and tracking'!$K$4,"")</f>
        <v/>
      </c>
      <c r="AA125" s="10" t="str">
        <f>IF(A125&lt;&gt;"",'Metrics planning and tracking'!$K$5,"")</f>
        <v/>
      </c>
      <c r="AB125" s="10" t="str">
        <f>IF(A125&lt;&gt;"",'Metrics planning and tracking'!$K$2,"")</f>
        <v/>
      </c>
      <c r="AC125" s="10" t="str">
        <f>IF(A125&lt;&gt;"",'Metrics planning and tracking'!$K$3,"")</f>
        <v/>
      </c>
      <c r="AD125" s="10" t="str">
        <f>IF(A125&lt;&gt;"",IF(AND(#REF!&lt;&gt;"",#REF!&lt;&gt;"",#REF!&lt;&gt;0),#REF!/#REF!*100,"NA"),"")</f>
        <v/>
      </c>
      <c r="AE125" s="10" t="str">
        <f>IF(A125&lt;&gt;"",IF(AND(#REF!&lt;&gt;"",#REF!&lt;&gt;"",#REF!&lt;&gt;0),#REF!/#REF!*100,"NA"),"")</f>
        <v/>
      </c>
      <c r="AF125" s="57" t="str">
        <f t="shared" si="20"/>
        <v/>
      </c>
      <c r="AG125" s="57" t="str">
        <f t="shared" si="21"/>
        <v/>
      </c>
      <c r="AH125" s="58" t="str">
        <f t="shared" si="22"/>
        <v/>
      </c>
      <c r="AV125" s="22" t="str">
        <f>IF(A125&lt;&gt;"",A125 &amp; "-" &amp;#REF! &amp; ROW(),"")</f>
        <v/>
      </c>
    </row>
    <row r="126" spans="11:48" x14ac:dyDescent="0.2">
      <c r="K126" s="11" t="str">
        <f>IF(AND(COUNTA(B126:C126)&gt;1,COUNTA(F126:G126)&gt;1,O126="Completed"),(G126-C126)/(C126-#REF!+1)%,"")</f>
        <v/>
      </c>
      <c r="L126" s="11" t="str">
        <f>IF(AND(COUNT(D126:E126)&gt;0,COUNTA(F126:G126)&gt;1,O126="Completed"),(G126-AG126)/(AG126-#REF!+1)%,"")</f>
        <v/>
      </c>
      <c r="M126" s="11" t="str">
        <f t="shared" si="17"/>
        <v/>
      </c>
      <c r="N126" s="11" t="str">
        <f t="shared" si="18"/>
        <v/>
      </c>
      <c r="O126" s="12"/>
      <c r="P126" s="12"/>
      <c r="R126" s="10" t="str">
        <f>IF(H126&lt;&gt;"",SUMIF(H$3:H126,"&lt;&gt;" &amp; "",H$3:H126),"")</f>
        <v/>
      </c>
      <c r="S126" s="10" t="str">
        <f t="array" ref="S126">IF(O126="Completed",SUMIF(W$3:W126,"&lt;&gt;" &amp; "",W$3:W126),"")</f>
        <v/>
      </c>
      <c r="T126" s="10" t="str">
        <f t="array" ref="T126">IF(AND(J126&lt;&gt;"",O126="Completed"),SUM(IF(O$3:O126="Completed",J$3:J126,0)),"")</f>
        <v/>
      </c>
      <c r="U126" s="10" t="str">
        <f t="shared" si="16"/>
        <v/>
      </c>
      <c r="V126" s="10">
        <f>ROW()</f>
        <v>126</v>
      </c>
      <c r="W126" s="10" t="str">
        <f t="shared" si="19"/>
        <v/>
      </c>
      <c r="Z126" s="10" t="str">
        <f>IF(A126&lt;&gt;"",'Metrics planning and tracking'!$K$4,"")</f>
        <v/>
      </c>
      <c r="AA126" s="10" t="str">
        <f>IF(A126&lt;&gt;"",'Metrics planning and tracking'!$K$5,"")</f>
        <v/>
      </c>
      <c r="AB126" s="10" t="str">
        <f>IF(A126&lt;&gt;"",'Metrics planning and tracking'!$K$2,"")</f>
        <v/>
      </c>
      <c r="AC126" s="10" t="str">
        <f>IF(A126&lt;&gt;"",'Metrics planning and tracking'!$K$3,"")</f>
        <v/>
      </c>
      <c r="AD126" s="10" t="str">
        <f>IF(A126&lt;&gt;"",IF(AND(#REF!&lt;&gt;"",#REF!&lt;&gt;"",#REF!&lt;&gt;0),#REF!/#REF!*100,"NA"),"")</f>
        <v/>
      </c>
      <c r="AE126" s="10" t="str">
        <f>IF(A126&lt;&gt;"",IF(AND(#REF!&lt;&gt;"",#REF!&lt;&gt;"",#REF!&lt;&gt;0),#REF!/#REF!*100,"NA"),"")</f>
        <v/>
      </c>
      <c r="AF126" s="57" t="str">
        <f t="shared" si="20"/>
        <v/>
      </c>
      <c r="AG126" s="57" t="str">
        <f t="shared" si="21"/>
        <v/>
      </c>
      <c r="AH126" s="58" t="str">
        <f t="shared" si="22"/>
        <v/>
      </c>
      <c r="AV126" s="22" t="str">
        <f>IF(A126&lt;&gt;"",A126 &amp; "-" &amp;#REF! &amp; ROW(),"")</f>
        <v/>
      </c>
    </row>
    <row r="127" spans="11:48" x14ac:dyDescent="0.2">
      <c r="K127" s="11" t="str">
        <f>IF(AND(COUNTA(B127:C127)&gt;1,COUNTA(F127:G127)&gt;1,O127="Completed"),(G127-C127)/(C127-#REF!+1)%,"")</f>
        <v/>
      </c>
      <c r="L127" s="11" t="str">
        <f>IF(AND(COUNT(D127:E127)&gt;0,COUNTA(F127:G127)&gt;1,O127="Completed"),(G127-AG127)/(AG127-#REF!+1)%,"")</f>
        <v/>
      </c>
      <c r="M127" s="11" t="str">
        <f t="shared" si="17"/>
        <v/>
      </c>
      <c r="N127" s="11" t="str">
        <f t="shared" si="18"/>
        <v/>
      </c>
      <c r="O127" s="12"/>
      <c r="P127" s="12"/>
      <c r="R127" s="10" t="str">
        <f>IF(H127&lt;&gt;"",SUMIF(H$3:H127,"&lt;&gt;" &amp; "",H$3:H127),"")</f>
        <v/>
      </c>
      <c r="S127" s="10" t="str">
        <f t="array" ref="S127">IF(O127="Completed",SUMIF(W$3:W127,"&lt;&gt;" &amp; "",W$3:W127),"")</f>
        <v/>
      </c>
      <c r="T127" s="10" t="str">
        <f t="array" ref="T127">IF(AND(J127&lt;&gt;"",O127="Completed"),SUM(IF(O$3:O127="Completed",J$3:J127,0)),"")</f>
        <v/>
      </c>
      <c r="U127" s="10" t="str">
        <f t="shared" si="16"/>
        <v/>
      </c>
      <c r="V127" s="10">
        <f>ROW()</f>
        <v>127</v>
      </c>
      <c r="W127" s="10" t="str">
        <f t="shared" si="19"/>
        <v/>
      </c>
      <c r="Z127" s="10" t="str">
        <f>IF(A127&lt;&gt;"",'Metrics planning and tracking'!$K$4,"")</f>
        <v/>
      </c>
      <c r="AA127" s="10" t="str">
        <f>IF(A127&lt;&gt;"",'Metrics planning and tracking'!$K$5,"")</f>
        <v/>
      </c>
      <c r="AB127" s="10" t="str">
        <f>IF(A127&lt;&gt;"",'Metrics planning and tracking'!$K$2,"")</f>
        <v/>
      </c>
      <c r="AC127" s="10" t="str">
        <f>IF(A127&lt;&gt;"",'Metrics planning and tracking'!$K$3,"")</f>
        <v/>
      </c>
      <c r="AD127" s="10" t="str">
        <f>IF(A127&lt;&gt;"",IF(AND(#REF!&lt;&gt;"",#REF!&lt;&gt;"",#REF!&lt;&gt;0),#REF!/#REF!*100,"NA"),"")</f>
        <v/>
      </c>
      <c r="AE127" s="10" t="str">
        <f>IF(A127&lt;&gt;"",IF(AND(#REF!&lt;&gt;"",#REF!&lt;&gt;"",#REF!&lt;&gt;0),#REF!/#REF!*100,"NA"),"")</f>
        <v/>
      </c>
      <c r="AF127" s="57" t="str">
        <f t="shared" si="20"/>
        <v/>
      </c>
      <c r="AG127" s="57" t="str">
        <f t="shared" si="21"/>
        <v/>
      </c>
      <c r="AH127" s="58" t="str">
        <f t="shared" si="22"/>
        <v/>
      </c>
      <c r="AV127" s="22" t="str">
        <f>IF(A127&lt;&gt;"",A127 &amp; "-" &amp;#REF! &amp; ROW(),"")</f>
        <v/>
      </c>
    </row>
    <row r="128" spans="11:48" x14ac:dyDescent="0.2">
      <c r="K128" s="11" t="str">
        <f>IF(AND(COUNTA(B128:C128)&gt;1,COUNTA(F128:G128)&gt;1,O128="Completed"),(G128-C128)/(C128-#REF!+1)%,"")</f>
        <v/>
      </c>
      <c r="L128" s="11" t="str">
        <f>IF(AND(COUNT(D128:E128)&gt;0,COUNTA(F128:G128)&gt;1,O128="Completed"),(G128-AG128)/(AG128-#REF!+1)%,"")</f>
        <v/>
      </c>
      <c r="M128" s="11" t="str">
        <f t="shared" si="17"/>
        <v/>
      </c>
      <c r="N128" s="11" t="str">
        <f t="shared" si="18"/>
        <v/>
      </c>
      <c r="O128" s="12"/>
      <c r="P128" s="12"/>
      <c r="R128" s="10" t="str">
        <f>IF(H128&lt;&gt;"",SUMIF(H$3:H128,"&lt;&gt;" &amp; "",H$3:H128),"")</f>
        <v/>
      </c>
      <c r="S128" s="10" t="str">
        <f t="array" ref="S128">IF(O128="Completed",SUMIF(W$3:W128,"&lt;&gt;" &amp; "",W$3:W128),"")</f>
        <v/>
      </c>
      <c r="T128" s="10" t="str">
        <f t="array" ref="T128">IF(AND(J128&lt;&gt;"",O128="Completed"),SUM(IF(O$3:O128="Completed",J$3:J128,0)),"")</f>
        <v/>
      </c>
      <c r="U128" s="10" t="str">
        <f t="shared" si="16"/>
        <v/>
      </c>
      <c r="V128" s="10">
        <f>ROW()</f>
        <v>128</v>
      </c>
      <c r="W128" s="10" t="str">
        <f t="shared" si="19"/>
        <v/>
      </c>
      <c r="Z128" s="10" t="str">
        <f>IF(A128&lt;&gt;"",'Metrics planning and tracking'!$K$4,"")</f>
        <v/>
      </c>
      <c r="AA128" s="10" t="str">
        <f>IF(A128&lt;&gt;"",'Metrics planning and tracking'!$K$5,"")</f>
        <v/>
      </c>
      <c r="AB128" s="10" t="str">
        <f>IF(A128&lt;&gt;"",'Metrics planning and tracking'!$K$2,"")</f>
        <v/>
      </c>
      <c r="AC128" s="10" t="str">
        <f>IF(A128&lt;&gt;"",'Metrics planning and tracking'!$K$3,"")</f>
        <v/>
      </c>
      <c r="AD128" s="10" t="str">
        <f>IF(A128&lt;&gt;"",IF(AND(#REF!&lt;&gt;"",#REF!&lt;&gt;"",#REF!&lt;&gt;0),#REF!/#REF!*100,"NA"),"")</f>
        <v/>
      </c>
      <c r="AE128" s="10" t="str">
        <f>IF(A128&lt;&gt;"",IF(AND(#REF!&lt;&gt;"",#REF!&lt;&gt;"",#REF!&lt;&gt;0),#REF!/#REF!*100,"NA"),"")</f>
        <v/>
      </c>
      <c r="AF128" s="57" t="str">
        <f t="shared" si="20"/>
        <v/>
      </c>
      <c r="AG128" s="57" t="str">
        <f t="shared" si="21"/>
        <v/>
      </c>
      <c r="AH128" s="58" t="str">
        <f t="shared" si="22"/>
        <v/>
      </c>
      <c r="AV128" s="22" t="str">
        <f>IF(A128&lt;&gt;"",A128 &amp; "-" &amp;#REF! &amp; ROW(),"")</f>
        <v/>
      </c>
    </row>
    <row r="129" spans="11:48" x14ac:dyDescent="0.2">
      <c r="K129" s="11" t="str">
        <f>IF(AND(COUNTA(B129:C129)&gt;1,COUNTA(F129:G129)&gt;1,O129="Completed"),(G129-C129)/(C129-#REF!+1)%,"")</f>
        <v/>
      </c>
      <c r="L129" s="11" t="str">
        <f>IF(AND(COUNT(D129:E129)&gt;0,COUNTA(F129:G129)&gt;1,O129="Completed"),(G129-AG129)/(AG129-#REF!+1)%,"")</f>
        <v/>
      </c>
      <c r="M129" s="11" t="str">
        <f t="shared" si="17"/>
        <v/>
      </c>
      <c r="N129" s="11" t="str">
        <f t="shared" si="18"/>
        <v/>
      </c>
      <c r="O129" s="12"/>
      <c r="P129" s="12"/>
      <c r="R129" s="10" t="str">
        <f>IF(H129&lt;&gt;"",SUMIF(H$3:H129,"&lt;&gt;" &amp; "",H$3:H129),"")</f>
        <v/>
      </c>
      <c r="S129" s="10" t="str">
        <f t="array" ref="S129">IF(O129="Completed",SUMIF(W$3:W129,"&lt;&gt;" &amp; "",W$3:W129),"")</f>
        <v/>
      </c>
      <c r="T129" s="10" t="str">
        <f t="array" ref="T129">IF(AND(J129&lt;&gt;"",O129="Completed"),SUM(IF(O$3:O129="Completed",J$3:J129,0)),"")</f>
        <v/>
      </c>
      <c r="U129" s="10" t="str">
        <f t="shared" si="16"/>
        <v/>
      </c>
      <c r="V129" s="10">
        <f>ROW()</f>
        <v>129</v>
      </c>
      <c r="W129" s="10" t="str">
        <f t="shared" si="19"/>
        <v/>
      </c>
      <c r="Z129" s="10" t="str">
        <f>IF(A129&lt;&gt;"",'Metrics planning and tracking'!$K$4,"")</f>
        <v/>
      </c>
      <c r="AA129" s="10" t="str">
        <f>IF(A129&lt;&gt;"",'Metrics planning and tracking'!$K$5,"")</f>
        <v/>
      </c>
      <c r="AB129" s="10" t="str">
        <f>IF(A129&lt;&gt;"",'Metrics planning and tracking'!$K$2,"")</f>
        <v/>
      </c>
      <c r="AC129" s="10" t="str">
        <f>IF(A129&lt;&gt;"",'Metrics planning and tracking'!$K$3,"")</f>
        <v/>
      </c>
      <c r="AD129" s="10" t="str">
        <f>IF(A129&lt;&gt;"",IF(AND(#REF!&lt;&gt;"",#REF!&lt;&gt;"",#REF!&lt;&gt;0),#REF!/#REF!*100,"NA"),"")</f>
        <v/>
      </c>
      <c r="AE129" s="10" t="str">
        <f>IF(A129&lt;&gt;"",IF(AND(#REF!&lt;&gt;"",#REF!&lt;&gt;"",#REF!&lt;&gt;0),#REF!/#REF!*100,"NA"),"")</f>
        <v/>
      </c>
      <c r="AF129" s="57" t="str">
        <f t="shared" si="20"/>
        <v/>
      </c>
      <c r="AG129" s="57" t="str">
        <f t="shared" si="21"/>
        <v/>
      </c>
      <c r="AH129" s="58" t="str">
        <f t="shared" si="22"/>
        <v/>
      </c>
      <c r="AV129" s="22" t="str">
        <f>IF(A129&lt;&gt;"",A129 &amp; "-" &amp;#REF! &amp; ROW(),"")</f>
        <v/>
      </c>
    </row>
    <row r="130" spans="11:48" x14ac:dyDescent="0.2">
      <c r="K130" s="11" t="str">
        <f>IF(AND(COUNTA(B130:C130)&gt;1,COUNTA(F130:G130)&gt;1,O130="Completed"),(G130-C130)/(C130-#REF!+1)%,"")</f>
        <v/>
      </c>
      <c r="L130" s="11" t="str">
        <f>IF(AND(COUNT(D130:E130)&gt;0,COUNTA(F130:G130)&gt;1,O130="Completed"),(G130-AG130)/(AG130-#REF!+1)%,"")</f>
        <v/>
      </c>
      <c r="M130" s="11" t="str">
        <f t="shared" si="17"/>
        <v/>
      </c>
      <c r="N130" s="11" t="str">
        <f t="shared" si="18"/>
        <v/>
      </c>
      <c r="O130" s="12"/>
      <c r="P130" s="12"/>
      <c r="R130" s="10" t="str">
        <f>IF(H130&lt;&gt;"",SUMIF(H$3:H130,"&lt;&gt;" &amp; "",H$3:H130),"")</f>
        <v/>
      </c>
      <c r="S130" s="10" t="str">
        <f t="array" ref="S130">IF(O130="Completed",SUMIF(W$3:W130,"&lt;&gt;" &amp; "",W$3:W130),"")</f>
        <v/>
      </c>
      <c r="T130" s="10" t="str">
        <f t="array" ref="T130">IF(AND(J130&lt;&gt;"",O130="Completed"),SUM(IF(O$3:O130="Completed",J$3:J130,0)),"")</f>
        <v/>
      </c>
      <c r="U130" s="10" t="str">
        <f t="shared" si="16"/>
        <v/>
      </c>
      <c r="V130" s="10">
        <f>ROW()</f>
        <v>130</v>
      </c>
      <c r="W130" s="10" t="str">
        <f t="shared" si="19"/>
        <v/>
      </c>
      <c r="Z130" s="10" t="str">
        <f>IF(A130&lt;&gt;"",'Metrics planning and tracking'!$K$4,"")</f>
        <v/>
      </c>
      <c r="AA130" s="10" t="str">
        <f>IF(A130&lt;&gt;"",'Metrics planning and tracking'!$K$5,"")</f>
        <v/>
      </c>
      <c r="AB130" s="10" t="str">
        <f>IF(A130&lt;&gt;"",'Metrics planning and tracking'!$K$2,"")</f>
        <v/>
      </c>
      <c r="AC130" s="10" t="str">
        <f>IF(A130&lt;&gt;"",'Metrics planning and tracking'!$K$3,"")</f>
        <v/>
      </c>
      <c r="AD130" s="10" t="str">
        <f>IF(A130&lt;&gt;"",IF(AND(#REF!&lt;&gt;"",#REF!&lt;&gt;"",#REF!&lt;&gt;0),#REF!/#REF!*100,"NA"),"")</f>
        <v/>
      </c>
      <c r="AE130" s="10" t="str">
        <f>IF(A130&lt;&gt;"",IF(AND(#REF!&lt;&gt;"",#REF!&lt;&gt;"",#REF!&lt;&gt;0),#REF!/#REF!*100,"NA"),"")</f>
        <v/>
      </c>
      <c r="AF130" s="57" t="str">
        <f t="shared" si="20"/>
        <v/>
      </c>
      <c r="AG130" s="57" t="str">
        <f t="shared" si="21"/>
        <v/>
      </c>
      <c r="AH130" s="58" t="str">
        <f t="shared" si="22"/>
        <v/>
      </c>
      <c r="AV130" s="22" t="str">
        <f>IF(A130&lt;&gt;"",A130 &amp; "-" &amp;#REF! &amp; ROW(),"")</f>
        <v/>
      </c>
    </row>
    <row r="131" spans="11:48" x14ac:dyDescent="0.2">
      <c r="K131" s="11" t="str">
        <f>IF(AND(COUNTA(B131:C131)&gt;1,COUNTA(F131:G131)&gt;1,O131="Completed"),(G131-C131)/(C131-#REF!+1)%,"")</f>
        <v/>
      </c>
      <c r="L131" s="11" t="str">
        <f>IF(AND(COUNT(D131:E131)&gt;0,COUNTA(F131:G131)&gt;1,O131="Completed"),(G131-AG131)/(AG131-#REF!+1)%,"")</f>
        <v/>
      </c>
      <c r="M131" s="11" t="str">
        <f t="shared" si="17"/>
        <v/>
      </c>
      <c r="N131" s="11" t="str">
        <f t="shared" si="18"/>
        <v/>
      </c>
      <c r="O131" s="12"/>
      <c r="P131" s="12"/>
      <c r="R131" s="10" t="str">
        <f>IF(H131&lt;&gt;"",SUMIF(H$3:H131,"&lt;&gt;" &amp; "",H$3:H131),"")</f>
        <v/>
      </c>
      <c r="S131" s="10" t="str">
        <f t="array" ref="S131">IF(O131="Completed",SUMIF(W$3:W131,"&lt;&gt;" &amp; "",W$3:W131),"")</f>
        <v/>
      </c>
      <c r="T131" s="10" t="str">
        <f t="array" ref="T131">IF(AND(J131&lt;&gt;"",O131="Completed"),SUM(IF(O$3:O131="Completed",J$3:J131,0)),"")</f>
        <v/>
      </c>
      <c r="U131" s="10" t="str">
        <f t="shared" ref="U131:U194" si="23">IF(AND(A131&lt;&gt;"",P131="Yes"),ROW(),"")</f>
        <v/>
      </c>
      <c r="V131" s="10">
        <f>ROW()</f>
        <v>131</v>
      </c>
      <c r="W131" s="10" t="str">
        <f t="shared" si="19"/>
        <v/>
      </c>
      <c r="Z131" s="10" t="str">
        <f>IF(A131&lt;&gt;"",'Metrics planning and tracking'!$K$4,"")</f>
        <v/>
      </c>
      <c r="AA131" s="10" t="str">
        <f>IF(A131&lt;&gt;"",'Metrics planning and tracking'!$K$5,"")</f>
        <v/>
      </c>
      <c r="AB131" s="10" t="str">
        <f>IF(A131&lt;&gt;"",'Metrics planning and tracking'!$K$2,"")</f>
        <v/>
      </c>
      <c r="AC131" s="10" t="str">
        <f>IF(A131&lt;&gt;"",'Metrics planning and tracking'!$K$3,"")</f>
        <v/>
      </c>
      <c r="AD131" s="10" t="str">
        <f>IF(A131&lt;&gt;"",IF(AND(#REF!&lt;&gt;"",#REF!&lt;&gt;"",#REF!&lt;&gt;0),#REF!/#REF!*100,"NA"),"")</f>
        <v/>
      </c>
      <c r="AE131" s="10" t="str">
        <f>IF(A131&lt;&gt;"",IF(AND(#REF!&lt;&gt;"",#REF!&lt;&gt;"",#REF!&lt;&gt;0),#REF!/#REF!*100,"NA"),"")</f>
        <v/>
      </c>
      <c r="AF131" s="57" t="str">
        <f t="shared" si="20"/>
        <v/>
      </c>
      <c r="AG131" s="57" t="str">
        <f t="shared" si="21"/>
        <v/>
      </c>
      <c r="AH131" s="58" t="str">
        <f t="shared" si="22"/>
        <v/>
      </c>
      <c r="AV131" s="22" t="str">
        <f>IF(A131&lt;&gt;"",A131 &amp; "-" &amp;#REF! &amp; ROW(),"")</f>
        <v/>
      </c>
    </row>
    <row r="132" spans="11:48" x14ac:dyDescent="0.2">
      <c r="K132" s="11" t="str">
        <f>IF(AND(COUNTA(B132:C132)&gt;1,COUNTA(F132:G132)&gt;1,O132="Completed"),(G132-C132)/(C132-#REF!+1)%,"")</f>
        <v/>
      </c>
      <c r="L132" s="11" t="str">
        <f>IF(AND(COUNT(D132:E132)&gt;0,COUNTA(F132:G132)&gt;1,O132="Completed"),(G132-AG132)/(AG132-#REF!+1)%,"")</f>
        <v/>
      </c>
      <c r="M132" s="11" t="str">
        <f t="shared" si="17"/>
        <v/>
      </c>
      <c r="N132" s="11" t="str">
        <f t="shared" si="18"/>
        <v/>
      </c>
      <c r="O132" s="12"/>
      <c r="P132" s="12"/>
      <c r="R132" s="10" t="str">
        <f>IF(H132&lt;&gt;"",SUMIF(H$3:H132,"&lt;&gt;" &amp; "",H$3:H132),"")</f>
        <v/>
      </c>
      <c r="S132" s="10" t="str">
        <f t="array" ref="S132">IF(O132="Completed",SUMIF(W$3:W132,"&lt;&gt;" &amp; "",W$3:W132),"")</f>
        <v/>
      </c>
      <c r="T132" s="10" t="str">
        <f t="array" ref="T132">IF(AND(J132&lt;&gt;"",O132="Completed"),SUM(IF(O$3:O132="Completed",J$3:J132,0)),"")</f>
        <v/>
      </c>
      <c r="U132" s="10" t="str">
        <f t="shared" si="23"/>
        <v/>
      </c>
      <c r="V132" s="10">
        <f>ROW()</f>
        <v>132</v>
      </c>
      <c r="W132" s="10" t="str">
        <f t="shared" si="19"/>
        <v/>
      </c>
      <c r="Z132" s="10" t="str">
        <f>IF(A132&lt;&gt;"",'Metrics planning and tracking'!$K$4,"")</f>
        <v/>
      </c>
      <c r="AA132" s="10" t="str">
        <f>IF(A132&lt;&gt;"",'Metrics planning and tracking'!$K$5,"")</f>
        <v/>
      </c>
      <c r="AB132" s="10" t="str">
        <f>IF(A132&lt;&gt;"",'Metrics planning and tracking'!$K$2,"")</f>
        <v/>
      </c>
      <c r="AC132" s="10" t="str">
        <f>IF(A132&lt;&gt;"",'Metrics planning and tracking'!$K$3,"")</f>
        <v/>
      </c>
      <c r="AD132" s="10" t="str">
        <f>IF(A132&lt;&gt;"",IF(AND(#REF!&lt;&gt;"",#REF!&lt;&gt;"",#REF!&lt;&gt;0),#REF!/#REF!*100,"NA"),"")</f>
        <v/>
      </c>
      <c r="AE132" s="10" t="str">
        <f>IF(A132&lt;&gt;"",IF(AND(#REF!&lt;&gt;"",#REF!&lt;&gt;"",#REF!&lt;&gt;0),#REF!/#REF!*100,"NA"),"")</f>
        <v/>
      </c>
      <c r="AF132" s="57" t="str">
        <f t="shared" si="20"/>
        <v/>
      </c>
      <c r="AG132" s="57" t="str">
        <f t="shared" si="21"/>
        <v/>
      </c>
      <c r="AH132" s="58" t="str">
        <f t="shared" si="22"/>
        <v/>
      </c>
      <c r="AV132" s="22" t="str">
        <f>IF(A132&lt;&gt;"",A132 &amp; "-" &amp;#REF! &amp; ROW(),"")</f>
        <v/>
      </c>
    </row>
    <row r="133" spans="11:48" x14ac:dyDescent="0.2">
      <c r="K133" s="11" t="str">
        <f>IF(AND(COUNTA(B133:C133)&gt;1,COUNTA(F133:G133)&gt;1,O133="Completed"),(G133-C133)/(C133-#REF!+1)%,"")</f>
        <v/>
      </c>
      <c r="L133" s="11" t="str">
        <f>IF(AND(COUNT(D133:E133)&gt;0,COUNTA(F133:G133)&gt;1,O133="Completed"),(G133-AG133)/(AG133-#REF!+1)%,"")</f>
        <v/>
      </c>
      <c r="M133" s="11" t="str">
        <f t="shared" si="17"/>
        <v/>
      </c>
      <c r="N133" s="11" t="str">
        <f t="shared" si="18"/>
        <v/>
      </c>
      <c r="O133" s="12"/>
      <c r="P133" s="12"/>
      <c r="R133" s="10" t="str">
        <f>IF(H133&lt;&gt;"",SUMIF(H$3:H133,"&lt;&gt;" &amp; "",H$3:H133),"")</f>
        <v/>
      </c>
      <c r="S133" s="10" t="str">
        <f t="array" ref="S133">IF(O133="Completed",SUMIF(W$3:W133,"&lt;&gt;" &amp; "",W$3:W133),"")</f>
        <v/>
      </c>
      <c r="T133" s="10" t="str">
        <f t="array" ref="T133">IF(AND(J133&lt;&gt;"",O133="Completed"),SUM(IF(O$3:O133="Completed",J$3:J133,0)),"")</f>
        <v/>
      </c>
      <c r="U133" s="10" t="str">
        <f t="shared" si="23"/>
        <v/>
      </c>
      <c r="V133" s="10">
        <f>ROW()</f>
        <v>133</v>
      </c>
      <c r="W133" s="10" t="str">
        <f t="shared" si="19"/>
        <v/>
      </c>
      <c r="Z133" s="10" t="str">
        <f>IF(A133&lt;&gt;"",'Metrics planning and tracking'!$K$4,"")</f>
        <v/>
      </c>
      <c r="AA133" s="10" t="str">
        <f>IF(A133&lt;&gt;"",'Metrics planning and tracking'!$K$5,"")</f>
        <v/>
      </c>
      <c r="AB133" s="10" t="str">
        <f>IF(A133&lt;&gt;"",'Metrics planning and tracking'!$K$2,"")</f>
        <v/>
      </c>
      <c r="AC133" s="10" t="str">
        <f>IF(A133&lt;&gt;"",'Metrics planning and tracking'!$K$3,"")</f>
        <v/>
      </c>
      <c r="AD133" s="10" t="str">
        <f>IF(A133&lt;&gt;"",IF(AND(#REF!&lt;&gt;"",#REF!&lt;&gt;"",#REF!&lt;&gt;0),#REF!/#REF!*100,"NA"),"")</f>
        <v/>
      </c>
      <c r="AE133" s="10" t="str">
        <f>IF(A133&lt;&gt;"",IF(AND(#REF!&lt;&gt;"",#REF!&lt;&gt;"",#REF!&lt;&gt;0),#REF!/#REF!*100,"NA"),"")</f>
        <v/>
      </c>
      <c r="AF133" s="57" t="str">
        <f t="shared" si="20"/>
        <v/>
      </c>
      <c r="AG133" s="57" t="str">
        <f t="shared" si="21"/>
        <v/>
      </c>
      <c r="AH133" s="58" t="str">
        <f t="shared" si="22"/>
        <v/>
      </c>
      <c r="AV133" s="22" t="str">
        <f>IF(A133&lt;&gt;"",A133 &amp; "-" &amp;#REF! &amp; ROW(),"")</f>
        <v/>
      </c>
    </row>
    <row r="134" spans="11:48" x14ac:dyDescent="0.2">
      <c r="K134" s="11" t="str">
        <f>IF(AND(COUNTA(B134:C134)&gt;1,COUNTA(F134:G134)&gt;1,O134="Completed"),(G134-C134)/(C134-#REF!+1)%,"")</f>
        <v/>
      </c>
      <c r="L134" s="11" t="str">
        <f>IF(AND(COUNT(D134:E134)&gt;0,COUNTA(F134:G134)&gt;1,O134="Completed"),(G134-AG134)/(AG134-#REF!+1)%,"")</f>
        <v/>
      </c>
      <c r="M134" s="11" t="str">
        <f t="shared" si="17"/>
        <v/>
      </c>
      <c r="N134" s="11" t="str">
        <f t="shared" si="18"/>
        <v/>
      </c>
      <c r="O134" s="12"/>
      <c r="P134" s="12"/>
      <c r="R134" s="10" t="str">
        <f>IF(H134&lt;&gt;"",SUMIF(H$3:H134,"&lt;&gt;" &amp; "",H$3:H134),"")</f>
        <v/>
      </c>
      <c r="S134" s="10" t="str">
        <f t="array" ref="S134">IF(O134="Completed",SUMIF(W$3:W134,"&lt;&gt;" &amp; "",W$3:W134),"")</f>
        <v/>
      </c>
      <c r="T134" s="10" t="str">
        <f t="array" ref="T134">IF(AND(J134&lt;&gt;"",O134="Completed"),SUM(IF(O$3:O134="Completed",J$3:J134,0)),"")</f>
        <v/>
      </c>
      <c r="U134" s="10" t="str">
        <f t="shared" si="23"/>
        <v/>
      </c>
      <c r="V134" s="10">
        <f>ROW()</f>
        <v>134</v>
      </c>
      <c r="W134" s="10" t="str">
        <f t="shared" si="19"/>
        <v/>
      </c>
      <c r="Z134" s="10" t="str">
        <f>IF(A134&lt;&gt;"",'Metrics planning and tracking'!$K$4,"")</f>
        <v/>
      </c>
      <c r="AA134" s="10" t="str">
        <f>IF(A134&lt;&gt;"",'Metrics planning and tracking'!$K$5,"")</f>
        <v/>
      </c>
      <c r="AB134" s="10" t="str">
        <f>IF(A134&lt;&gt;"",'Metrics planning and tracking'!$K$2,"")</f>
        <v/>
      </c>
      <c r="AC134" s="10" t="str">
        <f>IF(A134&lt;&gt;"",'Metrics planning and tracking'!$K$3,"")</f>
        <v/>
      </c>
      <c r="AD134" s="10" t="str">
        <f>IF(A134&lt;&gt;"",IF(AND(#REF!&lt;&gt;"",#REF!&lt;&gt;"",#REF!&lt;&gt;0),#REF!/#REF!*100,"NA"),"")</f>
        <v/>
      </c>
      <c r="AE134" s="10" t="str">
        <f>IF(A134&lt;&gt;"",IF(AND(#REF!&lt;&gt;"",#REF!&lt;&gt;"",#REF!&lt;&gt;0),#REF!/#REF!*100,"NA"),"")</f>
        <v/>
      </c>
      <c r="AF134" s="57" t="str">
        <f t="shared" si="20"/>
        <v/>
      </c>
      <c r="AG134" s="57" t="str">
        <f t="shared" si="21"/>
        <v/>
      </c>
      <c r="AH134" s="58" t="str">
        <f t="shared" si="22"/>
        <v/>
      </c>
      <c r="AV134" s="22" t="str">
        <f>IF(A134&lt;&gt;"",A134 &amp; "-" &amp;#REF! &amp; ROW(),"")</f>
        <v/>
      </c>
    </row>
    <row r="135" spans="11:48" x14ac:dyDescent="0.2">
      <c r="K135" s="11" t="str">
        <f>IF(AND(COUNTA(B135:C135)&gt;1,COUNTA(F135:G135)&gt;1,O135="Completed"),(G135-C135)/(C135-#REF!+1)%,"")</f>
        <v/>
      </c>
      <c r="L135" s="11" t="str">
        <f>IF(AND(COUNT(D135:E135)&gt;0,COUNTA(F135:G135)&gt;1,O135="Completed"),(G135-AG135)/(AG135-#REF!+1)%,"")</f>
        <v/>
      </c>
      <c r="M135" s="11" t="str">
        <f t="shared" si="17"/>
        <v/>
      </c>
      <c r="N135" s="11" t="str">
        <f t="shared" si="18"/>
        <v/>
      </c>
      <c r="O135" s="12"/>
      <c r="P135" s="12"/>
      <c r="R135" s="10" t="str">
        <f>IF(H135&lt;&gt;"",SUMIF(H$3:H135,"&lt;&gt;" &amp; "",H$3:H135),"")</f>
        <v/>
      </c>
      <c r="S135" s="10" t="str">
        <f t="array" ref="S135">IF(O135="Completed",SUMIF(W$3:W135,"&lt;&gt;" &amp; "",W$3:W135),"")</f>
        <v/>
      </c>
      <c r="T135" s="10" t="str">
        <f t="array" ref="T135">IF(AND(J135&lt;&gt;"",O135="Completed"),SUM(IF(O$3:O135="Completed",J$3:J135,0)),"")</f>
        <v/>
      </c>
      <c r="U135" s="10" t="str">
        <f t="shared" si="23"/>
        <v/>
      </c>
      <c r="V135" s="10">
        <f>ROW()</f>
        <v>135</v>
      </c>
      <c r="W135" s="10" t="str">
        <f t="shared" si="19"/>
        <v/>
      </c>
      <c r="Z135" s="10" t="str">
        <f>IF(A135&lt;&gt;"",'Metrics planning and tracking'!$K$4,"")</f>
        <v/>
      </c>
      <c r="AA135" s="10" t="str">
        <f>IF(A135&lt;&gt;"",'Metrics planning and tracking'!$K$5,"")</f>
        <v/>
      </c>
      <c r="AB135" s="10" t="str">
        <f>IF(A135&lt;&gt;"",'Metrics planning and tracking'!$K$2,"")</f>
        <v/>
      </c>
      <c r="AC135" s="10" t="str">
        <f>IF(A135&lt;&gt;"",'Metrics planning and tracking'!$K$3,"")</f>
        <v/>
      </c>
      <c r="AD135" s="10" t="str">
        <f>IF(A135&lt;&gt;"",IF(AND(#REF!&lt;&gt;"",#REF!&lt;&gt;"",#REF!&lt;&gt;0),#REF!/#REF!*100,"NA"),"")</f>
        <v/>
      </c>
      <c r="AE135" s="10" t="str">
        <f>IF(A135&lt;&gt;"",IF(AND(#REF!&lt;&gt;"",#REF!&lt;&gt;"",#REF!&lt;&gt;0),#REF!/#REF!*100,"NA"),"")</f>
        <v/>
      </c>
      <c r="AF135" s="57" t="str">
        <f t="shared" si="20"/>
        <v/>
      </c>
      <c r="AG135" s="57" t="str">
        <f t="shared" si="21"/>
        <v/>
      </c>
      <c r="AH135" s="58" t="str">
        <f t="shared" si="22"/>
        <v/>
      </c>
      <c r="AV135" s="22" t="str">
        <f>IF(A135&lt;&gt;"",A135 &amp; "-" &amp;#REF! &amp; ROW(),"")</f>
        <v/>
      </c>
    </row>
    <row r="136" spans="11:48" x14ac:dyDescent="0.2">
      <c r="K136" s="11" t="str">
        <f>IF(AND(COUNTA(B136:C136)&gt;1,COUNTA(F136:G136)&gt;1,O136="Completed"),(G136-C136)/(C136-#REF!+1)%,"")</f>
        <v/>
      </c>
      <c r="L136" s="11" t="str">
        <f>IF(AND(COUNT(D136:E136)&gt;0,COUNTA(F136:G136)&gt;1,O136="Completed"),(G136-AG136)/(AG136-#REF!+1)%,"")</f>
        <v/>
      </c>
      <c r="M136" s="11" t="str">
        <f t="shared" si="17"/>
        <v/>
      </c>
      <c r="N136" s="11" t="str">
        <f t="shared" si="18"/>
        <v/>
      </c>
      <c r="O136" s="12"/>
      <c r="P136" s="12"/>
      <c r="R136" s="10" t="str">
        <f>IF(H136&lt;&gt;"",SUMIF(H$3:H136,"&lt;&gt;" &amp; "",H$3:H136),"")</f>
        <v/>
      </c>
      <c r="S136" s="10" t="str">
        <f t="array" ref="S136">IF(O136="Completed",SUMIF(W$3:W136,"&lt;&gt;" &amp; "",W$3:W136),"")</f>
        <v/>
      </c>
      <c r="T136" s="10" t="str">
        <f t="array" ref="T136">IF(AND(J136&lt;&gt;"",O136="Completed"),SUM(IF(O$3:O136="Completed",J$3:J136,0)),"")</f>
        <v/>
      </c>
      <c r="U136" s="10" t="str">
        <f t="shared" si="23"/>
        <v/>
      </c>
      <c r="V136" s="10">
        <f>ROW()</f>
        <v>136</v>
      </c>
      <c r="W136" s="10" t="str">
        <f t="shared" si="19"/>
        <v/>
      </c>
      <c r="Z136" s="10" t="str">
        <f>IF(A136&lt;&gt;"",'Metrics planning and tracking'!$K$4,"")</f>
        <v/>
      </c>
      <c r="AA136" s="10" t="str">
        <f>IF(A136&lt;&gt;"",'Metrics planning and tracking'!$K$5,"")</f>
        <v/>
      </c>
      <c r="AB136" s="10" t="str">
        <f>IF(A136&lt;&gt;"",'Metrics planning and tracking'!$K$2,"")</f>
        <v/>
      </c>
      <c r="AC136" s="10" t="str">
        <f>IF(A136&lt;&gt;"",'Metrics planning and tracking'!$K$3,"")</f>
        <v/>
      </c>
      <c r="AD136" s="10" t="str">
        <f>IF(A136&lt;&gt;"",IF(AND(#REF!&lt;&gt;"",#REF!&lt;&gt;"",#REF!&lt;&gt;0),#REF!/#REF!*100,"NA"),"")</f>
        <v/>
      </c>
      <c r="AE136" s="10" t="str">
        <f>IF(A136&lt;&gt;"",IF(AND(#REF!&lt;&gt;"",#REF!&lt;&gt;"",#REF!&lt;&gt;0),#REF!/#REF!*100,"NA"),"")</f>
        <v/>
      </c>
      <c r="AF136" s="57" t="str">
        <f t="shared" si="20"/>
        <v/>
      </c>
      <c r="AG136" s="57" t="str">
        <f t="shared" si="21"/>
        <v/>
      </c>
      <c r="AH136" s="58" t="str">
        <f t="shared" si="22"/>
        <v/>
      </c>
      <c r="AV136" s="22" t="str">
        <f>IF(A136&lt;&gt;"",A136 &amp; "-" &amp;#REF! &amp; ROW(),"")</f>
        <v/>
      </c>
    </row>
    <row r="137" spans="11:48" x14ac:dyDescent="0.2">
      <c r="K137" s="11" t="str">
        <f>IF(AND(COUNTA(B137:C137)&gt;1,COUNTA(F137:G137)&gt;1,O137="Completed"),(G137-C137)/(C137-#REF!+1)%,"")</f>
        <v/>
      </c>
      <c r="L137" s="11" t="str">
        <f>IF(AND(COUNT(D137:E137)&gt;0,COUNTA(F137:G137)&gt;1,O137="Completed"),(G137-AG137)/(AG137-#REF!+1)%,"")</f>
        <v/>
      </c>
      <c r="M137" s="11" t="str">
        <f t="shared" si="17"/>
        <v/>
      </c>
      <c r="N137" s="11" t="str">
        <f t="shared" si="18"/>
        <v/>
      </c>
      <c r="O137" s="12"/>
      <c r="P137" s="12"/>
      <c r="R137" s="10" t="str">
        <f>IF(H137&lt;&gt;"",SUMIF(H$3:H137,"&lt;&gt;" &amp; "",H$3:H137),"")</f>
        <v/>
      </c>
      <c r="S137" s="10" t="str">
        <f t="array" ref="S137">IF(O137="Completed",SUMIF(W$3:W137,"&lt;&gt;" &amp; "",W$3:W137),"")</f>
        <v/>
      </c>
      <c r="T137" s="10" t="str">
        <f t="array" ref="T137">IF(AND(J137&lt;&gt;"",O137="Completed"),SUM(IF(O$3:O137="Completed",J$3:J137,0)),"")</f>
        <v/>
      </c>
      <c r="U137" s="10" t="str">
        <f t="shared" si="23"/>
        <v/>
      </c>
      <c r="V137" s="10">
        <f>ROW()</f>
        <v>137</v>
      </c>
      <c r="W137" s="10" t="str">
        <f t="shared" si="19"/>
        <v/>
      </c>
      <c r="Z137" s="10" t="str">
        <f>IF(A137&lt;&gt;"",'Metrics planning and tracking'!$K$4,"")</f>
        <v/>
      </c>
      <c r="AA137" s="10" t="str">
        <f>IF(A137&lt;&gt;"",'Metrics planning and tracking'!$K$5,"")</f>
        <v/>
      </c>
      <c r="AB137" s="10" t="str">
        <f>IF(A137&lt;&gt;"",'Metrics planning and tracking'!$K$2,"")</f>
        <v/>
      </c>
      <c r="AC137" s="10" t="str">
        <f>IF(A137&lt;&gt;"",'Metrics planning and tracking'!$K$3,"")</f>
        <v/>
      </c>
      <c r="AD137" s="10" t="str">
        <f>IF(A137&lt;&gt;"",IF(AND(#REF!&lt;&gt;"",#REF!&lt;&gt;"",#REF!&lt;&gt;0),#REF!/#REF!*100,"NA"),"")</f>
        <v/>
      </c>
      <c r="AE137" s="10" t="str">
        <f>IF(A137&lt;&gt;"",IF(AND(#REF!&lt;&gt;"",#REF!&lt;&gt;"",#REF!&lt;&gt;0),#REF!/#REF!*100,"NA"),"")</f>
        <v/>
      </c>
      <c r="AF137" s="57" t="str">
        <f t="shared" si="20"/>
        <v/>
      </c>
      <c r="AG137" s="57" t="str">
        <f t="shared" si="21"/>
        <v/>
      </c>
      <c r="AH137" s="58" t="str">
        <f t="shared" si="22"/>
        <v/>
      </c>
      <c r="AV137" s="22" t="str">
        <f>IF(A137&lt;&gt;"",A137 &amp; "-" &amp;#REF! &amp; ROW(),"")</f>
        <v/>
      </c>
    </row>
    <row r="138" spans="11:48" x14ac:dyDescent="0.2">
      <c r="K138" s="11" t="str">
        <f>IF(AND(COUNTA(B138:C138)&gt;1,COUNTA(F138:G138)&gt;1,O138="Completed"),(G138-C138)/(C138-#REF!+1)%,"")</f>
        <v/>
      </c>
      <c r="L138" s="11" t="str">
        <f>IF(AND(COUNT(D138:E138)&gt;0,COUNTA(F138:G138)&gt;1,O138="Completed"),(G138-AG138)/(AG138-#REF!+1)%,"")</f>
        <v/>
      </c>
      <c r="M138" s="11" t="str">
        <f t="shared" si="17"/>
        <v/>
      </c>
      <c r="N138" s="11" t="str">
        <f t="shared" si="18"/>
        <v/>
      </c>
      <c r="O138" s="12"/>
      <c r="P138" s="12"/>
      <c r="R138" s="10" t="str">
        <f>IF(H138&lt;&gt;"",SUMIF(H$3:H138,"&lt;&gt;" &amp; "",H$3:H138),"")</f>
        <v/>
      </c>
      <c r="S138" s="10" t="str">
        <f t="array" ref="S138">IF(O138="Completed",SUMIF(W$3:W138,"&lt;&gt;" &amp; "",W$3:W138),"")</f>
        <v/>
      </c>
      <c r="T138" s="10" t="str">
        <f t="array" ref="T138">IF(AND(J138&lt;&gt;"",O138="Completed"),SUM(IF(O$3:O138="Completed",J$3:J138,0)),"")</f>
        <v/>
      </c>
      <c r="U138" s="10" t="str">
        <f t="shared" si="23"/>
        <v/>
      </c>
      <c r="V138" s="10">
        <f>ROW()</f>
        <v>138</v>
      </c>
      <c r="W138" s="10" t="str">
        <f t="shared" si="19"/>
        <v/>
      </c>
      <c r="Z138" s="10" t="str">
        <f>IF(A138&lt;&gt;"",'Metrics planning and tracking'!$K$4,"")</f>
        <v/>
      </c>
      <c r="AA138" s="10" t="str">
        <f>IF(A138&lt;&gt;"",'Metrics planning and tracking'!$K$5,"")</f>
        <v/>
      </c>
      <c r="AB138" s="10" t="str">
        <f>IF(A138&lt;&gt;"",'Metrics planning and tracking'!$K$2,"")</f>
        <v/>
      </c>
      <c r="AC138" s="10" t="str">
        <f>IF(A138&lt;&gt;"",'Metrics planning and tracking'!$K$3,"")</f>
        <v/>
      </c>
      <c r="AD138" s="10" t="str">
        <f>IF(A138&lt;&gt;"",IF(AND(#REF!&lt;&gt;"",#REF!&lt;&gt;"",#REF!&lt;&gt;0),#REF!/#REF!*100,"NA"),"")</f>
        <v/>
      </c>
      <c r="AE138" s="10" t="str">
        <f>IF(A138&lt;&gt;"",IF(AND(#REF!&lt;&gt;"",#REF!&lt;&gt;"",#REF!&lt;&gt;0),#REF!/#REF!*100,"NA"),"")</f>
        <v/>
      </c>
      <c r="AF138" s="57" t="str">
        <f t="shared" si="20"/>
        <v/>
      </c>
      <c r="AG138" s="57" t="str">
        <f t="shared" si="21"/>
        <v/>
      </c>
      <c r="AH138" s="58" t="str">
        <f t="shared" si="22"/>
        <v/>
      </c>
      <c r="AV138" s="22" t="str">
        <f>IF(A138&lt;&gt;"",A138 &amp; "-" &amp;#REF! &amp; ROW(),"")</f>
        <v/>
      </c>
    </row>
    <row r="139" spans="11:48" x14ac:dyDescent="0.2">
      <c r="K139" s="11" t="str">
        <f>IF(AND(COUNTA(B139:C139)&gt;1,COUNTA(F139:G139)&gt;1,O139="Completed"),(G139-C139)/(C139-#REF!+1)%,"")</f>
        <v/>
      </c>
      <c r="L139" s="11" t="str">
        <f>IF(AND(COUNT(D139:E139)&gt;0,COUNTA(F139:G139)&gt;1,O139="Completed"),(G139-AG139)/(AG139-#REF!+1)%,"")</f>
        <v/>
      </c>
      <c r="M139" s="11" t="str">
        <f t="shared" si="17"/>
        <v/>
      </c>
      <c r="N139" s="11" t="str">
        <f t="shared" si="18"/>
        <v/>
      </c>
      <c r="O139" s="12"/>
      <c r="P139" s="12"/>
      <c r="R139" s="10" t="str">
        <f>IF(H139&lt;&gt;"",SUMIF(H$3:H139,"&lt;&gt;" &amp; "",H$3:H139),"")</f>
        <v/>
      </c>
      <c r="S139" s="10" t="str">
        <f t="array" ref="S139">IF(O139="Completed",SUMIF(W$3:W139,"&lt;&gt;" &amp; "",W$3:W139),"")</f>
        <v/>
      </c>
      <c r="T139" s="10" t="str">
        <f t="array" ref="T139">IF(AND(J139&lt;&gt;"",O139="Completed"),SUM(IF(O$3:O139="Completed",J$3:J139,0)),"")</f>
        <v/>
      </c>
      <c r="U139" s="10" t="str">
        <f t="shared" si="23"/>
        <v/>
      </c>
      <c r="V139" s="10">
        <f>ROW()</f>
        <v>139</v>
      </c>
      <c r="W139" s="10" t="str">
        <f t="shared" si="19"/>
        <v/>
      </c>
      <c r="Z139" s="10" t="str">
        <f>IF(A139&lt;&gt;"",'Metrics planning and tracking'!$K$4,"")</f>
        <v/>
      </c>
      <c r="AA139" s="10" t="str">
        <f>IF(A139&lt;&gt;"",'Metrics planning and tracking'!$K$5,"")</f>
        <v/>
      </c>
      <c r="AB139" s="10" t="str">
        <f>IF(A139&lt;&gt;"",'Metrics planning and tracking'!$K$2,"")</f>
        <v/>
      </c>
      <c r="AC139" s="10" t="str">
        <f>IF(A139&lt;&gt;"",'Metrics planning and tracking'!$K$3,"")</f>
        <v/>
      </c>
      <c r="AD139" s="10" t="str">
        <f>IF(A139&lt;&gt;"",IF(AND(#REF!&lt;&gt;"",#REF!&lt;&gt;"",#REF!&lt;&gt;0),#REF!/#REF!*100,"NA"),"")</f>
        <v/>
      </c>
      <c r="AE139" s="10" t="str">
        <f>IF(A139&lt;&gt;"",IF(AND(#REF!&lt;&gt;"",#REF!&lt;&gt;"",#REF!&lt;&gt;0),#REF!/#REF!*100,"NA"),"")</f>
        <v/>
      </c>
      <c r="AF139" s="57" t="str">
        <f t="shared" si="20"/>
        <v/>
      </c>
      <c r="AG139" s="57" t="str">
        <f t="shared" si="21"/>
        <v/>
      </c>
      <c r="AH139" s="58" t="str">
        <f t="shared" si="22"/>
        <v/>
      </c>
      <c r="AV139" s="22" t="str">
        <f>IF(A139&lt;&gt;"",A139 &amp; "-" &amp;#REF! &amp; ROW(),"")</f>
        <v/>
      </c>
    </row>
    <row r="140" spans="11:48" x14ac:dyDescent="0.2">
      <c r="K140" s="11" t="str">
        <f>IF(AND(COUNTA(B140:C140)&gt;1,COUNTA(F140:G140)&gt;1,O140="Completed"),(G140-C140)/(C140-#REF!+1)%,"")</f>
        <v/>
      </c>
      <c r="L140" s="11" t="str">
        <f>IF(AND(COUNT(D140:E140)&gt;0,COUNTA(F140:G140)&gt;1,O140="Completed"),(G140-AG140)/(AG140-#REF!+1)%,"")</f>
        <v/>
      </c>
      <c r="M140" s="11" t="str">
        <f t="shared" si="17"/>
        <v/>
      </c>
      <c r="N140" s="11" t="str">
        <f t="shared" si="18"/>
        <v/>
      </c>
      <c r="O140" s="12"/>
      <c r="P140" s="12"/>
      <c r="R140" s="10" t="str">
        <f>IF(H140&lt;&gt;"",SUMIF(H$3:H140,"&lt;&gt;" &amp; "",H$3:H140),"")</f>
        <v/>
      </c>
      <c r="S140" s="10" t="str">
        <f t="array" ref="S140">IF(O140="Completed",SUMIF(W$3:W140,"&lt;&gt;" &amp; "",W$3:W140),"")</f>
        <v/>
      </c>
      <c r="T140" s="10" t="str">
        <f t="array" ref="T140">IF(AND(J140&lt;&gt;"",O140="Completed"),SUM(IF(O$3:O140="Completed",J$3:J140,0)),"")</f>
        <v/>
      </c>
      <c r="U140" s="10" t="str">
        <f t="shared" si="23"/>
        <v/>
      </c>
      <c r="V140" s="10">
        <f>ROW()</f>
        <v>140</v>
      </c>
      <c r="W140" s="10" t="str">
        <f t="shared" si="19"/>
        <v/>
      </c>
      <c r="Z140" s="10" t="str">
        <f>IF(A140&lt;&gt;"",'Metrics planning and tracking'!$K$4,"")</f>
        <v/>
      </c>
      <c r="AA140" s="10" t="str">
        <f>IF(A140&lt;&gt;"",'Metrics planning and tracking'!$K$5,"")</f>
        <v/>
      </c>
      <c r="AB140" s="10" t="str">
        <f>IF(A140&lt;&gt;"",'Metrics planning and tracking'!$K$2,"")</f>
        <v/>
      </c>
      <c r="AC140" s="10" t="str">
        <f>IF(A140&lt;&gt;"",'Metrics planning and tracking'!$K$3,"")</f>
        <v/>
      </c>
      <c r="AD140" s="10" t="str">
        <f>IF(A140&lt;&gt;"",IF(AND(#REF!&lt;&gt;"",#REF!&lt;&gt;"",#REF!&lt;&gt;0),#REF!/#REF!*100,"NA"),"")</f>
        <v/>
      </c>
      <c r="AE140" s="10" t="str">
        <f>IF(A140&lt;&gt;"",IF(AND(#REF!&lt;&gt;"",#REF!&lt;&gt;"",#REF!&lt;&gt;0),#REF!/#REF!*100,"NA"),"")</f>
        <v/>
      </c>
      <c r="AF140" s="57" t="str">
        <f t="shared" si="20"/>
        <v/>
      </c>
      <c r="AG140" s="57" t="str">
        <f t="shared" si="21"/>
        <v/>
      </c>
      <c r="AH140" s="58" t="str">
        <f t="shared" si="22"/>
        <v/>
      </c>
      <c r="AV140" s="22" t="str">
        <f>IF(A140&lt;&gt;"",A140 &amp; "-" &amp;#REF! &amp; ROW(),"")</f>
        <v/>
      </c>
    </row>
    <row r="141" spans="11:48" x14ac:dyDescent="0.2">
      <c r="K141" s="11" t="str">
        <f>IF(AND(COUNTA(B141:C141)&gt;1,COUNTA(F141:G141)&gt;1,O141="Completed"),(G141-C141)/(C141-#REF!+1)%,"")</f>
        <v/>
      </c>
      <c r="L141" s="11" t="str">
        <f>IF(AND(COUNT(D141:E141)&gt;0,COUNTA(F141:G141)&gt;1,O141="Completed"),(G141-AG141)/(AG141-#REF!+1)%,"")</f>
        <v/>
      </c>
      <c r="M141" s="11" t="str">
        <f t="shared" si="17"/>
        <v/>
      </c>
      <c r="N141" s="11" t="str">
        <f t="shared" si="18"/>
        <v/>
      </c>
      <c r="O141" s="12"/>
      <c r="P141" s="12"/>
      <c r="R141" s="10" t="str">
        <f>IF(H141&lt;&gt;"",SUMIF(H$3:H141,"&lt;&gt;" &amp; "",H$3:H141),"")</f>
        <v/>
      </c>
      <c r="S141" s="10" t="str">
        <f t="array" ref="S141">IF(O141="Completed",SUMIF(W$3:W141,"&lt;&gt;" &amp; "",W$3:W141),"")</f>
        <v/>
      </c>
      <c r="T141" s="10" t="str">
        <f t="array" ref="T141">IF(AND(J141&lt;&gt;"",O141="Completed"),SUM(IF(O$3:O141="Completed",J$3:J141,0)),"")</f>
        <v/>
      </c>
      <c r="U141" s="10" t="str">
        <f t="shared" si="23"/>
        <v/>
      </c>
      <c r="V141" s="10">
        <f>ROW()</f>
        <v>141</v>
      </c>
      <c r="W141" s="10" t="str">
        <f t="shared" si="19"/>
        <v/>
      </c>
      <c r="Z141" s="10" t="str">
        <f>IF(A141&lt;&gt;"",'Metrics planning and tracking'!$K$4,"")</f>
        <v/>
      </c>
      <c r="AA141" s="10" t="str">
        <f>IF(A141&lt;&gt;"",'Metrics planning and tracking'!$K$5,"")</f>
        <v/>
      </c>
      <c r="AB141" s="10" t="str">
        <f>IF(A141&lt;&gt;"",'Metrics planning and tracking'!$K$2,"")</f>
        <v/>
      </c>
      <c r="AC141" s="10" t="str">
        <f>IF(A141&lt;&gt;"",'Metrics planning and tracking'!$K$3,"")</f>
        <v/>
      </c>
      <c r="AD141" s="10" t="str">
        <f>IF(A141&lt;&gt;"",IF(AND(#REF!&lt;&gt;"",#REF!&lt;&gt;"",#REF!&lt;&gt;0),#REF!/#REF!*100,"NA"),"")</f>
        <v/>
      </c>
      <c r="AE141" s="10" t="str">
        <f>IF(A141&lt;&gt;"",IF(AND(#REF!&lt;&gt;"",#REF!&lt;&gt;"",#REF!&lt;&gt;0),#REF!/#REF!*100,"NA"),"")</f>
        <v/>
      </c>
      <c r="AF141" s="57" t="str">
        <f t="shared" si="20"/>
        <v/>
      </c>
      <c r="AG141" s="57" t="str">
        <f t="shared" si="21"/>
        <v/>
      </c>
      <c r="AH141" s="58" t="str">
        <f t="shared" si="22"/>
        <v/>
      </c>
      <c r="AV141" s="22" t="str">
        <f>IF(A141&lt;&gt;"",A141 &amp; "-" &amp;#REF! &amp; ROW(),"")</f>
        <v/>
      </c>
    </row>
    <row r="142" spans="11:48" x14ac:dyDescent="0.2">
      <c r="K142" s="11" t="str">
        <f>IF(AND(COUNTA(B142:C142)&gt;1,COUNTA(F142:G142)&gt;1,O142="Completed"),(G142-C142)/(C142-#REF!+1)%,"")</f>
        <v/>
      </c>
      <c r="L142" s="11" t="str">
        <f>IF(AND(COUNT(D142:E142)&gt;0,COUNTA(F142:G142)&gt;1,O142="Completed"),(G142-AG142)/(AG142-#REF!+1)%,"")</f>
        <v/>
      </c>
      <c r="M142" s="11" t="str">
        <f t="shared" si="17"/>
        <v/>
      </c>
      <c r="N142" s="11" t="str">
        <f t="shared" si="18"/>
        <v/>
      </c>
      <c r="O142" s="12"/>
      <c r="P142" s="12"/>
      <c r="R142" s="10" t="str">
        <f>IF(H142&lt;&gt;"",SUMIF(H$3:H142,"&lt;&gt;" &amp; "",H$3:H142),"")</f>
        <v/>
      </c>
      <c r="S142" s="10" t="str">
        <f t="array" ref="S142">IF(O142="Completed",SUMIF(W$3:W142,"&lt;&gt;" &amp; "",W$3:W142),"")</f>
        <v/>
      </c>
      <c r="T142" s="10" t="str">
        <f t="array" ref="T142">IF(AND(J142&lt;&gt;"",O142="Completed"),SUM(IF(O$3:O142="Completed",J$3:J142,0)),"")</f>
        <v/>
      </c>
      <c r="U142" s="10" t="str">
        <f t="shared" si="23"/>
        <v/>
      </c>
      <c r="V142" s="10">
        <f>ROW()</f>
        <v>142</v>
      </c>
      <c r="W142" s="10" t="str">
        <f t="shared" si="19"/>
        <v/>
      </c>
      <c r="Z142" s="10" t="str">
        <f>IF(A142&lt;&gt;"",'Metrics planning and tracking'!$K$4,"")</f>
        <v/>
      </c>
      <c r="AA142" s="10" t="str">
        <f>IF(A142&lt;&gt;"",'Metrics planning and tracking'!$K$5,"")</f>
        <v/>
      </c>
      <c r="AB142" s="10" t="str">
        <f>IF(A142&lt;&gt;"",'Metrics planning and tracking'!$K$2,"")</f>
        <v/>
      </c>
      <c r="AC142" s="10" t="str">
        <f>IF(A142&lt;&gt;"",'Metrics planning and tracking'!$K$3,"")</f>
        <v/>
      </c>
      <c r="AD142" s="10" t="str">
        <f>IF(A142&lt;&gt;"",IF(AND(#REF!&lt;&gt;"",#REF!&lt;&gt;"",#REF!&lt;&gt;0),#REF!/#REF!*100,"NA"),"")</f>
        <v/>
      </c>
      <c r="AE142" s="10" t="str">
        <f>IF(A142&lt;&gt;"",IF(AND(#REF!&lt;&gt;"",#REF!&lt;&gt;"",#REF!&lt;&gt;0),#REF!/#REF!*100,"NA"),"")</f>
        <v/>
      </c>
      <c r="AF142" s="57" t="str">
        <f t="shared" si="20"/>
        <v/>
      </c>
      <c r="AG142" s="57" t="str">
        <f t="shared" si="21"/>
        <v/>
      </c>
      <c r="AH142" s="58" t="str">
        <f t="shared" si="22"/>
        <v/>
      </c>
      <c r="AV142" s="22" t="str">
        <f>IF(A142&lt;&gt;"",A142 &amp; "-" &amp;#REF! &amp; ROW(),"")</f>
        <v/>
      </c>
    </row>
    <row r="143" spans="11:48" x14ac:dyDescent="0.2">
      <c r="K143" s="11" t="str">
        <f>IF(AND(COUNTA(B143:C143)&gt;1,COUNTA(F143:G143)&gt;1,O143="Completed"),(G143-C143)/(C143-#REF!+1)%,"")</f>
        <v/>
      </c>
      <c r="L143" s="11" t="str">
        <f>IF(AND(COUNT(D143:E143)&gt;0,COUNTA(F143:G143)&gt;1,O143="Completed"),(G143-AG143)/(AG143-#REF!+1)%,"")</f>
        <v/>
      </c>
      <c r="M143" s="11" t="str">
        <f t="shared" si="17"/>
        <v/>
      </c>
      <c r="N143" s="11" t="str">
        <f t="shared" si="18"/>
        <v/>
      </c>
      <c r="O143" s="12"/>
      <c r="P143" s="12"/>
      <c r="R143" s="10" t="str">
        <f>IF(H143&lt;&gt;"",SUMIF(H$3:H143,"&lt;&gt;" &amp; "",H$3:H143),"")</f>
        <v/>
      </c>
      <c r="S143" s="10" t="str">
        <f t="array" ref="S143">IF(O143="Completed",SUMIF(W$3:W143,"&lt;&gt;" &amp; "",W$3:W143),"")</f>
        <v/>
      </c>
      <c r="T143" s="10" t="str">
        <f t="array" ref="T143">IF(AND(J143&lt;&gt;"",O143="Completed"),SUM(IF(O$3:O143="Completed",J$3:J143,0)),"")</f>
        <v/>
      </c>
      <c r="U143" s="10" t="str">
        <f t="shared" si="23"/>
        <v/>
      </c>
      <c r="V143" s="10">
        <f>ROW()</f>
        <v>143</v>
      </c>
      <c r="W143" s="10" t="str">
        <f t="shared" si="19"/>
        <v/>
      </c>
      <c r="Z143" s="10" t="str">
        <f>IF(A143&lt;&gt;"",'Metrics planning and tracking'!$K$4,"")</f>
        <v/>
      </c>
      <c r="AA143" s="10" t="str">
        <f>IF(A143&lt;&gt;"",'Metrics planning and tracking'!$K$5,"")</f>
        <v/>
      </c>
      <c r="AB143" s="10" t="str">
        <f>IF(A143&lt;&gt;"",'Metrics planning and tracking'!$K$2,"")</f>
        <v/>
      </c>
      <c r="AC143" s="10" t="str">
        <f>IF(A143&lt;&gt;"",'Metrics planning and tracking'!$K$3,"")</f>
        <v/>
      </c>
      <c r="AD143" s="10" t="str">
        <f>IF(A143&lt;&gt;"",IF(AND(#REF!&lt;&gt;"",#REF!&lt;&gt;"",#REF!&lt;&gt;0),#REF!/#REF!*100,"NA"),"")</f>
        <v/>
      </c>
      <c r="AE143" s="10" t="str">
        <f>IF(A143&lt;&gt;"",IF(AND(#REF!&lt;&gt;"",#REF!&lt;&gt;"",#REF!&lt;&gt;0),#REF!/#REF!*100,"NA"),"")</f>
        <v/>
      </c>
      <c r="AF143" s="57" t="str">
        <f t="shared" si="20"/>
        <v/>
      </c>
      <c r="AG143" s="57" t="str">
        <f t="shared" si="21"/>
        <v/>
      </c>
      <c r="AH143" s="58" t="str">
        <f t="shared" si="22"/>
        <v/>
      </c>
      <c r="AV143" s="22" t="str">
        <f>IF(A143&lt;&gt;"",A143 &amp; "-" &amp;#REF! &amp; ROW(),"")</f>
        <v/>
      </c>
    </row>
    <row r="144" spans="11:48" x14ac:dyDescent="0.2">
      <c r="K144" s="11" t="str">
        <f>IF(AND(COUNTA(B144:C144)&gt;1,COUNTA(F144:G144)&gt;1,O144="Completed"),(G144-C144)/(C144-#REF!+1)%,"")</f>
        <v/>
      </c>
      <c r="L144" s="11" t="str">
        <f>IF(AND(COUNT(D144:E144)&gt;0,COUNTA(F144:G144)&gt;1,O144="Completed"),(G144-AG144)/(AG144-#REF!+1)%,"")</f>
        <v/>
      </c>
      <c r="M144" s="11" t="str">
        <f t="shared" si="17"/>
        <v/>
      </c>
      <c r="N144" s="11" t="str">
        <f t="shared" si="18"/>
        <v/>
      </c>
      <c r="O144" s="12"/>
      <c r="P144" s="12"/>
      <c r="R144" s="10" t="str">
        <f>IF(H144&lt;&gt;"",SUMIF(H$3:H144,"&lt;&gt;" &amp; "",H$3:H144),"")</f>
        <v/>
      </c>
      <c r="S144" s="10" t="str">
        <f t="array" ref="S144">IF(O144="Completed",SUMIF(W$3:W144,"&lt;&gt;" &amp; "",W$3:W144),"")</f>
        <v/>
      </c>
      <c r="T144" s="10" t="str">
        <f t="array" ref="T144">IF(AND(J144&lt;&gt;"",O144="Completed"),SUM(IF(O$3:O144="Completed",J$3:J144,0)),"")</f>
        <v/>
      </c>
      <c r="U144" s="10" t="str">
        <f t="shared" si="23"/>
        <v/>
      </c>
      <c r="V144" s="10">
        <f>ROW()</f>
        <v>144</v>
      </c>
      <c r="W144" s="10" t="str">
        <f t="shared" si="19"/>
        <v/>
      </c>
      <c r="Z144" s="10" t="str">
        <f>IF(A144&lt;&gt;"",'Metrics planning and tracking'!$K$4,"")</f>
        <v/>
      </c>
      <c r="AA144" s="10" t="str">
        <f>IF(A144&lt;&gt;"",'Metrics planning and tracking'!$K$5,"")</f>
        <v/>
      </c>
      <c r="AB144" s="10" t="str">
        <f>IF(A144&lt;&gt;"",'Metrics planning and tracking'!$K$2,"")</f>
        <v/>
      </c>
      <c r="AC144" s="10" t="str">
        <f>IF(A144&lt;&gt;"",'Metrics planning and tracking'!$K$3,"")</f>
        <v/>
      </c>
      <c r="AD144" s="10" t="str">
        <f>IF(A144&lt;&gt;"",IF(AND(#REF!&lt;&gt;"",#REF!&lt;&gt;"",#REF!&lt;&gt;0),#REF!/#REF!*100,"NA"),"")</f>
        <v/>
      </c>
      <c r="AE144" s="10" t="str">
        <f>IF(A144&lt;&gt;"",IF(AND(#REF!&lt;&gt;"",#REF!&lt;&gt;"",#REF!&lt;&gt;0),#REF!/#REF!*100,"NA"),"")</f>
        <v/>
      </c>
      <c r="AF144" s="57" t="str">
        <f t="shared" si="20"/>
        <v/>
      </c>
      <c r="AG144" s="57" t="str">
        <f t="shared" si="21"/>
        <v/>
      </c>
      <c r="AH144" s="58" t="str">
        <f t="shared" si="22"/>
        <v/>
      </c>
      <c r="AV144" s="22" t="str">
        <f>IF(A144&lt;&gt;"",A144 &amp; "-" &amp;#REF! &amp; ROW(),"")</f>
        <v/>
      </c>
    </row>
    <row r="145" spans="11:48" x14ac:dyDescent="0.2">
      <c r="K145" s="11" t="str">
        <f>IF(AND(COUNTA(B145:C145)&gt;1,COUNTA(F145:G145)&gt;1,O145="Completed"),(G145-C145)/(C145-#REF!+1)%,"")</f>
        <v/>
      </c>
      <c r="L145" s="11" t="str">
        <f>IF(AND(COUNT(D145:E145)&gt;0,COUNTA(F145:G145)&gt;1,O145="Completed"),(G145-AG145)/(AG145-#REF!+1)%,"")</f>
        <v/>
      </c>
      <c r="M145" s="11" t="str">
        <f t="shared" si="17"/>
        <v/>
      </c>
      <c r="N145" s="11" t="str">
        <f t="shared" si="18"/>
        <v/>
      </c>
      <c r="O145" s="12"/>
      <c r="P145" s="12"/>
      <c r="R145" s="10" t="str">
        <f>IF(H145&lt;&gt;"",SUMIF(H$3:H145,"&lt;&gt;" &amp; "",H$3:H145),"")</f>
        <v/>
      </c>
      <c r="S145" s="10" t="str">
        <f t="array" ref="S145">IF(O145="Completed",SUMIF(W$3:W145,"&lt;&gt;" &amp; "",W$3:W145),"")</f>
        <v/>
      </c>
      <c r="T145" s="10" t="str">
        <f t="array" ref="T145">IF(AND(J145&lt;&gt;"",O145="Completed"),SUM(IF(O$3:O145="Completed",J$3:J145,0)),"")</f>
        <v/>
      </c>
      <c r="U145" s="10" t="str">
        <f t="shared" si="23"/>
        <v/>
      </c>
      <c r="V145" s="10">
        <f>ROW()</f>
        <v>145</v>
      </c>
      <c r="W145" s="10" t="str">
        <f t="shared" si="19"/>
        <v/>
      </c>
      <c r="Z145" s="10" t="str">
        <f>IF(A145&lt;&gt;"",'Metrics planning and tracking'!$K$4,"")</f>
        <v/>
      </c>
      <c r="AA145" s="10" t="str">
        <f>IF(A145&lt;&gt;"",'Metrics planning and tracking'!$K$5,"")</f>
        <v/>
      </c>
      <c r="AB145" s="10" t="str">
        <f>IF(A145&lt;&gt;"",'Metrics planning and tracking'!$K$2,"")</f>
        <v/>
      </c>
      <c r="AC145" s="10" t="str">
        <f>IF(A145&lt;&gt;"",'Metrics planning and tracking'!$K$3,"")</f>
        <v/>
      </c>
      <c r="AD145" s="10" t="str">
        <f>IF(A145&lt;&gt;"",IF(AND(#REF!&lt;&gt;"",#REF!&lt;&gt;"",#REF!&lt;&gt;0),#REF!/#REF!*100,"NA"),"")</f>
        <v/>
      </c>
      <c r="AE145" s="10" t="str">
        <f>IF(A145&lt;&gt;"",IF(AND(#REF!&lt;&gt;"",#REF!&lt;&gt;"",#REF!&lt;&gt;0),#REF!/#REF!*100,"NA"),"")</f>
        <v/>
      </c>
      <c r="AF145" s="57" t="str">
        <f t="shared" si="20"/>
        <v/>
      </c>
      <c r="AG145" s="57" t="str">
        <f t="shared" si="21"/>
        <v/>
      </c>
      <c r="AH145" s="58" t="str">
        <f t="shared" si="22"/>
        <v/>
      </c>
      <c r="AV145" s="22" t="str">
        <f>IF(A145&lt;&gt;"",A145 &amp; "-" &amp;#REF! &amp; ROW(),"")</f>
        <v/>
      </c>
    </row>
    <row r="146" spans="11:48" x14ac:dyDescent="0.2">
      <c r="K146" s="11" t="str">
        <f>IF(AND(COUNTA(B146:C146)&gt;1,COUNTA(F146:G146)&gt;1,O146="Completed"),(G146-C146)/(C146-#REF!+1)%,"")</f>
        <v/>
      </c>
      <c r="L146" s="11" t="str">
        <f>IF(AND(COUNT(D146:E146)&gt;0,COUNTA(F146:G146)&gt;1,O146="Completed"),(G146-AG146)/(AG146-#REF!+1)%,"")</f>
        <v/>
      </c>
      <c r="M146" s="11" t="str">
        <f t="shared" si="17"/>
        <v/>
      </c>
      <c r="N146" s="11" t="str">
        <f t="shared" si="18"/>
        <v/>
      </c>
      <c r="O146" s="12"/>
      <c r="P146" s="12"/>
      <c r="R146" s="10" t="str">
        <f>IF(H146&lt;&gt;"",SUMIF(H$3:H146,"&lt;&gt;" &amp; "",H$3:H146),"")</f>
        <v/>
      </c>
      <c r="S146" s="10" t="str">
        <f t="array" ref="S146">IF(O146="Completed",SUMIF(W$3:W146,"&lt;&gt;" &amp; "",W$3:W146),"")</f>
        <v/>
      </c>
      <c r="T146" s="10" t="str">
        <f t="array" ref="T146">IF(AND(J146&lt;&gt;"",O146="Completed"),SUM(IF(O$3:O146="Completed",J$3:J146,0)),"")</f>
        <v/>
      </c>
      <c r="U146" s="10" t="str">
        <f t="shared" si="23"/>
        <v/>
      </c>
      <c r="V146" s="10">
        <f>ROW()</f>
        <v>146</v>
      </c>
      <c r="W146" s="10" t="str">
        <f t="shared" si="19"/>
        <v/>
      </c>
      <c r="Z146" s="10" t="str">
        <f>IF(A146&lt;&gt;"",'Metrics planning and tracking'!$K$4,"")</f>
        <v/>
      </c>
      <c r="AA146" s="10" t="str">
        <f>IF(A146&lt;&gt;"",'Metrics planning and tracking'!$K$5,"")</f>
        <v/>
      </c>
      <c r="AB146" s="10" t="str">
        <f>IF(A146&lt;&gt;"",'Metrics planning and tracking'!$K$2,"")</f>
        <v/>
      </c>
      <c r="AC146" s="10" t="str">
        <f>IF(A146&lt;&gt;"",'Metrics planning and tracking'!$K$3,"")</f>
        <v/>
      </c>
      <c r="AD146" s="10" t="str">
        <f>IF(A146&lt;&gt;"",IF(AND(#REF!&lt;&gt;"",#REF!&lt;&gt;"",#REF!&lt;&gt;0),#REF!/#REF!*100,"NA"),"")</f>
        <v/>
      </c>
      <c r="AE146" s="10" t="str">
        <f>IF(A146&lt;&gt;"",IF(AND(#REF!&lt;&gt;"",#REF!&lt;&gt;"",#REF!&lt;&gt;0),#REF!/#REF!*100,"NA"),"")</f>
        <v/>
      </c>
      <c r="AF146" s="57" t="str">
        <f t="shared" si="20"/>
        <v/>
      </c>
      <c r="AG146" s="57" t="str">
        <f t="shared" si="21"/>
        <v/>
      </c>
      <c r="AH146" s="58" t="str">
        <f t="shared" si="22"/>
        <v/>
      </c>
      <c r="AV146" s="22" t="str">
        <f>IF(A146&lt;&gt;"",A146 &amp; "-" &amp;#REF! &amp; ROW(),"")</f>
        <v/>
      </c>
    </row>
    <row r="147" spans="11:48" x14ac:dyDescent="0.2">
      <c r="K147" s="11" t="str">
        <f>IF(AND(COUNTA(B147:C147)&gt;1,COUNTA(F147:G147)&gt;1,O147="Completed"),(G147-C147)/(C147-#REF!+1)%,"")</f>
        <v/>
      </c>
      <c r="L147" s="11" t="str">
        <f>IF(AND(COUNT(D147:E147)&gt;0,COUNTA(F147:G147)&gt;1,O147="Completed"),(G147-AG147)/(AG147-#REF!+1)%,"")</f>
        <v/>
      </c>
      <c r="M147" s="11" t="str">
        <f t="shared" si="17"/>
        <v/>
      </c>
      <c r="N147" s="11" t="str">
        <f t="shared" si="18"/>
        <v/>
      </c>
      <c r="O147" s="12"/>
      <c r="P147" s="12"/>
      <c r="R147" s="10" t="str">
        <f>IF(H147&lt;&gt;"",SUMIF(H$3:H147,"&lt;&gt;" &amp; "",H$3:H147),"")</f>
        <v/>
      </c>
      <c r="S147" s="10" t="str">
        <f t="array" ref="S147">IF(O147="Completed",SUMIF(W$3:W147,"&lt;&gt;" &amp; "",W$3:W147),"")</f>
        <v/>
      </c>
      <c r="T147" s="10" t="str">
        <f t="array" ref="T147">IF(AND(J147&lt;&gt;"",O147="Completed"),SUM(IF(O$3:O147="Completed",J$3:J147,0)),"")</f>
        <v/>
      </c>
      <c r="U147" s="10" t="str">
        <f t="shared" si="23"/>
        <v/>
      </c>
      <c r="V147" s="10">
        <f>ROW()</f>
        <v>147</v>
      </c>
      <c r="W147" s="10" t="str">
        <f t="shared" si="19"/>
        <v/>
      </c>
      <c r="Z147" s="10" t="str">
        <f>IF(A147&lt;&gt;"",'Metrics planning and tracking'!$K$4,"")</f>
        <v/>
      </c>
      <c r="AA147" s="10" t="str">
        <f>IF(A147&lt;&gt;"",'Metrics planning and tracking'!$K$5,"")</f>
        <v/>
      </c>
      <c r="AB147" s="10" t="str">
        <f>IF(A147&lt;&gt;"",'Metrics planning and tracking'!$K$2,"")</f>
        <v/>
      </c>
      <c r="AC147" s="10" t="str">
        <f>IF(A147&lt;&gt;"",'Metrics planning and tracking'!$K$3,"")</f>
        <v/>
      </c>
      <c r="AD147" s="10" t="str">
        <f>IF(A147&lt;&gt;"",IF(AND(#REF!&lt;&gt;"",#REF!&lt;&gt;"",#REF!&lt;&gt;0),#REF!/#REF!*100,"NA"),"")</f>
        <v/>
      </c>
      <c r="AE147" s="10" t="str">
        <f>IF(A147&lt;&gt;"",IF(AND(#REF!&lt;&gt;"",#REF!&lt;&gt;"",#REF!&lt;&gt;0),#REF!/#REF!*100,"NA"),"")</f>
        <v/>
      </c>
      <c r="AF147" s="57" t="str">
        <f t="shared" si="20"/>
        <v/>
      </c>
      <c r="AG147" s="57" t="str">
        <f t="shared" si="21"/>
        <v/>
      </c>
      <c r="AH147" s="58" t="str">
        <f t="shared" si="22"/>
        <v/>
      </c>
      <c r="AV147" s="22" t="str">
        <f>IF(A147&lt;&gt;"",A147 &amp; "-" &amp;#REF! &amp; ROW(),"")</f>
        <v/>
      </c>
    </row>
    <row r="148" spans="11:48" x14ac:dyDescent="0.2">
      <c r="K148" s="11" t="str">
        <f>IF(AND(COUNTA(B148:C148)&gt;1,COUNTA(F148:G148)&gt;1,O148="Completed"),(G148-C148)/(C148-#REF!+1)%,"")</f>
        <v/>
      </c>
      <c r="L148" s="11" t="str">
        <f>IF(AND(COUNT(D148:E148)&gt;0,COUNTA(F148:G148)&gt;1,O148="Completed"),(G148-AG148)/(AG148-#REF!+1)%,"")</f>
        <v/>
      </c>
      <c r="M148" s="11" t="str">
        <f t="shared" si="17"/>
        <v/>
      </c>
      <c r="N148" s="11" t="str">
        <f t="shared" si="18"/>
        <v/>
      </c>
      <c r="O148" s="12"/>
      <c r="P148" s="12"/>
      <c r="R148" s="10" t="str">
        <f>IF(H148&lt;&gt;"",SUMIF(H$3:H148,"&lt;&gt;" &amp; "",H$3:H148),"")</f>
        <v/>
      </c>
      <c r="S148" s="10" t="str">
        <f t="array" ref="S148">IF(O148="Completed",SUMIF(W$3:W148,"&lt;&gt;" &amp; "",W$3:W148),"")</f>
        <v/>
      </c>
      <c r="T148" s="10" t="str">
        <f t="array" ref="T148">IF(AND(J148&lt;&gt;"",O148="Completed"),SUM(IF(O$3:O148="Completed",J$3:J148,0)),"")</f>
        <v/>
      </c>
      <c r="U148" s="10" t="str">
        <f t="shared" si="23"/>
        <v/>
      </c>
      <c r="V148" s="10">
        <f>ROW()</f>
        <v>148</v>
      </c>
      <c r="W148" s="10" t="str">
        <f t="shared" si="19"/>
        <v/>
      </c>
      <c r="Z148" s="10" t="str">
        <f>IF(A148&lt;&gt;"",'Metrics planning and tracking'!$K$4,"")</f>
        <v/>
      </c>
      <c r="AA148" s="10" t="str">
        <f>IF(A148&lt;&gt;"",'Metrics planning and tracking'!$K$5,"")</f>
        <v/>
      </c>
      <c r="AB148" s="10" t="str">
        <f>IF(A148&lt;&gt;"",'Metrics planning and tracking'!$K$2,"")</f>
        <v/>
      </c>
      <c r="AC148" s="10" t="str">
        <f>IF(A148&lt;&gt;"",'Metrics planning and tracking'!$K$3,"")</f>
        <v/>
      </c>
      <c r="AD148" s="10" t="str">
        <f>IF(A148&lt;&gt;"",IF(AND(#REF!&lt;&gt;"",#REF!&lt;&gt;"",#REF!&lt;&gt;0),#REF!/#REF!*100,"NA"),"")</f>
        <v/>
      </c>
      <c r="AE148" s="10" t="str">
        <f>IF(A148&lt;&gt;"",IF(AND(#REF!&lt;&gt;"",#REF!&lt;&gt;"",#REF!&lt;&gt;0),#REF!/#REF!*100,"NA"),"")</f>
        <v/>
      </c>
      <c r="AF148" s="57" t="str">
        <f t="shared" si="20"/>
        <v/>
      </c>
      <c r="AG148" s="57" t="str">
        <f t="shared" si="21"/>
        <v/>
      </c>
      <c r="AH148" s="58" t="str">
        <f t="shared" si="22"/>
        <v/>
      </c>
      <c r="AV148" s="22" t="str">
        <f>IF(A148&lt;&gt;"",A148 &amp; "-" &amp;#REF! &amp; ROW(),"")</f>
        <v/>
      </c>
    </row>
    <row r="149" spans="11:48" x14ac:dyDescent="0.2">
      <c r="K149" s="11" t="str">
        <f>IF(AND(COUNTA(B149:C149)&gt;1,COUNTA(F149:G149)&gt;1,O149="Completed"),(G149-C149)/(C149-#REF!+1)%,"")</f>
        <v/>
      </c>
      <c r="L149" s="11" t="str">
        <f>IF(AND(COUNT(D149:E149)&gt;0,COUNTA(F149:G149)&gt;1,O149="Completed"),(G149-AG149)/(AG149-#REF!+1)%,"")</f>
        <v/>
      </c>
      <c r="M149" s="11" t="str">
        <f t="shared" si="17"/>
        <v/>
      </c>
      <c r="N149" s="11" t="str">
        <f t="shared" si="18"/>
        <v/>
      </c>
      <c r="O149" s="12"/>
      <c r="P149" s="12"/>
      <c r="R149" s="10" t="str">
        <f>IF(H149&lt;&gt;"",SUMIF(H$3:H149,"&lt;&gt;" &amp; "",H$3:H149),"")</f>
        <v/>
      </c>
      <c r="S149" s="10" t="str">
        <f t="array" ref="S149">IF(O149="Completed",SUMIF(W$3:W149,"&lt;&gt;" &amp; "",W$3:W149),"")</f>
        <v/>
      </c>
      <c r="T149" s="10" t="str">
        <f t="array" ref="T149">IF(AND(J149&lt;&gt;"",O149="Completed"),SUM(IF(O$3:O149="Completed",J$3:J149,0)),"")</f>
        <v/>
      </c>
      <c r="U149" s="10" t="str">
        <f t="shared" si="23"/>
        <v/>
      </c>
      <c r="V149" s="10">
        <f>ROW()</f>
        <v>149</v>
      </c>
      <c r="W149" s="10" t="str">
        <f t="shared" si="19"/>
        <v/>
      </c>
      <c r="Z149" s="10" t="str">
        <f>IF(A149&lt;&gt;"",'Metrics planning and tracking'!$K$4,"")</f>
        <v/>
      </c>
      <c r="AA149" s="10" t="str">
        <f>IF(A149&lt;&gt;"",'Metrics planning and tracking'!$K$5,"")</f>
        <v/>
      </c>
      <c r="AB149" s="10" t="str">
        <f>IF(A149&lt;&gt;"",'Metrics planning and tracking'!$K$2,"")</f>
        <v/>
      </c>
      <c r="AC149" s="10" t="str">
        <f>IF(A149&lt;&gt;"",'Metrics planning and tracking'!$K$3,"")</f>
        <v/>
      </c>
      <c r="AD149" s="10" t="str">
        <f>IF(A149&lt;&gt;"",IF(AND(#REF!&lt;&gt;"",#REF!&lt;&gt;"",#REF!&lt;&gt;0),#REF!/#REF!*100,"NA"),"")</f>
        <v/>
      </c>
      <c r="AE149" s="10" t="str">
        <f>IF(A149&lt;&gt;"",IF(AND(#REF!&lt;&gt;"",#REF!&lt;&gt;"",#REF!&lt;&gt;0),#REF!/#REF!*100,"NA"),"")</f>
        <v/>
      </c>
      <c r="AF149" s="57" t="str">
        <f t="shared" si="20"/>
        <v/>
      </c>
      <c r="AG149" s="57" t="str">
        <f t="shared" si="21"/>
        <v/>
      </c>
      <c r="AH149" s="58" t="str">
        <f t="shared" si="22"/>
        <v/>
      </c>
      <c r="AV149" s="22" t="str">
        <f>IF(A149&lt;&gt;"",A149 &amp; "-" &amp;#REF! &amp; ROW(),"")</f>
        <v/>
      </c>
    </row>
    <row r="150" spans="11:48" x14ac:dyDescent="0.2">
      <c r="K150" s="11" t="str">
        <f>IF(AND(COUNTA(B150:C150)&gt;1,COUNTA(F150:G150)&gt;1,O150="Completed"),(G150-C150)/(C150-#REF!+1)%,"")</f>
        <v/>
      </c>
      <c r="L150" s="11" t="str">
        <f>IF(AND(COUNT(D150:E150)&gt;0,COUNTA(F150:G150)&gt;1,O150="Completed"),(G150-AG150)/(AG150-#REF!+1)%,"")</f>
        <v/>
      </c>
      <c r="M150" s="11" t="str">
        <f t="shared" ref="M150:M213" si="24">IF(AND(T150&lt;&gt;"",T150&lt;&gt;0,R150&lt;&gt;"",R150&lt;&gt;0),(T150-R150)/R150%,IF(AND(H150&lt;&gt;"",H150&lt;&gt;0,OR(J150="",J150=0)),"Actual Effort reqd.",""))</f>
        <v/>
      </c>
      <c r="N150" s="11" t="str">
        <f t="shared" ref="N150:N213" si="25">IF(AND(T150&lt;&gt;"",T150&lt;&gt;0,S150&lt;&gt;"",S150&lt;&gt;0),(T150-S150)/S150%,IF(AND(I150&lt;&gt;"",I150&lt;&gt;0,OR(J150="",J150=0)),"Actual Effort reqd.",""))</f>
        <v/>
      </c>
      <c r="O150" s="12"/>
      <c r="P150" s="12"/>
      <c r="R150" s="10" t="str">
        <f>IF(H150&lt;&gt;"",SUMIF(H$3:H150,"&lt;&gt;" &amp; "",H$3:H150),"")</f>
        <v/>
      </c>
      <c r="S150" s="10" t="str">
        <f t="array" ref="S150">IF(O150="Completed",SUMIF(W$3:W150,"&lt;&gt;" &amp; "",W$3:W150),"")</f>
        <v/>
      </c>
      <c r="T150" s="10" t="str">
        <f t="array" ref="T150">IF(AND(J150&lt;&gt;"",O150="Completed"),SUM(IF(O$3:O150="Completed",J$3:J150,0)),"")</f>
        <v/>
      </c>
      <c r="U150" s="10" t="str">
        <f t="shared" si="23"/>
        <v/>
      </c>
      <c r="V150" s="10">
        <f>ROW()</f>
        <v>150</v>
      </c>
      <c r="W150" s="10" t="str">
        <f t="shared" ref="W150:W213" si="26">IF(O150="Completed",IF(COUNT($I$3:$I$596)&gt;0,IF(I150&lt;&gt;"",I150,H150),""),"")</f>
        <v/>
      </c>
      <c r="Z150" s="10" t="str">
        <f>IF(A150&lt;&gt;"",'Metrics planning and tracking'!$K$4,"")</f>
        <v/>
      </c>
      <c r="AA150" s="10" t="str">
        <f>IF(A150&lt;&gt;"",'Metrics planning and tracking'!$K$5,"")</f>
        <v/>
      </c>
      <c r="AB150" s="10" t="str">
        <f>IF(A150&lt;&gt;"",'Metrics planning and tracking'!$K$2,"")</f>
        <v/>
      </c>
      <c r="AC150" s="10" t="str">
        <f>IF(A150&lt;&gt;"",'Metrics planning and tracking'!$K$3,"")</f>
        <v/>
      </c>
      <c r="AD150" s="10" t="str">
        <f>IF(A150&lt;&gt;"",IF(AND(#REF!&lt;&gt;"",#REF!&lt;&gt;"",#REF!&lt;&gt;0),#REF!/#REF!*100,"NA"),"")</f>
        <v/>
      </c>
      <c r="AE150" s="10" t="str">
        <f>IF(A150&lt;&gt;"",IF(AND(#REF!&lt;&gt;"",#REF!&lt;&gt;"",#REF!&lt;&gt;0),#REF!/#REF!*100,"NA"),"")</f>
        <v/>
      </c>
      <c r="AF150" s="57" t="str">
        <f t="shared" ref="AF150:AF213" si="27">IF($O150="Completed",IF(D150&lt;&gt;"",D150,IF(B150&lt;&gt;"",B150,"")),"")</f>
        <v/>
      </c>
      <c r="AG150" s="57" t="str">
        <f t="shared" ref="AG150:AG213" si="28">IF($O150="Completed",IF(E150&lt;&gt;"",E150,IF(C150&lt;&gt;"",C150,"")),"")</f>
        <v/>
      </c>
      <c r="AH150" s="58" t="str">
        <f t="shared" ref="AH150:AH213" si="29">IF(O150="Completed",IF(L150&lt;&gt;"",L150,IF(K150&lt;&gt;"",K150,"")),"")</f>
        <v/>
      </c>
      <c r="AV150" s="22" t="str">
        <f>IF(A150&lt;&gt;"",A150 &amp; "-" &amp;#REF! &amp; ROW(),"")</f>
        <v/>
      </c>
    </row>
    <row r="151" spans="11:48" x14ac:dyDescent="0.2">
      <c r="K151" s="11" t="str">
        <f>IF(AND(COUNTA(B151:C151)&gt;1,COUNTA(F151:G151)&gt;1,O151="Completed"),(G151-C151)/(C151-#REF!+1)%,"")</f>
        <v/>
      </c>
      <c r="L151" s="11" t="str">
        <f>IF(AND(COUNT(D151:E151)&gt;0,COUNTA(F151:G151)&gt;1,O151="Completed"),(G151-AG151)/(AG151-#REF!+1)%,"")</f>
        <v/>
      </c>
      <c r="M151" s="11" t="str">
        <f t="shared" si="24"/>
        <v/>
      </c>
      <c r="N151" s="11" t="str">
        <f t="shared" si="25"/>
        <v/>
      </c>
      <c r="O151" s="12"/>
      <c r="P151" s="12"/>
      <c r="R151" s="10" t="str">
        <f>IF(H151&lt;&gt;"",SUMIF(H$3:H151,"&lt;&gt;" &amp; "",H$3:H151),"")</f>
        <v/>
      </c>
      <c r="S151" s="10" t="str">
        <f t="array" ref="S151">IF(O151="Completed",SUMIF(W$3:W151,"&lt;&gt;" &amp; "",W$3:W151),"")</f>
        <v/>
      </c>
      <c r="T151" s="10" t="str">
        <f t="array" ref="T151">IF(AND(J151&lt;&gt;"",O151="Completed"),SUM(IF(O$3:O151="Completed",J$3:J151,0)),"")</f>
        <v/>
      </c>
      <c r="U151" s="10" t="str">
        <f t="shared" si="23"/>
        <v/>
      </c>
      <c r="V151" s="10">
        <f>ROW()</f>
        <v>151</v>
      </c>
      <c r="W151" s="10" t="str">
        <f t="shared" si="26"/>
        <v/>
      </c>
      <c r="Z151" s="10" t="str">
        <f>IF(A151&lt;&gt;"",'Metrics planning and tracking'!$K$4,"")</f>
        <v/>
      </c>
      <c r="AA151" s="10" t="str">
        <f>IF(A151&lt;&gt;"",'Metrics planning and tracking'!$K$5,"")</f>
        <v/>
      </c>
      <c r="AB151" s="10" t="str">
        <f>IF(A151&lt;&gt;"",'Metrics planning and tracking'!$K$2,"")</f>
        <v/>
      </c>
      <c r="AC151" s="10" t="str">
        <f>IF(A151&lt;&gt;"",'Metrics planning and tracking'!$K$3,"")</f>
        <v/>
      </c>
      <c r="AD151" s="10" t="str">
        <f>IF(A151&lt;&gt;"",IF(AND(#REF!&lt;&gt;"",#REF!&lt;&gt;"",#REF!&lt;&gt;0),#REF!/#REF!*100,"NA"),"")</f>
        <v/>
      </c>
      <c r="AE151" s="10" t="str">
        <f>IF(A151&lt;&gt;"",IF(AND(#REF!&lt;&gt;"",#REF!&lt;&gt;"",#REF!&lt;&gt;0),#REF!/#REF!*100,"NA"),"")</f>
        <v/>
      </c>
      <c r="AF151" s="57" t="str">
        <f t="shared" si="27"/>
        <v/>
      </c>
      <c r="AG151" s="57" t="str">
        <f t="shared" si="28"/>
        <v/>
      </c>
      <c r="AH151" s="58" t="str">
        <f t="shared" si="29"/>
        <v/>
      </c>
      <c r="AV151" s="22" t="str">
        <f>IF(A151&lt;&gt;"",A151 &amp; "-" &amp;#REF! &amp; ROW(),"")</f>
        <v/>
      </c>
    </row>
    <row r="152" spans="11:48" x14ac:dyDescent="0.2">
      <c r="K152" s="11" t="str">
        <f>IF(AND(COUNTA(B152:C152)&gt;1,COUNTA(F152:G152)&gt;1,O152="Completed"),(G152-C152)/(C152-#REF!+1)%,"")</f>
        <v/>
      </c>
      <c r="L152" s="11" t="str">
        <f>IF(AND(COUNT(D152:E152)&gt;0,COUNTA(F152:G152)&gt;1,O152="Completed"),(G152-AG152)/(AG152-#REF!+1)%,"")</f>
        <v/>
      </c>
      <c r="M152" s="11" t="str">
        <f t="shared" si="24"/>
        <v/>
      </c>
      <c r="N152" s="11" t="str">
        <f t="shared" si="25"/>
        <v/>
      </c>
      <c r="O152" s="12"/>
      <c r="P152" s="12"/>
      <c r="R152" s="10" t="str">
        <f>IF(H152&lt;&gt;"",SUMIF(H$3:H152,"&lt;&gt;" &amp; "",H$3:H152),"")</f>
        <v/>
      </c>
      <c r="S152" s="10" t="str">
        <f t="array" ref="S152">IF(O152="Completed",SUMIF(W$3:W152,"&lt;&gt;" &amp; "",W$3:W152),"")</f>
        <v/>
      </c>
      <c r="T152" s="10" t="str">
        <f t="array" ref="T152">IF(AND(J152&lt;&gt;"",O152="Completed"),SUM(IF(O$3:O152="Completed",J$3:J152,0)),"")</f>
        <v/>
      </c>
      <c r="U152" s="10" t="str">
        <f t="shared" si="23"/>
        <v/>
      </c>
      <c r="V152" s="10">
        <f>ROW()</f>
        <v>152</v>
      </c>
      <c r="W152" s="10" t="str">
        <f t="shared" si="26"/>
        <v/>
      </c>
      <c r="Z152" s="10" t="str">
        <f>IF(A152&lt;&gt;"",'Metrics planning and tracking'!$K$4,"")</f>
        <v/>
      </c>
      <c r="AA152" s="10" t="str">
        <f>IF(A152&lt;&gt;"",'Metrics planning and tracking'!$K$5,"")</f>
        <v/>
      </c>
      <c r="AB152" s="10" t="str">
        <f>IF(A152&lt;&gt;"",'Metrics planning and tracking'!$K$2,"")</f>
        <v/>
      </c>
      <c r="AC152" s="10" t="str">
        <f>IF(A152&lt;&gt;"",'Metrics planning and tracking'!$K$3,"")</f>
        <v/>
      </c>
      <c r="AD152" s="10" t="str">
        <f>IF(A152&lt;&gt;"",IF(AND(#REF!&lt;&gt;"",#REF!&lt;&gt;"",#REF!&lt;&gt;0),#REF!/#REF!*100,"NA"),"")</f>
        <v/>
      </c>
      <c r="AE152" s="10" t="str">
        <f>IF(A152&lt;&gt;"",IF(AND(#REF!&lt;&gt;"",#REF!&lt;&gt;"",#REF!&lt;&gt;0),#REF!/#REF!*100,"NA"),"")</f>
        <v/>
      </c>
      <c r="AF152" s="57" t="str">
        <f t="shared" si="27"/>
        <v/>
      </c>
      <c r="AG152" s="57" t="str">
        <f t="shared" si="28"/>
        <v/>
      </c>
      <c r="AH152" s="58" t="str">
        <f t="shared" si="29"/>
        <v/>
      </c>
      <c r="AV152" s="22" t="str">
        <f>IF(A152&lt;&gt;"",A152 &amp; "-" &amp;#REF! &amp; ROW(),"")</f>
        <v/>
      </c>
    </row>
    <row r="153" spans="11:48" x14ac:dyDescent="0.2">
      <c r="K153" s="11" t="str">
        <f>IF(AND(COUNTA(B153:C153)&gt;1,COUNTA(F153:G153)&gt;1,O153="Completed"),(G153-C153)/(C153-#REF!+1)%,"")</f>
        <v/>
      </c>
      <c r="L153" s="11" t="str">
        <f>IF(AND(COUNT(D153:E153)&gt;0,COUNTA(F153:G153)&gt;1,O153="Completed"),(G153-AG153)/(AG153-#REF!+1)%,"")</f>
        <v/>
      </c>
      <c r="M153" s="11" t="str">
        <f t="shared" si="24"/>
        <v/>
      </c>
      <c r="N153" s="11" t="str">
        <f t="shared" si="25"/>
        <v/>
      </c>
      <c r="O153" s="12"/>
      <c r="P153" s="12"/>
      <c r="R153" s="10" t="str">
        <f>IF(H153&lt;&gt;"",SUMIF(H$3:H153,"&lt;&gt;" &amp; "",H$3:H153),"")</f>
        <v/>
      </c>
      <c r="S153" s="10" t="str">
        <f t="array" ref="S153">IF(O153="Completed",SUMIF(W$3:W153,"&lt;&gt;" &amp; "",W$3:W153),"")</f>
        <v/>
      </c>
      <c r="T153" s="10" t="str">
        <f t="array" ref="T153">IF(AND(J153&lt;&gt;"",O153="Completed"),SUM(IF(O$3:O153="Completed",J$3:J153,0)),"")</f>
        <v/>
      </c>
      <c r="U153" s="10" t="str">
        <f t="shared" si="23"/>
        <v/>
      </c>
      <c r="V153" s="10">
        <f>ROW()</f>
        <v>153</v>
      </c>
      <c r="W153" s="10" t="str">
        <f t="shared" si="26"/>
        <v/>
      </c>
      <c r="Z153" s="10" t="str">
        <f>IF(A153&lt;&gt;"",'Metrics planning and tracking'!$K$4,"")</f>
        <v/>
      </c>
      <c r="AA153" s="10" t="str">
        <f>IF(A153&lt;&gt;"",'Metrics planning and tracking'!$K$5,"")</f>
        <v/>
      </c>
      <c r="AB153" s="10" t="str">
        <f>IF(A153&lt;&gt;"",'Metrics planning and tracking'!$K$2,"")</f>
        <v/>
      </c>
      <c r="AC153" s="10" t="str">
        <f>IF(A153&lt;&gt;"",'Metrics planning and tracking'!$K$3,"")</f>
        <v/>
      </c>
      <c r="AD153" s="10" t="str">
        <f>IF(A153&lt;&gt;"",IF(AND(#REF!&lt;&gt;"",#REF!&lt;&gt;"",#REF!&lt;&gt;0),#REF!/#REF!*100,"NA"),"")</f>
        <v/>
      </c>
      <c r="AE153" s="10" t="str">
        <f>IF(A153&lt;&gt;"",IF(AND(#REF!&lt;&gt;"",#REF!&lt;&gt;"",#REF!&lt;&gt;0),#REF!/#REF!*100,"NA"),"")</f>
        <v/>
      </c>
      <c r="AF153" s="57" t="str">
        <f t="shared" si="27"/>
        <v/>
      </c>
      <c r="AG153" s="57" t="str">
        <f t="shared" si="28"/>
        <v/>
      </c>
      <c r="AH153" s="58" t="str">
        <f t="shared" si="29"/>
        <v/>
      </c>
      <c r="AV153" s="22" t="str">
        <f>IF(A153&lt;&gt;"",A153 &amp; "-" &amp;#REF! &amp; ROW(),"")</f>
        <v/>
      </c>
    </row>
    <row r="154" spans="11:48" x14ac:dyDescent="0.2">
      <c r="K154" s="11" t="str">
        <f>IF(AND(COUNTA(B154:C154)&gt;1,COUNTA(F154:G154)&gt;1,O154="Completed"),(G154-C154)/(C154-#REF!+1)%,"")</f>
        <v/>
      </c>
      <c r="L154" s="11" t="str">
        <f>IF(AND(COUNT(D154:E154)&gt;0,COUNTA(F154:G154)&gt;1,O154="Completed"),(G154-AG154)/(AG154-#REF!+1)%,"")</f>
        <v/>
      </c>
      <c r="M154" s="11" t="str">
        <f t="shared" si="24"/>
        <v/>
      </c>
      <c r="N154" s="11" t="str">
        <f t="shared" si="25"/>
        <v/>
      </c>
      <c r="O154" s="12"/>
      <c r="P154" s="12"/>
      <c r="R154" s="10" t="str">
        <f>IF(H154&lt;&gt;"",SUMIF(H$3:H154,"&lt;&gt;" &amp; "",H$3:H154),"")</f>
        <v/>
      </c>
      <c r="S154" s="10" t="str">
        <f t="array" ref="S154">IF(O154="Completed",SUMIF(W$3:W154,"&lt;&gt;" &amp; "",W$3:W154),"")</f>
        <v/>
      </c>
      <c r="T154" s="10" t="str">
        <f t="array" ref="T154">IF(AND(J154&lt;&gt;"",O154="Completed"),SUM(IF(O$3:O154="Completed",J$3:J154,0)),"")</f>
        <v/>
      </c>
      <c r="U154" s="10" t="str">
        <f t="shared" si="23"/>
        <v/>
      </c>
      <c r="V154" s="10">
        <f>ROW()</f>
        <v>154</v>
      </c>
      <c r="W154" s="10" t="str">
        <f t="shared" si="26"/>
        <v/>
      </c>
      <c r="Z154" s="10" t="str">
        <f>IF(A154&lt;&gt;"",'Metrics planning and tracking'!$K$4,"")</f>
        <v/>
      </c>
      <c r="AA154" s="10" t="str">
        <f>IF(A154&lt;&gt;"",'Metrics planning and tracking'!$K$5,"")</f>
        <v/>
      </c>
      <c r="AB154" s="10" t="str">
        <f>IF(A154&lt;&gt;"",'Metrics planning and tracking'!$K$2,"")</f>
        <v/>
      </c>
      <c r="AC154" s="10" t="str">
        <f>IF(A154&lt;&gt;"",'Metrics planning and tracking'!$K$3,"")</f>
        <v/>
      </c>
      <c r="AD154" s="10" t="str">
        <f>IF(A154&lt;&gt;"",IF(AND(#REF!&lt;&gt;"",#REF!&lt;&gt;"",#REF!&lt;&gt;0),#REF!/#REF!*100,"NA"),"")</f>
        <v/>
      </c>
      <c r="AE154" s="10" t="str">
        <f>IF(A154&lt;&gt;"",IF(AND(#REF!&lt;&gt;"",#REF!&lt;&gt;"",#REF!&lt;&gt;0),#REF!/#REF!*100,"NA"),"")</f>
        <v/>
      </c>
      <c r="AF154" s="57" t="str">
        <f t="shared" si="27"/>
        <v/>
      </c>
      <c r="AG154" s="57" t="str">
        <f t="shared" si="28"/>
        <v/>
      </c>
      <c r="AH154" s="58" t="str">
        <f t="shared" si="29"/>
        <v/>
      </c>
      <c r="AV154" s="22" t="str">
        <f>IF(A154&lt;&gt;"",A154 &amp; "-" &amp;#REF! &amp; ROW(),"")</f>
        <v/>
      </c>
    </row>
    <row r="155" spans="11:48" x14ac:dyDescent="0.2">
      <c r="K155" s="11" t="str">
        <f>IF(AND(COUNTA(B155:C155)&gt;1,COUNTA(F155:G155)&gt;1,O155="Completed"),(G155-C155)/(C155-#REF!+1)%,"")</f>
        <v/>
      </c>
      <c r="L155" s="11" t="str">
        <f>IF(AND(COUNT(D155:E155)&gt;0,COUNTA(F155:G155)&gt;1,O155="Completed"),(G155-AG155)/(AG155-#REF!+1)%,"")</f>
        <v/>
      </c>
      <c r="M155" s="11" t="str">
        <f t="shared" si="24"/>
        <v/>
      </c>
      <c r="N155" s="11" t="str">
        <f t="shared" si="25"/>
        <v/>
      </c>
      <c r="O155" s="12"/>
      <c r="P155" s="12"/>
      <c r="R155" s="10" t="str">
        <f>IF(H155&lt;&gt;"",SUMIF(H$3:H155,"&lt;&gt;" &amp; "",H$3:H155),"")</f>
        <v/>
      </c>
      <c r="S155" s="10" t="str">
        <f t="array" ref="S155">IF(O155="Completed",SUMIF(W$3:W155,"&lt;&gt;" &amp; "",W$3:W155),"")</f>
        <v/>
      </c>
      <c r="T155" s="10" t="str">
        <f t="array" ref="T155">IF(AND(J155&lt;&gt;"",O155="Completed"),SUM(IF(O$3:O155="Completed",J$3:J155,0)),"")</f>
        <v/>
      </c>
      <c r="U155" s="10" t="str">
        <f t="shared" si="23"/>
        <v/>
      </c>
      <c r="V155" s="10">
        <f>ROW()</f>
        <v>155</v>
      </c>
      <c r="W155" s="10" t="str">
        <f t="shared" si="26"/>
        <v/>
      </c>
      <c r="Z155" s="10" t="str">
        <f>IF(A155&lt;&gt;"",'Metrics planning and tracking'!$K$4,"")</f>
        <v/>
      </c>
      <c r="AA155" s="10" t="str">
        <f>IF(A155&lt;&gt;"",'Metrics planning and tracking'!$K$5,"")</f>
        <v/>
      </c>
      <c r="AB155" s="10" t="str">
        <f>IF(A155&lt;&gt;"",'Metrics planning and tracking'!$K$2,"")</f>
        <v/>
      </c>
      <c r="AC155" s="10" t="str">
        <f>IF(A155&lt;&gt;"",'Metrics planning and tracking'!$K$3,"")</f>
        <v/>
      </c>
      <c r="AD155" s="10" t="str">
        <f>IF(A155&lt;&gt;"",IF(AND(#REF!&lt;&gt;"",#REF!&lt;&gt;"",#REF!&lt;&gt;0),#REF!/#REF!*100,"NA"),"")</f>
        <v/>
      </c>
      <c r="AE155" s="10" t="str">
        <f>IF(A155&lt;&gt;"",IF(AND(#REF!&lt;&gt;"",#REF!&lt;&gt;"",#REF!&lt;&gt;0),#REF!/#REF!*100,"NA"),"")</f>
        <v/>
      </c>
      <c r="AF155" s="57" t="str">
        <f t="shared" si="27"/>
        <v/>
      </c>
      <c r="AG155" s="57" t="str">
        <f t="shared" si="28"/>
        <v/>
      </c>
      <c r="AH155" s="58" t="str">
        <f t="shared" si="29"/>
        <v/>
      </c>
      <c r="AV155" s="22" t="str">
        <f>IF(A155&lt;&gt;"",A155 &amp; "-" &amp;#REF! &amp; ROW(),"")</f>
        <v/>
      </c>
    </row>
    <row r="156" spans="11:48" x14ac:dyDescent="0.2">
      <c r="K156" s="11" t="str">
        <f>IF(AND(COUNTA(B156:C156)&gt;1,COUNTA(F156:G156)&gt;1,O156="Completed"),(G156-C156)/(C156-#REF!+1)%,"")</f>
        <v/>
      </c>
      <c r="L156" s="11" t="str">
        <f>IF(AND(COUNT(D156:E156)&gt;0,COUNTA(F156:G156)&gt;1,O156="Completed"),(G156-AG156)/(AG156-#REF!+1)%,"")</f>
        <v/>
      </c>
      <c r="M156" s="11" t="str">
        <f t="shared" si="24"/>
        <v/>
      </c>
      <c r="N156" s="11" t="str">
        <f t="shared" si="25"/>
        <v/>
      </c>
      <c r="O156" s="12"/>
      <c r="P156" s="12"/>
      <c r="R156" s="10" t="str">
        <f>IF(H156&lt;&gt;"",SUMIF(H$3:H156,"&lt;&gt;" &amp; "",H$3:H156),"")</f>
        <v/>
      </c>
      <c r="S156" s="10" t="str">
        <f t="array" ref="S156">IF(O156="Completed",SUMIF(W$3:W156,"&lt;&gt;" &amp; "",W$3:W156),"")</f>
        <v/>
      </c>
      <c r="T156" s="10" t="str">
        <f t="array" ref="T156">IF(AND(J156&lt;&gt;"",O156="Completed"),SUM(IF(O$3:O156="Completed",J$3:J156,0)),"")</f>
        <v/>
      </c>
      <c r="U156" s="10" t="str">
        <f t="shared" si="23"/>
        <v/>
      </c>
      <c r="V156" s="10">
        <f>ROW()</f>
        <v>156</v>
      </c>
      <c r="W156" s="10" t="str">
        <f t="shared" si="26"/>
        <v/>
      </c>
      <c r="Z156" s="10" t="str">
        <f>IF(A156&lt;&gt;"",'Metrics planning and tracking'!$K$4,"")</f>
        <v/>
      </c>
      <c r="AA156" s="10" t="str">
        <f>IF(A156&lt;&gt;"",'Metrics planning and tracking'!$K$5,"")</f>
        <v/>
      </c>
      <c r="AB156" s="10" t="str">
        <f>IF(A156&lt;&gt;"",'Metrics planning and tracking'!$K$2,"")</f>
        <v/>
      </c>
      <c r="AC156" s="10" t="str">
        <f>IF(A156&lt;&gt;"",'Metrics planning and tracking'!$K$3,"")</f>
        <v/>
      </c>
      <c r="AD156" s="10" t="str">
        <f>IF(A156&lt;&gt;"",IF(AND(#REF!&lt;&gt;"",#REF!&lt;&gt;"",#REF!&lt;&gt;0),#REF!/#REF!*100,"NA"),"")</f>
        <v/>
      </c>
      <c r="AE156" s="10" t="str">
        <f>IF(A156&lt;&gt;"",IF(AND(#REF!&lt;&gt;"",#REF!&lt;&gt;"",#REF!&lt;&gt;0),#REF!/#REF!*100,"NA"),"")</f>
        <v/>
      </c>
      <c r="AF156" s="57" t="str">
        <f t="shared" si="27"/>
        <v/>
      </c>
      <c r="AG156" s="57" t="str">
        <f t="shared" si="28"/>
        <v/>
      </c>
      <c r="AH156" s="58" t="str">
        <f t="shared" si="29"/>
        <v/>
      </c>
      <c r="AV156" s="22" t="str">
        <f>IF(A156&lt;&gt;"",A156 &amp; "-" &amp;#REF! &amp; ROW(),"")</f>
        <v/>
      </c>
    </row>
    <row r="157" spans="11:48" x14ac:dyDescent="0.2">
      <c r="K157" s="11" t="str">
        <f>IF(AND(COUNTA(B157:C157)&gt;1,COUNTA(F157:G157)&gt;1,O157="Completed"),(G157-C157)/(C157-#REF!+1)%,"")</f>
        <v/>
      </c>
      <c r="L157" s="11" t="str">
        <f>IF(AND(COUNT(D157:E157)&gt;0,COUNTA(F157:G157)&gt;1,O157="Completed"),(G157-AG157)/(AG157-#REF!+1)%,"")</f>
        <v/>
      </c>
      <c r="M157" s="11" t="str">
        <f t="shared" si="24"/>
        <v/>
      </c>
      <c r="N157" s="11" t="str">
        <f t="shared" si="25"/>
        <v/>
      </c>
      <c r="O157" s="12"/>
      <c r="P157" s="12"/>
      <c r="R157" s="10" t="str">
        <f>IF(H157&lt;&gt;"",SUMIF(H$3:H157,"&lt;&gt;" &amp; "",H$3:H157),"")</f>
        <v/>
      </c>
      <c r="S157" s="10" t="str">
        <f t="array" ref="S157">IF(O157="Completed",SUMIF(W$3:W157,"&lt;&gt;" &amp; "",W$3:W157),"")</f>
        <v/>
      </c>
      <c r="T157" s="10" t="str">
        <f t="array" ref="T157">IF(AND(J157&lt;&gt;"",O157="Completed"),SUM(IF(O$3:O157="Completed",J$3:J157,0)),"")</f>
        <v/>
      </c>
      <c r="U157" s="10" t="str">
        <f t="shared" si="23"/>
        <v/>
      </c>
      <c r="V157" s="10">
        <f>ROW()</f>
        <v>157</v>
      </c>
      <c r="W157" s="10" t="str">
        <f t="shared" si="26"/>
        <v/>
      </c>
      <c r="Z157" s="10" t="str">
        <f>IF(A157&lt;&gt;"",'Metrics planning and tracking'!$K$4,"")</f>
        <v/>
      </c>
      <c r="AA157" s="10" t="str">
        <f>IF(A157&lt;&gt;"",'Metrics planning and tracking'!$K$5,"")</f>
        <v/>
      </c>
      <c r="AB157" s="10" t="str">
        <f>IF(A157&lt;&gt;"",'Metrics planning and tracking'!$K$2,"")</f>
        <v/>
      </c>
      <c r="AC157" s="10" t="str">
        <f>IF(A157&lt;&gt;"",'Metrics planning and tracking'!$K$3,"")</f>
        <v/>
      </c>
      <c r="AD157" s="10" t="str">
        <f>IF(A157&lt;&gt;"",IF(AND(#REF!&lt;&gt;"",#REF!&lt;&gt;"",#REF!&lt;&gt;0),#REF!/#REF!*100,"NA"),"")</f>
        <v/>
      </c>
      <c r="AE157" s="10" t="str">
        <f>IF(A157&lt;&gt;"",IF(AND(#REF!&lt;&gt;"",#REF!&lt;&gt;"",#REF!&lt;&gt;0),#REF!/#REF!*100,"NA"),"")</f>
        <v/>
      </c>
      <c r="AF157" s="57" t="str">
        <f t="shared" si="27"/>
        <v/>
      </c>
      <c r="AG157" s="57" t="str">
        <f t="shared" si="28"/>
        <v/>
      </c>
      <c r="AH157" s="58" t="str">
        <f t="shared" si="29"/>
        <v/>
      </c>
      <c r="AV157" s="22" t="str">
        <f>IF(A157&lt;&gt;"",A157 &amp; "-" &amp;#REF! &amp; ROW(),"")</f>
        <v/>
      </c>
    </row>
    <row r="158" spans="11:48" x14ac:dyDescent="0.2">
      <c r="K158" s="11" t="str">
        <f>IF(AND(COUNTA(B158:C158)&gt;1,COUNTA(F158:G158)&gt;1,O158="Completed"),(G158-C158)/(C158-#REF!+1)%,"")</f>
        <v/>
      </c>
      <c r="L158" s="11" t="str">
        <f>IF(AND(COUNT(D158:E158)&gt;0,COUNTA(F158:G158)&gt;1,O158="Completed"),(G158-AG158)/(AG158-#REF!+1)%,"")</f>
        <v/>
      </c>
      <c r="M158" s="11" t="str">
        <f t="shared" si="24"/>
        <v/>
      </c>
      <c r="N158" s="11" t="str">
        <f t="shared" si="25"/>
        <v/>
      </c>
      <c r="O158" s="12"/>
      <c r="P158" s="12"/>
      <c r="R158" s="10" t="str">
        <f>IF(H158&lt;&gt;"",SUMIF(H$3:H158,"&lt;&gt;" &amp; "",H$3:H158),"")</f>
        <v/>
      </c>
      <c r="S158" s="10" t="str">
        <f t="array" ref="S158">IF(O158="Completed",SUMIF(W$3:W158,"&lt;&gt;" &amp; "",W$3:W158),"")</f>
        <v/>
      </c>
      <c r="T158" s="10" t="str">
        <f t="array" ref="T158">IF(AND(J158&lt;&gt;"",O158="Completed"),SUM(IF(O$3:O158="Completed",J$3:J158,0)),"")</f>
        <v/>
      </c>
      <c r="U158" s="10" t="str">
        <f t="shared" si="23"/>
        <v/>
      </c>
      <c r="V158" s="10">
        <f>ROW()</f>
        <v>158</v>
      </c>
      <c r="W158" s="10" t="str">
        <f t="shared" si="26"/>
        <v/>
      </c>
      <c r="Z158" s="10" t="str">
        <f>IF(A158&lt;&gt;"",'Metrics planning and tracking'!$K$4,"")</f>
        <v/>
      </c>
      <c r="AA158" s="10" t="str">
        <f>IF(A158&lt;&gt;"",'Metrics planning and tracking'!$K$5,"")</f>
        <v/>
      </c>
      <c r="AB158" s="10" t="str">
        <f>IF(A158&lt;&gt;"",'Metrics planning and tracking'!$K$2,"")</f>
        <v/>
      </c>
      <c r="AC158" s="10" t="str">
        <f>IF(A158&lt;&gt;"",'Metrics planning and tracking'!$K$3,"")</f>
        <v/>
      </c>
      <c r="AD158" s="10" t="str">
        <f>IF(A158&lt;&gt;"",IF(AND(#REF!&lt;&gt;"",#REF!&lt;&gt;"",#REF!&lt;&gt;0),#REF!/#REF!*100,"NA"),"")</f>
        <v/>
      </c>
      <c r="AE158" s="10" t="str">
        <f>IF(A158&lt;&gt;"",IF(AND(#REF!&lt;&gt;"",#REF!&lt;&gt;"",#REF!&lt;&gt;0),#REF!/#REF!*100,"NA"),"")</f>
        <v/>
      </c>
      <c r="AF158" s="57" t="str">
        <f t="shared" si="27"/>
        <v/>
      </c>
      <c r="AG158" s="57" t="str">
        <f t="shared" si="28"/>
        <v/>
      </c>
      <c r="AH158" s="58" t="str">
        <f t="shared" si="29"/>
        <v/>
      </c>
      <c r="AV158" s="22" t="str">
        <f>IF(A158&lt;&gt;"",A158 &amp; "-" &amp;#REF! &amp; ROW(),"")</f>
        <v/>
      </c>
    </row>
    <row r="159" spans="11:48" x14ac:dyDescent="0.2">
      <c r="K159" s="11" t="str">
        <f>IF(AND(COUNTA(B159:C159)&gt;1,COUNTA(F159:G159)&gt;1,O159="Completed"),(G159-C159)/(C159-#REF!+1)%,"")</f>
        <v/>
      </c>
      <c r="L159" s="11" t="str">
        <f>IF(AND(COUNT(D159:E159)&gt;0,COUNTA(F159:G159)&gt;1,O159="Completed"),(G159-AG159)/(AG159-#REF!+1)%,"")</f>
        <v/>
      </c>
      <c r="M159" s="11" t="str">
        <f t="shared" si="24"/>
        <v/>
      </c>
      <c r="N159" s="11" t="str">
        <f t="shared" si="25"/>
        <v/>
      </c>
      <c r="O159" s="12"/>
      <c r="P159" s="12"/>
      <c r="R159" s="10" t="str">
        <f>IF(H159&lt;&gt;"",SUMIF(H$3:H159,"&lt;&gt;" &amp; "",H$3:H159),"")</f>
        <v/>
      </c>
      <c r="S159" s="10" t="str">
        <f t="array" ref="S159">IF(O159="Completed",SUMIF(W$3:W159,"&lt;&gt;" &amp; "",W$3:W159),"")</f>
        <v/>
      </c>
      <c r="T159" s="10" t="str">
        <f t="array" ref="T159">IF(AND(J159&lt;&gt;"",O159="Completed"),SUM(IF(O$3:O159="Completed",J$3:J159,0)),"")</f>
        <v/>
      </c>
      <c r="U159" s="10" t="str">
        <f t="shared" si="23"/>
        <v/>
      </c>
      <c r="V159" s="10">
        <f>ROW()</f>
        <v>159</v>
      </c>
      <c r="W159" s="10" t="str">
        <f t="shared" si="26"/>
        <v/>
      </c>
      <c r="Z159" s="10" t="str">
        <f>IF(A159&lt;&gt;"",'Metrics planning and tracking'!$K$4,"")</f>
        <v/>
      </c>
      <c r="AA159" s="10" t="str">
        <f>IF(A159&lt;&gt;"",'Metrics planning and tracking'!$K$5,"")</f>
        <v/>
      </c>
      <c r="AB159" s="10" t="str">
        <f>IF(A159&lt;&gt;"",'Metrics planning and tracking'!$K$2,"")</f>
        <v/>
      </c>
      <c r="AC159" s="10" t="str">
        <f>IF(A159&lt;&gt;"",'Metrics planning and tracking'!$K$3,"")</f>
        <v/>
      </c>
      <c r="AD159" s="10" t="str">
        <f>IF(A159&lt;&gt;"",IF(AND(#REF!&lt;&gt;"",#REF!&lt;&gt;"",#REF!&lt;&gt;0),#REF!/#REF!*100,"NA"),"")</f>
        <v/>
      </c>
      <c r="AE159" s="10" t="str">
        <f>IF(A159&lt;&gt;"",IF(AND(#REF!&lt;&gt;"",#REF!&lt;&gt;"",#REF!&lt;&gt;0),#REF!/#REF!*100,"NA"),"")</f>
        <v/>
      </c>
      <c r="AF159" s="57" t="str">
        <f t="shared" si="27"/>
        <v/>
      </c>
      <c r="AG159" s="57" t="str">
        <f t="shared" si="28"/>
        <v/>
      </c>
      <c r="AH159" s="58" t="str">
        <f t="shared" si="29"/>
        <v/>
      </c>
      <c r="AV159" s="22" t="str">
        <f>IF(A159&lt;&gt;"",A159 &amp; "-" &amp;#REF! &amp; ROW(),"")</f>
        <v/>
      </c>
    </row>
    <row r="160" spans="11:48" x14ac:dyDescent="0.2">
      <c r="K160" s="11" t="str">
        <f>IF(AND(COUNTA(B160:C160)&gt;1,COUNTA(F160:G160)&gt;1,O160="Completed"),(G160-C160)/(C160-#REF!+1)%,"")</f>
        <v/>
      </c>
      <c r="L160" s="11" t="str">
        <f>IF(AND(COUNT(D160:E160)&gt;0,COUNTA(F160:G160)&gt;1,O160="Completed"),(G160-AG160)/(AG160-#REF!+1)%,"")</f>
        <v/>
      </c>
      <c r="M160" s="11" t="str">
        <f t="shared" si="24"/>
        <v/>
      </c>
      <c r="N160" s="11" t="str">
        <f t="shared" si="25"/>
        <v/>
      </c>
      <c r="O160" s="12"/>
      <c r="P160" s="12"/>
      <c r="R160" s="10" t="str">
        <f>IF(H160&lt;&gt;"",SUMIF(H$3:H160,"&lt;&gt;" &amp; "",H$3:H160),"")</f>
        <v/>
      </c>
      <c r="S160" s="10" t="str">
        <f t="array" ref="S160">IF(O160="Completed",SUMIF(W$3:W160,"&lt;&gt;" &amp; "",W$3:W160),"")</f>
        <v/>
      </c>
      <c r="T160" s="10" t="str">
        <f t="array" ref="T160">IF(AND(J160&lt;&gt;"",O160="Completed"),SUM(IF(O$3:O160="Completed",J$3:J160,0)),"")</f>
        <v/>
      </c>
      <c r="U160" s="10" t="str">
        <f t="shared" si="23"/>
        <v/>
      </c>
      <c r="V160" s="10">
        <f>ROW()</f>
        <v>160</v>
      </c>
      <c r="W160" s="10" t="str">
        <f t="shared" si="26"/>
        <v/>
      </c>
      <c r="Z160" s="10" t="str">
        <f>IF(A160&lt;&gt;"",'Metrics planning and tracking'!$K$4,"")</f>
        <v/>
      </c>
      <c r="AA160" s="10" t="str">
        <f>IF(A160&lt;&gt;"",'Metrics planning and tracking'!$K$5,"")</f>
        <v/>
      </c>
      <c r="AB160" s="10" t="str">
        <f>IF(A160&lt;&gt;"",'Metrics planning and tracking'!$K$2,"")</f>
        <v/>
      </c>
      <c r="AC160" s="10" t="str">
        <f>IF(A160&lt;&gt;"",'Metrics planning and tracking'!$K$3,"")</f>
        <v/>
      </c>
      <c r="AD160" s="10" t="str">
        <f>IF(A160&lt;&gt;"",IF(AND(#REF!&lt;&gt;"",#REF!&lt;&gt;"",#REF!&lt;&gt;0),#REF!/#REF!*100,"NA"),"")</f>
        <v/>
      </c>
      <c r="AE160" s="10" t="str">
        <f>IF(A160&lt;&gt;"",IF(AND(#REF!&lt;&gt;"",#REF!&lt;&gt;"",#REF!&lt;&gt;0),#REF!/#REF!*100,"NA"),"")</f>
        <v/>
      </c>
      <c r="AF160" s="57" t="str">
        <f t="shared" si="27"/>
        <v/>
      </c>
      <c r="AG160" s="57" t="str">
        <f t="shared" si="28"/>
        <v/>
      </c>
      <c r="AH160" s="58" t="str">
        <f t="shared" si="29"/>
        <v/>
      </c>
      <c r="AV160" s="22" t="str">
        <f>IF(A160&lt;&gt;"",A160 &amp; "-" &amp;#REF! &amp; ROW(),"")</f>
        <v/>
      </c>
    </row>
    <row r="161" spans="11:48" x14ac:dyDescent="0.2">
      <c r="K161" s="11" t="str">
        <f>IF(AND(COUNTA(B161:C161)&gt;1,COUNTA(F161:G161)&gt;1,O161="Completed"),(G161-C161)/(C161-#REF!+1)%,"")</f>
        <v/>
      </c>
      <c r="L161" s="11" t="str">
        <f>IF(AND(COUNT(D161:E161)&gt;0,COUNTA(F161:G161)&gt;1,O161="Completed"),(G161-AG161)/(AG161-#REF!+1)%,"")</f>
        <v/>
      </c>
      <c r="M161" s="11" t="str">
        <f t="shared" si="24"/>
        <v/>
      </c>
      <c r="N161" s="11" t="str">
        <f t="shared" si="25"/>
        <v/>
      </c>
      <c r="O161" s="12"/>
      <c r="P161" s="12"/>
      <c r="R161" s="10" t="str">
        <f>IF(H161&lt;&gt;"",SUMIF(H$3:H161,"&lt;&gt;" &amp; "",H$3:H161),"")</f>
        <v/>
      </c>
      <c r="S161" s="10" t="str">
        <f t="array" ref="S161">IF(O161="Completed",SUMIF(W$3:W161,"&lt;&gt;" &amp; "",W$3:W161),"")</f>
        <v/>
      </c>
      <c r="T161" s="10" t="str">
        <f t="array" ref="T161">IF(AND(J161&lt;&gt;"",O161="Completed"),SUM(IF(O$3:O161="Completed",J$3:J161,0)),"")</f>
        <v/>
      </c>
      <c r="U161" s="10" t="str">
        <f t="shared" si="23"/>
        <v/>
      </c>
      <c r="V161" s="10">
        <f>ROW()</f>
        <v>161</v>
      </c>
      <c r="W161" s="10" t="str">
        <f t="shared" si="26"/>
        <v/>
      </c>
      <c r="Z161" s="10" t="str">
        <f>IF(A161&lt;&gt;"",'Metrics planning and tracking'!$K$4,"")</f>
        <v/>
      </c>
      <c r="AA161" s="10" t="str">
        <f>IF(A161&lt;&gt;"",'Metrics planning and tracking'!$K$5,"")</f>
        <v/>
      </c>
      <c r="AB161" s="10" t="str">
        <f>IF(A161&lt;&gt;"",'Metrics planning and tracking'!$K$2,"")</f>
        <v/>
      </c>
      <c r="AC161" s="10" t="str">
        <f>IF(A161&lt;&gt;"",'Metrics planning and tracking'!$K$3,"")</f>
        <v/>
      </c>
      <c r="AD161" s="10" t="str">
        <f>IF(A161&lt;&gt;"",IF(AND(#REF!&lt;&gt;"",#REF!&lt;&gt;"",#REF!&lt;&gt;0),#REF!/#REF!*100,"NA"),"")</f>
        <v/>
      </c>
      <c r="AE161" s="10" t="str">
        <f>IF(A161&lt;&gt;"",IF(AND(#REF!&lt;&gt;"",#REF!&lt;&gt;"",#REF!&lt;&gt;0),#REF!/#REF!*100,"NA"),"")</f>
        <v/>
      </c>
      <c r="AF161" s="57" t="str">
        <f t="shared" si="27"/>
        <v/>
      </c>
      <c r="AG161" s="57" t="str">
        <f t="shared" si="28"/>
        <v/>
      </c>
      <c r="AH161" s="58" t="str">
        <f t="shared" si="29"/>
        <v/>
      </c>
      <c r="AV161" s="22" t="str">
        <f>IF(A161&lt;&gt;"",A161 &amp; "-" &amp;#REF! &amp; ROW(),"")</f>
        <v/>
      </c>
    </row>
    <row r="162" spans="11:48" x14ac:dyDescent="0.2">
      <c r="K162" s="11" t="str">
        <f>IF(AND(COUNTA(B162:C162)&gt;1,COUNTA(F162:G162)&gt;1,O162="Completed"),(G162-C162)/(C162-#REF!+1)%,"")</f>
        <v/>
      </c>
      <c r="L162" s="11" t="str">
        <f>IF(AND(COUNT(D162:E162)&gt;0,COUNTA(F162:G162)&gt;1,O162="Completed"),(G162-AG162)/(AG162-#REF!+1)%,"")</f>
        <v/>
      </c>
      <c r="M162" s="11" t="str">
        <f t="shared" si="24"/>
        <v/>
      </c>
      <c r="N162" s="11" t="str">
        <f t="shared" si="25"/>
        <v/>
      </c>
      <c r="O162" s="12"/>
      <c r="P162" s="12"/>
      <c r="R162" s="10" t="str">
        <f>IF(H162&lt;&gt;"",SUMIF(H$3:H162,"&lt;&gt;" &amp; "",H$3:H162),"")</f>
        <v/>
      </c>
      <c r="S162" s="10" t="str">
        <f t="array" ref="S162">IF(O162="Completed",SUMIF(W$3:W162,"&lt;&gt;" &amp; "",W$3:W162),"")</f>
        <v/>
      </c>
      <c r="T162" s="10" t="str">
        <f t="array" ref="T162">IF(AND(J162&lt;&gt;"",O162="Completed"),SUM(IF(O$3:O162="Completed",J$3:J162,0)),"")</f>
        <v/>
      </c>
      <c r="U162" s="10" t="str">
        <f t="shared" si="23"/>
        <v/>
      </c>
      <c r="V162" s="10">
        <f>ROW()</f>
        <v>162</v>
      </c>
      <c r="W162" s="10" t="str">
        <f t="shared" si="26"/>
        <v/>
      </c>
      <c r="Z162" s="10" t="str">
        <f>IF(A162&lt;&gt;"",'Metrics planning and tracking'!$K$4,"")</f>
        <v/>
      </c>
      <c r="AA162" s="10" t="str">
        <f>IF(A162&lt;&gt;"",'Metrics planning and tracking'!$K$5,"")</f>
        <v/>
      </c>
      <c r="AB162" s="10" t="str">
        <f>IF(A162&lt;&gt;"",'Metrics planning and tracking'!$K$2,"")</f>
        <v/>
      </c>
      <c r="AC162" s="10" t="str">
        <f>IF(A162&lt;&gt;"",'Metrics planning and tracking'!$K$3,"")</f>
        <v/>
      </c>
      <c r="AD162" s="10" t="str">
        <f>IF(A162&lt;&gt;"",IF(AND(#REF!&lt;&gt;"",#REF!&lt;&gt;"",#REF!&lt;&gt;0),#REF!/#REF!*100,"NA"),"")</f>
        <v/>
      </c>
      <c r="AE162" s="10" t="str">
        <f>IF(A162&lt;&gt;"",IF(AND(#REF!&lt;&gt;"",#REF!&lt;&gt;"",#REF!&lt;&gt;0),#REF!/#REF!*100,"NA"),"")</f>
        <v/>
      </c>
      <c r="AF162" s="57" t="str">
        <f t="shared" si="27"/>
        <v/>
      </c>
      <c r="AG162" s="57" t="str">
        <f t="shared" si="28"/>
        <v/>
      </c>
      <c r="AH162" s="58" t="str">
        <f t="shared" si="29"/>
        <v/>
      </c>
      <c r="AV162" s="22" t="str">
        <f>IF(A162&lt;&gt;"",A162 &amp; "-" &amp;#REF! &amp; ROW(),"")</f>
        <v/>
      </c>
    </row>
    <row r="163" spans="11:48" x14ac:dyDescent="0.2">
      <c r="K163" s="11" t="str">
        <f>IF(AND(COUNTA(B163:C163)&gt;1,COUNTA(F163:G163)&gt;1,O163="Completed"),(G163-C163)/(C163-#REF!+1)%,"")</f>
        <v/>
      </c>
      <c r="L163" s="11" t="str">
        <f>IF(AND(COUNT(D163:E163)&gt;0,COUNTA(F163:G163)&gt;1,O163="Completed"),(G163-AG163)/(AG163-#REF!+1)%,"")</f>
        <v/>
      </c>
      <c r="M163" s="11" t="str">
        <f t="shared" si="24"/>
        <v/>
      </c>
      <c r="N163" s="11" t="str">
        <f t="shared" si="25"/>
        <v/>
      </c>
      <c r="O163" s="12"/>
      <c r="P163" s="12"/>
      <c r="R163" s="10" t="str">
        <f>IF(H163&lt;&gt;"",SUMIF(H$3:H163,"&lt;&gt;" &amp; "",H$3:H163),"")</f>
        <v/>
      </c>
      <c r="S163" s="10" t="str">
        <f t="array" ref="S163">IF(O163="Completed",SUMIF(W$3:W163,"&lt;&gt;" &amp; "",W$3:W163),"")</f>
        <v/>
      </c>
      <c r="T163" s="10" t="str">
        <f t="array" ref="T163">IF(AND(J163&lt;&gt;"",O163="Completed"),SUM(IF(O$3:O163="Completed",J$3:J163,0)),"")</f>
        <v/>
      </c>
      <c r="U163" s="10" t="str">
        <f t="shared" si="23"/>
        <v/>
      </c>
      <c r="V163" s="10">
        <f>ROW()</f>
        <v>163</v>
      </c>
      <c r="W163" s="10" t="str">
        <f t="shared" si="26"/>
        <v/>
      </c>
      <c r="Z163" s="10" t="str">
        <f>IF(A163&lt;&gt;"",'Metrics planning and tracking'!$K$4,"")</f>
        <v/>
      </c>
      <c r="AA163" s="10" t="str">
        <f>IF(A163&lt;&gt;"",'Metrics planning and tracking'!$K$5,"")</f>
        <v/>
      </c>
      <c r="AB163" s="10" t="str">
        <f>IF(A163&lt;&gt;"",'Metrics planning and tracking'!$K$2,"")</f>
        <v/>
      </c>
      <c r="AC163" s="10" t="str">
        <f>IF(A163&lt;&gt;"",'Metrics planning and tracking'!$K$3,"")</f>
        <v/>
      </c>
      <c r="AD163" s="10" t="str">
        <f>IF(A163&lt;&gt;"",IF(AND(#REF!&lt;&gt;"",#REF!&lt;&gt;"",#REF!&lt;&gt;0),#REF!/#REF!*100,"NA"),"")</f>
        <v/>
      </c>
      <c r="AE163" s="10" t="str">
        <f>IF(A163&lt;&gt;"",IF(AND(#REF!&lt;&gt;"",#REF!&lt;&gt;"",#REF!&lt;&gt;0),#REF!/#REF!*100,"NA"),"")</f>
        <v/>
      </c>
      <c r="AF163" s="57" t="str">
        <f t="shared" si="27"/>
        <v/>
      </c>
      <c r="AG163" s="57" t="str">
        <f t="shared" si="28"/>
        <v/>
      </c>
      <c r="AH163" s="58" t="str">
        <f t="shared" si="29"/>
        <v/>
      </c>
      <c r="AV163" s="22" t="str">
        <f>IF(A163&lt;&gt;"",A163 &amp; "-" &amp;#REF! &amp; ROW(),"")</f>
        <v/>
      </c>
    </row>
    <row r="164" spans="11:48" x14ac:dyDescent="0.2">
      <c r="K164" s="11" t="str">
        <f>IF(AND(COUNTA(B164:C164)&gt;1,COUNTA(F164:G164)&gt;1,O164="Completed"),(G164-C164)/(C164-#REF!+1)%,"")</f>
        <v/>
      </c>
      <c r="L164" s="11" t="str">
        <f>IF(AND(COUNT(D164:E164)&gt;0,COUNTA(F164:G164)&gt;1,O164="Completed"),(G164-AG164)/(AG164-#REF!+1)%,"")</f>
        <v/>
      </c>
      <c r="M164" s="11" t="str">
        <f t="shared" si="24"/>
        <v/>
      </c>
      <c r="N164" s="11" t="str">
        <f t="shared" si="25"/>
        <v/>
      </c>
      <c r="O164" s="12"/>
      <c r="P164" s="12"/>
      <c r="R164" s="10" t="str">
        <f>IF(H164&lt;&gt;"",SUMIF(H$3:H164,"&lt;&gt;" &amp; "",H$3:H164),"")</f>
        <v/>
      </c>
      <c r="S164" s="10" t="str">
        <f t="array" ref="S164">IF(O164="Completed",SUMIF(W$3:W164,"&lt;&gt;" &amp; "",W$3:W164),"")</f>
        <v/>
      </c>
      <c r="T164" s="10" t="str">
        <f t="array" ref="T164">IF(AND(J164&lt;&gt;"",O164="Completed"),SUM(IF(O$3:O164="Completed",J$3:J164,0)),"")</f>
        <v/>
      </c>
      <c r="U164" s="10" t="str">
        <f t="shared" si="23"/>
        <v/>
      </c>
      <c r="V164" s="10">
        <f>ROW()</f>
        <v>164</v>
      </c>
      <c r="W164" s="10" t="str">
        <f t="shared" si="26"/>
        <v/>
      </c>
      <c r="Z164" s="10" t="str">
        <f>IF(A164&lt;&gt;"",'Metrics planning and tracking'!$K$4,"")</f>
        <v/>
      </c>
      <c r="AA164" s="10" t="str">
        <f>IF(A164&lt;&gt;"",'Metrics planning and tracking'!$K$5,"")</f>
        <v/>
      </c>
      <c r="AB164" s="10" t="str">
        <f>IF(A164&lt;&gt;"",'Metrics planning and tracking'!$K$2,"")</f>
        <v/>
      </c>
      <c r="AC164" s="10" t="str">
        <f>IF(A164&lt;&gt;"",'Metrics planning and tracking'!$K$3,"")</f>
        <v/>
      </c>
      <c r="AD164" s="10" t="str">
        <f>IF(A164&lt;&gt;"",IF(AND(#REF!&lt;&gt;"",#REF!&lt;&gt;"",#REF!&lt;&gt;0),#REF!/#REF!*100,"NA"),"")</f>
        <v/>
      </c>
      <c r="AE164" s="10" t="str">
        <f>IF(A164&lt;&gt;"",IF(AND(#REF!&lt;&gt;"",#REF!&lt;&gt;"",#REF!&lt;&gt;0),#REF!/#REF!*100,"NA"),"")</f>
        <v/>
      </c>
      <c r="AF164" s="57" t="str">
        <f t="shared" si="27"/>
        <v/>
      </c>
      <c r="AG164" s="57" t="str">
        <f t="shared" si="28"/>
        <v/>
      </c>
      <c r="AH164" s="58" t="str">
        <f t="shared" si="29"/>
        <v/>
      </c>
      <c r="AV164" s="22" t="str">
        <f>IF(A164&lt;&gt;"",A164 &amp; "-" &amp;#REF! &amp; ROW(),"")</f>
        <v/>
      </c>
    </row>
    <row r="165" spans="11:48" x14ac:dyDescent="0.2">
      <c r="K165" s="11" t="str">
        <f>IF(AND(COUNTA(B165:C165)&gt;1,COUNTA(F165:G165)&gt;1,O165="Completed"),(G165-C165)/(C165-#REF!+1)%,"")</f>
        <v/>
      </c>
      <c r="L165" s="11" t="str">
        <f>IF(AND(COUNT(D165:E165)&gt;0,COUNTA(F165:G165)&gt;1,O165="Completed"),(G165-AG165)/(AG165-#REF!+1)%,"")</f>
        <v/>
      </c>
      <c r="M165" s="11" t="str">
        <f t="shared" si="24"/>
        <v/>
      </c>
      <c r="N165" s="11" t="str">
        <f t="shared" si="25"/>
        <v/>
      </c>
      <c r="O165" s="12"/>
      <c r="P165" s="12"/>
      <c r="R165" s="10" t="str">
        <f>IF(H165&lt;&gt;"",SUMIF(H$3:H165,"&lt;&gt;" &amp; "",H$3:H165),"")</f>
        <v/>
      </c>
      <c r="S165" s="10" t="str">
        <f t="array" ref="S165">IF(O165="Completed",SUMIF(W$3:W165,"&lt;&gt;" &amp; "",W$3:W165),"")</f>
        <v/>
      </c>
      <c r="T165" s="10" t="str">
        <f t="array" ref="T165">IF(AND(J165&lt;&gt;"",O165="Completed"),SUM(IF(O$3:O165="Completed",J$3:J165,0)),"")</f>
        <v/>
      </c>
      <c r="U165" s="10" t="str">
        <f t="shared" si="23"/>
        <v/>
      </c>
      <c r="V165" s="10">
        <f>ROW()</f>
        <v>165</v>
      </c>
      <c r="W165" s="10" t="str">
        <f t="shared" si="26"/>
        <v/>
      </c>
      <c r="Z165" s="10" t="str">
        <f>IF(A165&lt;&gt;"",'Metrics planning and tracking'!$K$4,"")</f>
        <v/>
      </c>
      <c r="AA165" s="10" t="str">
        <f>IF(A165&lt;&gt;"",'Metrics planning and tracking'!$K$5,"")</f>
        <v/>
      </c>
      <c r="AB165" s="10" t="str">
        <f>IF(A165&lt;&gt;"",'Metrics planning and tracking'!$K$2,"")</f>
        <v/>
      </c>
      <c r="AC165" s="10" t="str">
        <f>IF(A165&lt;&gt;"",'Metrics planning and tracking'!$K$3,"")</f>
        <v/>
      </c>
      <c r="AD165" s="10" t="str">
        <f>IF(A165&lt;&gt;"",IF(AND(#REF!&lt;&gt;"",#REF!&lt;&gt;"",#REF!&lt;&gt;0),#REF!/#REF!*100,"NA"),"")</f>
        <v/>
      </c>
      <c r="AE165" s="10" t="str">
        <f>IF(A165&lt;&gt;"",IF(AND(#REF!&lt;&gt;"",#REF!&lt;&gt;"",#REF!&lt;&gt;0),#REF!/#REF!*100,"NA"),"")</f>
        <v/>
      </c>
      <c r="AF165" s="57" t="str">
        <f t="shared" si="27"/>
        <v/>
      </c>
      <c r="AG165" s="57" t="str">
        <f t="shared" si="28"/>
        <v/>
      </c>
      <c r="AH165" s="58" t="str">
        <f t="shared" si="29"/>
        <v/>
      </c>
      <c r="AV165" s="22" t="str">
        <f>IF(A165&lt;&gt;"",A165 &amp; "-" &amp;#REF! &amp; ROW(),"")</f>
        <v/>
      </c>
    </row>
    <row r="166" spans="11:48" x14ac:dyDescent="0.2">
      <c r="K166" s="11" t="str">
        <f>IF(AND(COUNTA(B166:C166)&gt;1,COUNTA(F166:G166)&gt;1,O166="Completed"),(G166-C166)/(C166-#REF!+1)%,"")</f>
        <v/>
      </c>
      <c r="L166" s="11" t="str">
        <f>IF(AND(COUNT(D166:E166)&gt;0,COUNTA(F166:G166)&gt;1,O166="Completed"),(G166-AG166)/(AG166-#REF!+1)%,"")</f>
        <v/>
      </c>
      <c r="M166" s="11" t="str">
        <f t="shared" si="24"/>
        <v/>
      </c>
      <c r="N166" s="11" t="str">
        <f t="shared" si="25"/>
        <v/>
      </c>
      <c r="O166" s="12"/>
      <c r="P166" s="12"/>
      <c r="R166" s="10" t="str">
        <f>IF(H166&lt;&gt;"",SUMIF(H$3:H166,"&lt;&gt;" &amp; "",H$3:H166),"")</f>
        <v/>
      </c>
      <c r="S166" s="10" t="str">
        <f t="array" ref="S166">IF(O166="Completed",SUMIF(W$3:W166,"&lt;&gt;" &amp; "",W$3:W166),"")</f>
        <v/>
      </c>
      <c r="T166" s="10" t="str">
        <f t="array" ref="T166">IF(AND(J166&lt;&gt;"",O166="Completed"),SUM(IF(O$3:O166="Completed",J$3:J166,0)),"")</f>
        <v/>
      </c>
      <c r="U166" s="10" t="str">
        <f t="shared" si="23"/>
        <v/>
      </c>
      <c r="V166" s="10">
        <f>ROW()</f>
        <v>166</v>
      </c>
      <c r="W166" s="10" t="str">
        <f t="shared" si="26"/>
        <v/>
      </c>
      <c r="Z166" s="10" t="str">
        <f>IF(A166&lt;&gt;"",'Metrics planning and tracking'!$K$4,"")</f>
        <v/>
      </c>
      <c r="AA166" s="10" t="str">
        <f>IF(A166&lt;&gt;"",'Metrics planning and tracking'!$K$5,"")</f>
        <v/>
      </c>
      <c r="AB166" s="10" t="str">
        <f>IF(A166&lt;&gt;"",'Metrics planning and tracking'!$K$2,"")</f>
        <v/>
      </c>
      <c r="AC166" s="10" t="str">
        <f>IF(A166&lt;&gt;"",'Metrics planning and tracking'!$K$3,"")</f>
        <v/>
      </c>
      <c r="AD166" s="10" t="str">
        <f>IF(A166&lt;&gt;"",IF(AND(#REF!&lt;&gt;"",#REF!&lt;&gt;"",#REF!&lt;&gt;0),#REF!/#REF!*100,"NA"),"")</f>
        <v/>
      </c>
      <c r="AE166" s="10" t="str">
        <f>IF(A166&lt;&gt;"",IF(AND(#REF!&lt;&gt;"",#REF!&lt;&gt;"",#REF!&lt;&gt;0),#REF!/#REF!*100,"NA"),"")</f>
        <v/>
      </c>
      <c r="AF166" s="57" t="str">
        <f t="shared" si="27"/>
        <v/>
      </c>
      <c r="AG166" s="57" t="str">
        <f t="shared" si="28"/>
        <v/>
      </c>
      <c r="AH166" s="58" t="str">
        <f t="shared" si="29"/>
        <v/>
      </c>
      <c r="AV166" s="22" t="str">
        <f>IF(A166&lt;&gt;"",A166 &amp; "-" &amp;#REF! &amp; ROW(),"")</f>
        <v/>
      </c>
    </row>
    <row r="167" spans="11:48" x14ac:dyDescent="0.2">
      <c r="K167" s="11" t="str">
        <f>IF(AND(COUNTA(B167:C167)&gt;1,COUNTA(F167:G167)&gt;1,O167="Completed"),(G167-C167)/(C167-#REF!+1)%,"")</f>
        <v/>
      </c>
      <c r="L167" s="11" t="str">
        <f>IF(AND(COUNT(D167:E167)&gt;0,COUNTA(F167:G167)&gt;1,O167="Completed"),(G167-AG167)/(AG167-#REF!+1)%,"")</f>
        <v/>
      </c>
      <c r="M167" s="11" t="str">
        <f t="shared" si="24"/>
        <v/>
      </c>
      <c r="N167" s="11" t="str">
        <f t="shared" si="25"/>
        <v/>
      </c>
      <c r="O167" s="12"/>
      <c r="P167" s="12"/>
      <c r="R167" s="10" t="str">
        <f>IF(H167&lt;&gt;"",SUMIF(H$3:H167,"&lt;&gt;" &amp; "",H$3:H167),"")</f>
        <v/>
      </c>
      <c r="S167" s="10" t="str">
        <f t="array" ref="S167">IF(O167="Completed",SUMIF(W$3:W167,"&lt;&gt;" &amp; "",W$3:W167),"")</f>
        <v/>
      </c>
      <c r="T167" s="10" t="str">
        <f t="array" ref="T167">IF(AND(J167&lt;&gt;"",O167="Completed"),SUM(IF(O$3:O167="Completed",J$3:J167,0)),"")</f>
        <v/>
      </c>
      <c r="U167" s="10" t="str">
        <f t="shared" si="23"/>
        <v/>
      </c>
      <c r="V167" s="10">
        <f>ROW()</f>
        <v>167</v>
      </c>
      <c r="W167" s="10" t="str">
        <f t="shared" si="26"/>
        <v/>
      </c>
      <c r="Z167" s="10" t="str">
        <f>IF(A167&lt;&gt;"",'Metrics planning and tracking'!$K$4,"")</f>
        <v/>
      </c>
      <c r="AA167" s="10" t="str">
        <f>IF(A167&lt;&gt;"",'Metrics planning and tracking'!$K$5,"")</f>
        <v/>
      </c>
      <c r="AB167" s="10" t="str">
        <f>IF(A167&lt;&gt;"",'Metrics planning and tracking'!$K$2,"")</f>
        <v/>
      </c>
      <c r="AC167" s="10" t="str">
        <f>IF(A167&lt;&gt;"",'Metrics planning and tracking'!$K$3,"")</f>
        <v/>
      </c>
      <c r="AD167" s="10" t="str">
        <f>IF(A167&lt;&gt;"",IF(AND(#REF!&lt;&gt;"",#REF!&lt;&gt;"",#REF!&lt;&gt;0),#REF!/#REF!*100,"NA"),"")</f>
        <v/>
      </c>
      <c r="AE167" s="10" t="str">
        <f>IF(A167&lt;&gt;"",IF(AND(#REF!&lt;&gt;"",#REF!&lt;&gt;"",#REF!&lt;&gt;0),#REF!/#REF!*100,"NA"),"")</f>
        <v/>
      </c>
      <c r="AF167" s="57" t="str">
        <f t="shared" si="27"/>
        <v/>
      </c>
      <c r="AG167" s="57" t="str">
        <f t="shared" si="28"/>
        <v/>
      </c>
      <c r="AH167" s="58" t="str">
        <f t="shared" si="29"/>
        <v/>
      </c>
      <c r="AV167" s="22" t="str">
        <f>IF(A167&lt;&gt;"",A167 &amp; "-" &amp;#REF! &amp; ROW(),"")</f>
        <v/>
      </c>
    </row>
    <row r="168" spans="11:48" x14ac:dyDescent="0.2">
      <c r="K168" s="11" t="str">
        <f>IF(AND(COUNTA(B168:C168)&gt;1,COUNTA(F168:G168)&gt;1,O168="Completed"),(G168-C168)/(C168-#REF!+1)%,"")</f>
        <v/>
      </c>
      <c r="L168" s="11" t="str">
        <f>IF(AND(COUNT(D168:E168)&gt;0,COUNTA(F168:G168)&gt;1,O168="Completed"),(G168-AG168)/(AG168-#REF!+1)%,"")</f>
        <v/>
      </c>
      <c r="M168" s="11" t="str">
        <f t="shared" si="24"/>
        <v/>
      </c>
      <c r="N168" s="11" t="str">
        <f t="shared" si="25"/>
        <v/>
      </c>
      <c r="O168" s="12"/>
      <c r="P168" s="12"/>
      <c r="R168" s="10" t="str">
        <f>IF(H168&lt;&gt;"",SUMIF(H$3:H168,"&lt;&gt;" &amp; "",H$3:H168),"")</f>
        <v/>
      </c>
      <c r="S168" s="10" t="str">
        <f t="array" ref="S168">IF(O168="Completed",SUMIF(W$3:W168,"&lt;&gt;" &amp; "",W$3:W168),"")</f>
        <v/>
      </c>
      <c r="T168" s="10" t="str">
        <f t="array" ref="T168">IF(AND(J168&lt;&gt;"",O168="Completed"),SUM(IF(O$3:O168="Completed",J$3:J168,0)),"")</f>
        <v/>
      </c>
      <c r="U168" s="10" t="str">
        <f t="shared" si="23"/>
        <v/>
      </c>
      <c r="V168" s="10">
        <f>ROW()</f>
        <v>168</v>
      </c>
      <c r="W168" s="10" t="str">
        <f t="shared" si="26"/>
        <v/>
      </c>
      <c r="Z168" s="10" t="str">
        <f>IF(A168&lt;&gt;"",'Metrics planning and tracking'!$K$4,"")</f>
        <v/>
      </c>
      <c r="AA168" s="10" t="str">
        <f>IF(A168&lt;&gt;"",'Metrics planning and tracking'!$K$5,"")</f>
        <v/>
      </c>
      <c r="AB168" s="10" t="str">
        <f>IF(A168&lt;&gt;"",'Metrics planning and tracking'!$K$2,"")</f>
        <v/>
      </c>
      <c r="AC168" s="10" t="str">
        <f>IF(A168&lt;&gt;"",'Metrics planning and tracking'!$K$3,"")</f>
        <v/>
      </c>
      <c r="AD168" s="10" t="str">
        <f>IF(A168&lt;&gt;"",IF(AND(#REF!&lt;&gt;"",#REF!&lt;&gt;"",#REF!&lt;&gt;0),#REF!/#REF!*100,"NA"),"")</f>
        <v/>
      </c>
      <c r="AE168" s="10" t="str">
        <f>IF(A168&lt;&gt;"",IF(AND(#REF!&lt;&gt;"",#REF!&lt;&gt;"",#REF!&lt;&gt;0),#REF!/#REF!*100,"NA"),"")</f>
        <v/>
      </c>
      <c r="AF168" s="57" t="str">
        <f t="shared" si="27"/>
        <v/>
      </c>
      <c r="AG168" s="57" t="str">
        <f t="shared" si="28"/>
        <v/>
      </c>
      <c r="AH168" s="58" t="str">
        <f t="shared" si="29"/>
        <v/>
      </c>
      <c r="AV168" s="22" t="str">
        <f>IF(A168&lt;&gt;"",A168 &amp; "-" &amp;#REF! &amp; ROW(),"")</f>
        <v/>
      </c>
    </row>
    <row r="169" spans="11:48" x14ac:dyDescent="0.2">
      <c r="K169" s="11" t="str">
        <f>IF(AND(COUNTA(B169:C169)&gt;1,COUNTA(F169:G169)&gt;1,O169="Completed"),(G169-C169)/(C169-#REF!+1)%,"")</f>
        <v/>
      </c>
      <c r="L169" s="11" t="str">
        <f>IF(AND(COUNT(D169:E169)&gt;0,COUNTA(F169:G169)&gt;1,O169="Completed"),(G169-AG169)/(AG169-#REF!+1)%,"")</f>
        <v/>
      </c>
      <c r="M169" s="11" t="str">
        <f t="shared" si="24"/>
        <v/>
      </c>
      <c r="N169" s="11" t="str">
        <f t="shared" si="25"/>
        <v/>
      </c>
      <c r="O169" s="12"/>
      <c r="P169" s="12"/>
      <c r="R169" s="10" t="str">
        <f>IF(H169&lt;&gt;"",SUMIF(H$3:H169,"&lt;&gt;" &amp; "",H$3:H169),"")</f>
        <v/>
      </c>
      <c r="S169" s="10" t="str">
        <f t="array" ref="S169">IF(O169="Completed",SUMIF(W$3:W169,"&lt;&gt;" &amp; "",W$3:W169),"")</f>
        <v/>
      </c>
      <c r="T169" s="10" t="str">
        <f t="array" ref="T169">IF(AND(J169&lt;&gt;"",O169="Completed"),SUM(IF(O$3:O169="Completed",J$3:J169,0)),"")</f>
        <v/>
      </c>
      <c r="U169" s="10" t="str">
        <f t="shared" si="23"/>
        <v/>
      </c>
      <c r="V169" s="10">
        <f>ROW()</f>
        <v>169</v>
      </c>
      <c r="W169" s="10" t="str">
        <f t="shared" si="26"/>
        <v/>
      </c>
      <c r="Z169" s="10" t="str">
        <f>IF(A169&lt;&gt;"",'Metrics planning and tracking'!$K$4,"")</f>
        <v/>
      </c>
      <c r="AA169" s="10" t="str">
        <f>IF(A169&lt;&gt;"",'Metrics planning and tracking'!$K$5,"")</f>
        <v/>
      </c>
      <c r="AB169" s="10" t="str">
        <f>IF(A169&lt;&gt;"",'Metrics planning and tracking'!$K$2,"")</f>
        <v/>
      </c>
      <c r="AC169" s="10" t="str">
        <f>IF(A169&lt;&gt;"",'Metrics planning and tracking'!$K$3,"")</f>
        <v/>
      </c>
      <c r="AD169" s="10" t="str">
        <f>IF(A169&lt;&gt;"",IF(AND(#REF!&lt;&gt;"",#REF!&lt;&gt;"",#REF!&lt;&gt;0),#REF!/#REF!*100,"NA"),"")</f>
        <v/>
      </c>
      <c r="AE169" s="10" t="str">
        <f>IF(A169&lt;&gt;"",IF(AND(#REF!&lt;&gt;"",#REF!&lt;&gt;"",#REF!&lt;&gt;0),#REF!/#REF!*100,"NA"),"")</f>
        <v/>
      </c>
      <c r="AF169" s="57" t="str">
        <f t="shared" si="27"/>
        <v/>
      </c>
      <c r="AG169" s="57" t="str">
        <f t="shared" si="28"/>
        <v/>
      </c>
      <c r="AH169" s="58" t="str">
        <f t="shared" si="29"/>
        <v/>
      </c>
      <c r="AV169" s="22" t="str">
        <f>IF(A169&lt;&gt;"",A169 &amp; "-" &amp;#REF! &amp; ROW(),"")</f>
        <v/>
      </c>
    </row>
    <row r="170" spans="11:48" x14ac:dyDescent="0.2">
      <c r="K170" s="11" t="str">
        <f>IF(AND(COUNTA(B170:C170)&gt;1,COUNTA(F170:G170)&gt;1,O170="Completed"),(G170-C170)/(C170-#REF!+1)%,"")</f>
        <v/>
      </c>
      <c r="L170" s="11" t="str">
        <f>IF(AND(COUNT(D170:E170)&gt;0,COUNTA(F170:G170)&gt;1,O170="Completed"),(G170-AG170)/(AG170-#REF!+1)%,"")</f>
        <v/>
      </c>
      <c r="M170" s="11" t="str">
        <f t="shared" si="24"/>
        <v/>
      </c>
      <c r="N170" s="11" t="str">
        <f t="shared" si="25"/>
        <v/>
      </c>
      <c r="O170" s="12"/>
      <c r="P170" s="12"/>
      <c r="R170" s="10" t="str">
        <f>IF(H170&lt;&gt;"",SUMIF(H$3:H170,"&lt;&gt;" &amp; "",H$3:H170),"")</f>
        <v/>
      </c>
      <c r="S170" s="10" t="str">
        <f t="array" ref="S170">IF(O170="Completed",SUMIF(W$3:W170,"&lt;&gt;" &amp; "",W$3:W170),"")</f>
        <v/>
      </c>
      <c r="T170" s="10" t="str">
        <f t="array" ref="T170">IF(AND(J170&lt;&gt;"",O170="Completed"),SUM(IF(O$3:O170="Completed",J$3:J170,0)),"")</f>
        <v/>
      </c>
      <c r="U170" s="10" t="str">
        <f t="shared" si="23"/>
        <v/>
      </c>
      <c r="V170" s="10">
        <f>ROW()</f>
        <v>170</v>
      </c>
      <c r="W170" s="10" t="str">
        <f t="shared" si="26"/>
        <v/>
      </c>
      <c r="Z170" s="10" t="str">
        <f>IF(A170&lt;&gt;"",'Metrics planning and tracking'!$K$4,"")</f>
        <v/>
      </c>
      <c r="AA170" s="10" t="str">
        <f>IF(A170&lt;&gt;"",'Metrics planning and tracking'!$K$5,"")</f>
        <v/>
      </c>
      <c r="AB170" s="10" t="str">
        <f>IF(A170&lt;&gt;"",'Metrics planning and tracking'!$K$2,"")</f>
        <v/>
      </c>
      <c r="AC170" s="10" t="str">
        <f>IF(A170&lt;&gt;"",'Metrics planning and tracking'!$K$3,"")</f>
        <v/>
      </c>
      <c r="AD170" s="10" t="str">
        <f>IF(A170&lt;&gt;"",IF(AND(#REF!&lt;&gt;"",#REF!&lt;&gt;"",#REF!&lt;&gt;0),#REF!/#REF!*100,"NA"),"")</f>
        <v/>
      </c>
      <c r="AE170" s="10" t="str">
        <f>IF(A170&lt;&gt;"",IF(AND(#REF!&lt;&gt;"",#REF!&lt;&gt;"",#REF!&lt;&gt;0),#REF!/#REF!*100,"NA"),"")</f>
        <v/>
      </c>
      <c r="AF170" s="57" t="str">
        <f t="shared" si="27"/>
        <v/>
      </c>
      <c r="AG170" s="57" t="str">
        <f t="shared" si="28"/>
        <v/>
      </c>
      <c r="AH170" s="58" t="str">
        <f t="shared" si="29"/>
        <v/>
      </c>
      <c r="AV170" s="22" t="str">
        <f>IF(A170&lt;&gt;"",A170 &amp; "-" &amp;#REF! &amp; ROW(),"")</f>
        <v/>
      </c>
    </row>
    <row r="171" spans="11:48" x14ac:dyDescent="0.2">
      <c r="K171" s="11" t="str">
        <f>IF(AND(COUNTA(B171:C171)&gt;1,COUNTA(F171:G171)&gt;1,O171="Completed"),(G171-C171)/(C171-#REF!+1)%,"")</f>
        <v/>
      </c>
      <c r="L171" s="11" t="str">
        <f>IF(AND(COUNT(D171:E171)&gt;0,COUNTA(F171:G171)&gt;1,O171="Completed"),(G171-AG171)/(AG171-#REF!+1)%,"")</f>
        <v/>
      </c>
      <c r="M171" s="11" t="str">
        <f t="shared" si="24"/>
        <v/>
      </c>
      <c r="N171" s="11" t="str">
        <f t="shared" si="25"/>
        <v/>
      </c>
      <c r="O171" s="12"/>
      <c r="P171" s="12"/>
      <c r="R171" s="10" t="str">
        <f>IF(H171&lt;&gt;"",SUMIF(H$3:H171,"&lt;&gt;" &amp; "",H$3:H171),"")</f>
        <v/>
      </c>
      <c r="S171" s="10" t="str">
        <f t="array" ref="S171">IF(O171="Completed",SUMIF(W$3:W171,"&lt;&gt;" &amp; "",W$3:W171),"")</f>
        <v/>
      </c>
      <c r="T171" s="10" t="str">
        <f t="array" ref="T171">IF(AND(J171&lt;&gt;"",O171="Completed"),SUM(IF(O$3:O171="Completed",J$3:J171,0)),"")</f>
        <v/>
      </c>
      <c r="U171" s="10" t="str">
        <f t="shared" si="23"/>
        <v/>
      </c>
      <c r="V171" s="10">
        <f>ROW()</f>
        <v>171</v>
      </c>
      <c r="W171" s="10" t="str">
        <f t="shared" si="26"/>
        <v/>
      </c>
      <c r="Z171" s="10" t="str">
        <f>IF(A171&lt;&gt;"",'Metrics planning and tracking'!$K$4,"")</f>
        <v/>
      </c>
      <c r="AA171" s="10" t="str">
        <f>IF(A171&lt;&gt;"",'Metrics planning and tracking'!$K$5,"")</f>
        <v/>
      </c>
      <c r="AB171" s="10" t="str">
        <f>IF(A171&lt;&gt;"",'Metrics planning and tracking'!$K$2,"")</f>
        <v/>
      </c>
      <c r="AC171" s="10" t="str">
        <f>IF(A171&lt;&gt;"",'Metrics planning and tracking'!$K$3,"")</f>
        <v/>
      </c>
      <c r="AD171" s="10" t="str">
        <f>IF(A171&lt;&gt;"",IF(AND(#REF!&lt;&gt;"",#REF!&lt;&gt;"",#REF!&lt;&gt;0),#REF!/#REF!*100,"NA"),"")</f>
        <v/>
      </c>
      <c r="AE171" s="10" t="str">
        <f>IF(A171&lt;&gt;"",IF(AND(#REF!&lt;&gt;"",#REF!&lt;&gt;"",#REF!&lt;&gt;0),#REF!/#REF!*100,"NA"),"")</f>
        <v/>
      </c>
      <c r="AF171" s="57" t="str">
        <f t="shared" si="27"/>
        <v/>
      </c>
      <c r="AG171" s="57" t="str">
        <f t="shared" si="28"/>
        <v/>
      </c>
      <c r="AH171" s="58" t="str">
        <f t="shared" si="29"/>
        <v/>
      </c>
      <c r="AV171" s="22" t="str">
        <f>IF(A171&lt;&gt;"",A171 &amp; "-" &amp;#REF! &amp; ROW(),"")</f>
        <v/>
      </c>
    </row>
    <row r="172" spans="11:48" x14ac:dyDescent="0.2">
      <c r="K172" s="11" t="str">
        <f>IF(AND(COUNTA(B172:C172)&gt;1,COUNTA(F172:G172)&gt;1,O172="Completed"),(G172-C172)/(C172-#REF!+1)%,"")</f>
        <v/>
      </c>
      <c r="L172" s="11" t="str">
        <f>IF(AND(COUNT(D172:E172)&gt;0,COUNTA(F172:G172)&gt;1,O172="Completed"),(G172-AG172)/(AG172-#REF!+1)%,"")</f>
        <v/>
      </c>
      <c r="M172" s="11" t="str">
        <f t="shared" si="24"/>
        <v/>
      </c>
      <c r="N172" s="11" t="str">
        <f t="shared" si="25"/>
        <v/>
      </c>
      <c r="O172" s="12"/>
      <c r="P172" s="12"/>
      <c r="R172" s="10" t="str">
        <f>IF(H172&lt;&gt;"",SUMIF(H$3:H172,"&lt;&gt;" &amp; "",H$3:H172),"")</f>
        <v/>
      </c>
      <c r="S172" s="10" t="str">
        <f t="array" ref="S172">IF(O172="Completed",SUMIF(W$3:W172,"&lt;&gt;" &amp; "",W$3:W172),"")</f>
        <v/>
      </c>
      <c r="T172" s="10" t="str">
        <f t="array" ref="T172">IF(AND(J172&lt;&gt;"",O172="Completed"),SUM(IF(O$3:O172="Completed",J$3:J172,0)),"")</f>
        <v/>
      </c>
      <c r="U172" s="10" t="str">
        <f t="shared" si="23"/>
        <v/>
      </c>
      <c r="V172" s="10">
        <f>ROW()</f>
        <v>172</v>
      </c>
      <c r="W172" s="10" t="str">
        <f t="shared" si="26"/>
        <v/>
      </c>
      <c r="Z172" s="10" t="str">
        <f>IF(A172&lt;&gt;"",'Metrics planning and tracking'!$K$4,"")</f>
        <v/>
      </c>
      <c r="AA172" s="10" t="str">
        <f>IF(A172&lt;&gt;"",'Metrics planning and tracking'!$K$5,"")</f>
        <v/>
      </c>
      <c r="AB172" s="10" t="str">
        <f>IF(A172&lt;&gt;"",'Metrics planning and tracking'!$K$2,"")</f>
        <v/>
      </c>
      <c r="AC172" s="10" t="str">
        <f>IF(A172&lt;&gt;"",'Metrics planning and tracking'!$K$3,"")</f>
        <v/>
      </c>
      <c r="AD172" s="10" t="str">
        <f>IF(A172&lt;&gt;"",IF(AND(#REF!&lt;&gt;"",#REF!&lt;&gt;"",#REF!&lt;&gt;0),#REF!/#REF!*100,"NA"),"")</f>
        <v/>
      </c>
      <c r="AE172" s="10" t="str">
        <f>IF(A172&lt;&gt;"",IF(AND(#REF!&lt;&gt;"",#REF!&lt;&gt;"",#REF!&lt;&gt;0),#REF!/#REF!*100,"NA"),"")</f>
        <v/>
      </c>
      <c r="AF172" s="57" t="str">
        <f t="shared" si="27"/>
        <v/>
      </c>
      <c r="AG172" s="57" t="str">
        <f t="shared" si="28"/>
        <v/>
      </c>
      <c r="AH172" s="58" t="str">
        <f t="shared" si="29"/>
        <v/>
      </c>
      <c r="AV172" s="22" t="str">
        <f>IF(A172&lt;&gt;"",A172 &amp; "-" &amp;#REF! &amp; ROW(),"")</f>
        <v/>
      </c>
    </row>
    <row r="173" spans="11:48" x14ac:dyDescent="0.2">
      <c r="K173" s="11" t="str">
        <f>IF(AND(COUNTA(B173:C173)&gt;1,COUNTA(F173:G173)&gt;1,O173="Completed"),(G173-C173)/(C173-#REF!+1)%,"")</f>
        <v/>
      </c>
      <c r="L173" s="11" t="str">
        <f>IF(AND(COUNT(D173:E173)&gt;0,COUNTA(F173:G173)&gt;1,O173="Completed"),(G173-AG173)/(AG173-#REF!+1)%,"")</f>
        <v/>
      </c>
      <c r="M173" s="11" t="str">
        <f t="shared" si="24"/>
        <v/>
      </c>
      <c r="N173" s="11" t="str">
        <f t="shared" si="25"/>
        <v/>
      </c>
      <c r="O173" s="12"/>
      <c r="P173" s="12"/>
      <c r="R173" s="10" t="str">
        <f>IF(H173&lt;&gt;"",SUMIF(H$3:H173,"&lt;&gt;" &amp; "",H$3:H173),"")</f>
        <v/>
      </c>
      <c r="S173" s="10" t="str">
        <f t="array" ref="S173">IF(O173="Completed",SUMIF(W$3:W173,"&lt;&gt;" &amp; "",W$3:W173),"")</f>
        <v/>
      </c>
      <c r="T173" s="10" t="str">
        <f t="array" ref="T173">IF(AND(J173&lt;&gt;"",O173="Completed"),SUM(IF(O$3:O173="Completed",J$3:J173,0)),"")</f>
        <v/>
      </c>
      <c r="U173" s="10" t="str">
        <f t="shared" si="23"/>
        <v/>
      </c>
      <c r="V173" s="10">
        <f>ROW()</f>
        <v>173</v>
      </c>
      <c r="W173" s="10" t="str">
        <f t="shared" si="26"/>
        <v/>
      </c>
      <c r="Z173" s="10" t="str">
        <f>IF(A173&lt;&gt;"",'Metrics planning and tracking'!$K$4,"")</f>
        <v/>
      </c>
      <c r="AA173" s="10" t="str">
        <f>IF(A173&lt;&gt;"",'Metrics planning and tracking'!$K$5,"")</f>
        <v/>
      </c>
      <c r="AB173" s="10" t="str">
        <f>IF(A173&lt;&gt;"",'Metrics planning and tracking'!$K$2,"")</f>
        <v/>
      </c>
      <c r="AC173" s="10" t="str">
        <f>IF(A173&lt;&gt;"",'Metrics planning and tracking'!$K$3,"")</f>
        <v/>
      </c>
      <c r="AD173" s="10" t="str">
        <f>IF(A173&lt;&gt;"",IF(AND(#REF!&lt;&gt;"",#REF!&lt;&gt;"",#REF!&lt;&gt;0),#REF!/#REF!*100,"NA"),"")</f>
        <v/>
      </c>
      <c r="AE173" s="10" t="str">
        <f>IF(A173&lt;&gt;"",IF(AND(#REF!&lt;&gt;"",#REF!&lt;&gt;"",#REF!&lt;&gt;0),#REF!/#REF!*100,"NA"),"")</f>
        <v/>
      </c>
      <c r="AF173" s="57" t="str">
        <f t="shared" si="27"/>
        <v/>
      </c>
      <c r="AG173" s="57" t="str">
        <f t="shared" si="28"/>
        <v/>
      </c>
      <c r="AH173" s="58" t="str">
        <f t="shared" si="29"/>
        <v/>
      </c>
      <c r="AV173" s="22" t="str">
        <f>IF(A173&lt;&gt;"",A173 &amp; "-" &amp;#REF! &amp; ROW(),"")</f>
        <v/>
      </c>
    </row>
    <row r="174" spans="11:48" x14ac:dyDescent="0.2">
      <c r="K174" s="11" t="str">
        <f>IF(AND(COUNTA(B174:C174)&gt;1,COUNTA(F174:G174)&gt;1,O174="Completed"),(G174-C174)/(C174-#REF!+1)%,"")</f>
        <v/>
      </c>
      <c r="L174" s="11" t="str">
        <f>IF(AND(COUNT(D174:E174)&gt;0,COUNTA(F174:G174)&gt;1,O174="Completed"),(G174-AG174)/(AG174-#REF!+1)%,"")</f>
        <v/>
      </c>
      <c r="M174" s="11" t="str">
        <f t="shared" si="24"/>
        <v/>
      </c>
      <c r="N174" s="11" t="str">
        <f t="shared" si="25"/>
        <v/>
      </c>
      <c r="O174" s="12"/>
      <c r="P174" s="12"/>
      <c r="R174" s="10" t="str">
        <f>IF(H174&lt;&gt;"",SUMIF(H$3:H174,"&lt;&gt;" &amp; "",H$3:H174),"")</f>
        <v/>
      </c>
      <c r="S174" s="10" t="str">
        <f t="array" ref="S174">IF(O174="Completed",SUMIF(W$3:W174,"&lt;&gt;" &amp; "",W$3:W174),"")</f>
        <v/>
      </c>
      <c r="T174" s="10" t="str">
        <f t="array" ref="T174">IF(AND(J174&lt;&gt;"",O174="Completed"),SUM(IF(O$3:O174="Completed",J$3:J174,0)),"")</f>
        <v/>
      </c>
      <c r="U174" s="10" t="str">
        <f t="shared" si="23"/>
        <v/>
      </c>
      <c r="V174" s="10">
        <f>ROW()</f>
        <v>174</v>
      </c>
      <c r="W174" s="10" t="str">
        <f t="shared" si="26"/>
        <v/>
      </c>
      <c r="Z174" s="10" t="str">
        <f>IF(A174&lt;&gt;"",'Metrics planning and tracking'!$K$4,"")</f>
        <v/>
      </c>
      <c r="AA174" s="10" t="str">
        <f>IF(A174&lt;&gt;"",'Metrics planning and tracking'!$K$5,"")</f>
        <v/>
      </c>
      <c r="AB174" s="10" t="str">
        <f>IF(A174&lt;&gt;"",'Metrics planning and tracking'!$K$2,"")</f>
        <v/>
      </c>
      <c r="AC174" s="10" t="str">
        <f>IF(A174&lt;&gt;"",'Metrics planning and tracking'!$K$3,"")</f>
        <v/>
      </c>
      <c r="AD174" s="10" t="str">
        <f>IF(A174&lt;&gt;"",IF(AND(#REF!&lt;&gt;"",#REF!&lt;&gt;"",#REF!&lt;&gt;0),#REF!/#REF!*100,"NA"),"")</f>
        <v/>
      </c>
      <c r="AE174" s="10" t="str">
        <f>IF(A174&lt;&gt;"",IF(AND(#REF!&lt;&gt;"",#REF!&lt;&gt;"",#REF!&lt;&gt;0),#REF!/#REF!*100,"NA"),"")</f>
        <v/>
      </c>
      <c r="AF174" s="57" t="str">
        <f t="shared" si="27"/>
        <v/>
      </c>
      <c r="AG174" s="57" t="str">
        <f t="shared" si="28"/>
        <v/>
      </c>
      <c r="AH174" s="58" t="str">
        <f t="shared" si="29"/>
        <v/>
      </c>
      <c r="AV174" s="22" t="str">
        <f>IF(A174&lt;&gt;"",A174 &amp; "-" &amp;#REF! &amp; ROW(),"")</f>
        <v/>
      </c>
    </row>
    <row r="175" spans="11:48" x14ac:dyDescent="0.2">
      <c r="K175" s="11" t="str">
        <f>IF(AND(COUNTA(B175:C175)&gt;1,COUNTA(F175:G175)&gt;1,O175="Completed"),(G175-C175)/(C175-#REF!+1)%,"")</f>
        <v/>
      </c>
      <c r="L175" s="11" t="str">
        <f>IF(AND(COUNT(D175:E175)&gt;0,COUNTA(F175:G175)&gt;1,O175="Completed"),(G175-AG175)/(AG175-#REF!+1)%,"")</f>
        <v/>
      </c>
      <c r="M175" s="11" t="str">
        <f t="shared" si="24"/>
        <v/>
      </c>
      <c r="N175" s="11" t="str">
        <f t="shared" si="25"/>
        <v/>
      </c>
      <c r="O175" s="12"/>
      <c r="P175" s="12"/>
      <c r="R175" s="10" t="str">
        <f>IF(H175&lt;&gt;"",SUMIF(H$3:H175,"&lt;&gt;" &amp; "",H$3:H175),"")</f>
        <v/>
      </c>
      <c r="S175" s="10" t="str">
        <f t="array" ref="S175">IF(O175="Completed",SUMIF(W$3:W175,"&lt;&gt;" &amp; "",W$3:W175),"")</f>
        <v/>
      </c>
      <c r="T175" s="10" t="str">
        <f t="array" ref="T175">IF(AND(J175&lt;&gt;"",O175="Completed"),SUM(IF(O$3:O175="Completed",J$3:J175,0)),"")</f>
        <v/>
      </c>
      <c r="U175" s="10" t="str">
        <f t="shared" si="23"/>
        <v/>
      </c>
      <c r="V175" s="10">
        <f>ROW()</f>
        <v>175</v>
      </c>
      <c r="W175" s="10" t="str">
        <f t="shared" si="26"/>
        <v/>
      </c>
      <c r="Z175" s="10" t="str">
        <f>IF(A175&lt;&gt;"",'Metrics planning and tracking'!$K$4,"")</f>
        <v/>
      </c>
      <c r="AA175" s="10" t="str">
        <f>IF(A175&lt;&gt;"",'Metrics planning and tracking'!$K$5,"")</f>
        <v/>
      </c>
      <c r="AB175" s="10" t="str">
        <f>IF(A175&lt;&gt;"",'Metrics planning and tracking'!$K$2,"")</f>
        <v/>
      </c>
      <c r="AC175" s="10" t="str">
        <f>IF(A175&lt;&gt;"",'Metrics planning and tracking'!$K$3,"")</f>
        <v/>
      </c>
      <c r="AD175" s="10" t="str">
        <f>IF(A175&lt;&gt;"",IF(AND(#REF!&lt;&gt;"",#REF!&lt;&gt;"",#REF!&lt;&gt;0),#REF!/#REF!*100,"NA"),"")</f>
        <v/>
      </c>
      <c r="AE175" s="10" t="str">
        <f>IF(A175&lt;&gt;"",IF(AND(#REF!&lt;&gt;"",#REF!&lt;&gt;"",#REF!&lt;&gt;0),#REF!/#REF!*100,"NA"),"")</f>
        <v/>
      </c>
      <c r="AF175" s="57" t="str">
        <f t="shared" si="27"/>
        <v/>
      </c>
      <c r="AG175" s="57" t="str">
        <f t="shared" si="28"/>
        <v/>
      </c>
      <c r="AH175" s="58" t="str">
        <f t="shared" si="29"/>
        <v/>
      </c>
      <c r="AV175" s="22" t="str">
        <f>IF(A175&lt;&gt;"",A175 &amp; "-" &amp;#REF! &amp; ROW(),"")</f>
        <v/>
      </c>
    </row>
    <row r="176" spans="11:48" x14ac:dyDescent="0.2">
      <c r="K176" s="11" t="str">
        <f>IF(AND(COUNTA(B176:C176)&gt;1,COUNTA(F176:G176)&gt;1,O176="Completed"),(G176-C176)/(C176-#REF!+1)%,"")</f>
        <v/>
      </c>
      <c r="L176" s="11" t="str">
        <f>IF(AND(COUNT(D176:E176)&gt;0,COUNTA(F176:G176)&gt;1,O176="Completed"),(G176-AG176)/(AG176-#REF!+1)%,"")</f>
        <v/>
      </c>
      <c r="M176" s="11" t="str">
        <f t="shared" si="24"/>
        <v/>
      </c>
      <c r="N176" s="11" t="str">
        <f t="shared" si="25"/>
        <v/>
      </c>
      <c r="O176" s="12"/>
      <c r="P176" s="12"/>
      <c r="R176" s="10" t="str">
        <f>IF(H176&lt;&gt;"",SUMIF(H$3:H176,"&lt;&gt;" &amp; "",H$3:H176),"")</f>
        <v/>
      </c>
      <c r="S176" s="10" t="str">
        <f t="array" ref="S176">IF(O176="Completed",SUMIF(W$3:W176,"&lt;&gt;" &amp; "",W$3:W176),"")</f>
        <v/>
      </c>
      <c r="T176" s="10" t="str">
        <f t="array" ref="T176">IF(AND(J176&lt;&gt;"",O176="Completed"),SUM(IF(O$3:O176="Completed",J$3:J176,0)),"")</f>
        <v/>
      </c>
      <c r="U176" s="10" t="str">
        <f t="shared" si="23"/>
        <v/>
      </c>
      <c r="V176" s="10">
        <f>ROW()</f>
        <v>176</v>
      </c>
      <c r="W176" s="10" t="str">
        <f t="shared" si="26"/>
        <v/>
      </c>
      <c r="Z176" s="10" t="str">
        <f>IF(A176&lt;&gt;"",'Metrics planning and tracking'!$K$4,"")</f>
        <v/>
      </c>
      <c r="AA176" s="10" t="str">
        <f>IF(A176&lt;&gt;"",'Metrics planning and tracking'!$K$5,"")</f>
        <v/>
      </c>
      <c r="AB176" s="10" t="str">
        <f>IF(A176&lt;&gt;"",'Metrics planning and tracking'!$K$2,"")</f>
        <v/>
      </c>
      <c r="AC176" s="10" t="str">
        <f>IF(A176&lt;&gt;"",'Metrics planning and tracking'!$K$3,"")</f>
        <v/>
      </c>
      <c r="AD176" s="10" t="str">
        <f>IF(A176&lt;&gt;"",IF(AND(#REF!&lt;&gt;"",#REF!&lt;&gt;"",#REF!&lt;&gt;0),#REF!/#REF!*100,"NA"),"")</f>
        <v/>
      </c>
      <c r="AE176" s="10" t="str">
        <f>IF(A176&lt;&gt;"",IF(AND(#REF!&lt;&gt;"",#REF!&lt;&gt;"",#REF!&lt;&gt;0),#REF!/#REF!*100,"NA"),"")</f>
        <v/>
      </c>
      <c r="AF176" s="57" t="str">
        <f t="shared" si="27"/>
        <v/>
      </c>
      <c r="AG176" s="57" t="str">
        <f t="shared" si="28"/>
        <v/>
      </c>
      <c r="AH176" s="58" t="str">
        <f t="shared" si="29"/>
        <v/>
      </c>
      <c r="AV176" s="22" t="str">
        <f>IF(A176&lt;&gt;"",A176 &amp; "-" &amp;#REF! &amp; ROW(),"")</f>
        <v/>
      </c>
    </row>
    <row r="177" spans="11:48" x14ac:dyDescent="0.2">
      <c r="K177" s="11" t="str">
        <f>IF(AND(COUNTA(B177:C177)&gt;1,COUNTA(F177:G177)&gt;1,O177="Completed"),(G177-C177)/(C177-#REF!+1)%,"")</f>
        <v/>
      </c>
      <c r="L177" s="11" t="str">
        <f>IF(AND(COUNT(D177:E177)&gt;0,COUNTA(F177:G177)&gt;1,O177="Completed"),(G177-AG177)/(AG177-#REF!+1)%,"")</f>
        <v/>
      </c>
      <c r="M177" s="11" t="str">
        <f t="shared" si="24"/>
        <v/>
      </c>
      <c r="N177" s="11" t="str">
        <f t="shared" si="25"/>
        <v/>
      </c>
      <c r="O177" s="12"/>
      <c r="P177" s="12"/>
      <c r="R177" s="10" t="str">
        <f>IF(H177&lt;&gt;"",SUMIF(H$3:H177,"&lt;&gt;" &amp; "",H$3:H177),"")</f>
        <v/>
      </c>
      <c r="S177" s="10" t="str">
        <f t="array" ref="S177">IF(O177="Completed",SUMIF(W$3:W177,"&lt;&gt;" &amp; "",W$3:W177),"")</f>
        <v/>
      </c>
      <c r="T177" s="10" t="str">
        <f t="array" ref="T177">IF(AND(J177&lt;&gt;"",O177="Completed"),SUM(IF(O$3:O177="Completed",J$3:J177,0)),"")</f>
        <v/>
      </c>
      <c r="U177" s="10" t="str">
        <f t="shared" si="23"/>
        <v/>
      </c>
      <c r="V177" s="10">
        <f>ROW()</f>
        <v>177</v>
      </c>
      <c r="W177" s="10" t="str">
        <f t="shared" si="26"/>
        <v/>
      </c>
      <c r="Z177" s="10" t="str">
        <f>IF(A177&lt;&gt;"",'Metrics planning and tracking'!$K$4,"")</f>
        <v/>
      </c>
      <c r="AA177" s="10" t="str">
        <f>IF(A177&lt;&gt;"",'Metrics planning and tracking'!$K$5,"")</f>
        <v/>
      </c>
      <c r="AB177" s="10" t="str">
        <f>IF(A177&lt;&gt;"",'Metrics planning and tracking'!$K$2,"")</f>
        <v/>
      </c>
      <c r="AC177" s="10" t="str">
        <f>IF(A177&lt;&gt;"",'Metrics planning and tracking'!$K$3,"")</f>
        <v/>
      </c>
      <c r="AD177" s="10" t="str">
        <f>IF(A177&lt;&gt;"",IF(AND(#REF!&lt;&gt;"",#REF!&lt;&gt;"",#REF!&lt;&gt;0),#REF!/#REF!*100,"NA"),"")</f>
        <v/>
      </c>
      <c r="AE177" s="10" t="str">
        <f>IF(A177&lt;&gt;"",IF(AND(#REF!&lt;&gt;"",#REF!&lt;&gt;"",#REF!&lt;&gt;0),#REF!/#REF!*100,"NA"),"")</f>
        <v/>
      </c>
      <c r="AF177" s="57" t="str">
        <f t="shared" si="27"/>
        <v/>
      </c>
      <c r="AG177" s="57" t="str">
        <f t="shared" si="28"/>
        <v/>
      </c>
      <c r="AH177" s="58" t="str">
        <f t="shared" si="29"/>
        <v/>
      </c>
      <c r="AV177" s="22" t="str">
        <f>IF(A177&lt;&gt;"",A177 &amp; "-" &amp;#REF! &amp; ROW(),"")</f>
        <v/>
      </c>
    </row>
    <row r="178" spans="11:48" x14ac:dyDescent="0.2">
      <c r="K178" s="11" t="str">
        <f>IF(AND(COUNTA(B178:C178)&gt;1,COUNTA(F178:G178)&gt;1,O178="Completed"),(G178-C178)/(C178-#REF!+1)%,"")</f>
        <v/>
      </c>
      <c r="L178" s="11" t="str">
        <f>IF(AND(COUNT(D178:E178)&gt;0,COUNTA(F178:G178)&gt;1,O178="Completed"),(G178-AG178)/(AG178-#REF!+1)%,"")</f>
        <v/>
      </c>
      <c r="M178" s="11" t="str">
        <f t="shared" si="24"/>
        <v/>
      </c>
      <c r="N178" s="11" t="str">
        <f t="shared" si="25"/>
        <v/>
      </c>
      <c r="O178" s="12"/>
      <c r="P178" s="12"/>
      <c r="R178" s="10" t="str">
        <f>IF(H178&lt;&gt;"",SUMIF(H$3:H178,"&lt;&gt;" &amp; "",H$3:H178),"")</f>
        <v/>
      </c>
      <c r="S178" s="10" t="str">
        <f t="array" ref="S178">IF(O178="Completed",SUMIF(W$3:W178,"&lt;&gt;" &amp; "",W$3:W178),"")</f>
        <v/>
      </c>
      <c r="T178" s="10" t="str">
        <f t="array" ref="T178">IF(AND(J178&lt;&gt;"",O178="Completed"),SUM(IF(O$3:O178="Completed",J$3:J178,0)),"")</f>
        <v/>
      </c>
      <c r="U178" s="10" t="str">
        <f t="shared" si="23"/>
        <v/>
      </c>
      <c r="V178" s="10">
        <f>ROW()</f>
        <v>178</v>
      </c>
      <c r="W178" s="10" t="str">
        <f t="shared" si="26"/>
        <v/>
      </c>
      <c r="Z178" s="10" t="str">
        <f>IF(A178&lt;&gt;"",'Metrics planning and tracking'!$K$4,"")</f>
        <v/>
      </c>
      <c r="AA178" s="10" t="str">
        <f>IF(A178&lt;&gt;"",'Metrics planning and tracking'!$K$5,"")</f>
        <v/>
      </c>
      <c r="AB178" s="10" t="str">
        <f>IF(A178&lt;&gt;"",'Metrics planning and tracking'!$K$2,"")</f>
        <v/>
      </c>
      <c r="AC178" s="10" t="str">
        <f>IF(A178&lt;&gt;"",'Metrics planning and tracking'!$K$3,"")</f>
        <v/>
      </c>
      <c r="AD178" s="10" t="str">
        <f>IF(A178&lt;&gt;"",IF(AND(#REF!&lt;&gt;"",#REF!&lt;&gt;"",#REF!&lt;&gt;0),#REF!/#REF!*100,"NA"),"")</f>
        <v/>
      </c>
      <c r="AE178" s="10" t="str">
        <f>IF(A178&lt;&gt;"",IF(AND(#REF!&lt;&gt;"",#REF!&lt;&gt;"",#REF!&lt;&gt;0),#REF!/#REF!*100,"NA"),"")</f>
        <v/>
      </c>
      <c r="AF178" s="57" t="str">
        <f t="shared" si="27"/>
        <v/>
      </c>
      <c r="AG178" s="57" t="str">
        <f t="shared" si="28"/>
        <v/>
      </c>
      <c r="AH178" s="58" t="str">
        <f t="shared" si="29"/>
        <v/>
      </c>
      <c r="AV178" s="22" t="str">
        <f>IF(A178&lt;&gt;"",A178 &amp; "-" &amp;#REF! &amp; ROW(),"")</f>
        <v/>
      </c>
    </row>
    <row r="179" spans="11:48" x14ac:dyDescent="0.2">
      <c r="K179" s="11" t="str">
        <f>IF(AND(COUNTA(B179:C179)&gt;1,COUNTA(F179:G179)&gt;1,O179="Completed"),(G179-C179)/(C179-#REF!+1)%,"")</f>
        <v/>
      </c>
      <c r="L179" s="11" t="str">
        <f>IF(AND(COUNT(D179:E179)&gt;0,COUNTA(F179:G179)&gt;1,O179="Completed"),(G179-AG179)/(AG179-#REF!+1)%,"")</f>
        <v/>
      </c>
      <c r="M179" s="11" t="str">
        <f t="shared" si="24"/>
        <v/>
      </c>
      <c r="N179" s="11" t="str">
        <f t="shared" si="25"/>
        <v/>
      </c>
      <c r="O179" s="12"/>
      <c r="P179" s="12"/>
      <c r="R179" s="10" t="str">
        <f>IF(H179&lt;&gt;"",SUMIF(H$3:H179,"&lt;&gt;" &amp; "",H$3:H179),"")</f>
        <v/>
      </c>
      <c r="S179" s="10" t="str">
        <f t="array" ref="S179">IF(O179="Completed",SUMIF(W$3:W179,"&lt;&gt;" &amp; "",W$3:W179),"")</f>
        <v/>
      </c>
      <c r="T179" s="10" t="str">
        <f t="array" ref="T179">IF(AND(J179&lt;&gt;"",O179="Completed"),SUM(IF(O$3:O179="Completed",J$3:J179,0)),"")</f>
        <v/>
      </c>
      <c r="U179" s="10" t="str">
        <f t="shared" si="23"/>
        <v/>
      </c>
      <c r="V179" s="10">
        <f>ROW()</f>
        <v>179</v>
      </c>
      <c r="W179" s="10" t="str">
        <f t="shared" si="26"/>
        <v/>
      </c>
      <c r="Z179" s="10" t="str">
        <f>IF(A179&lt;&gt;"",'Metrics planning and tracking'!$K$4,"")</f>
        <v/>
      </c>
      <c r="AA179" s="10" t="str">
        <f>IF(A179&lt;&gt;"",'Metrics planning and tracking'!$K$5,"")</f>
        <v/>
      </c>
      <c r="AB179" s="10" t="str">
        <f>IF(A179&lt;&gt;"",'Metrics planning and tracking'!$K$2,"")</f>
        <v/>
      </c>
      <c r="AC179" s="10" t="str">
        <f>IF(A179&lt;&gt;"",'Metrics planning and tracking'!$K$3,"")</f>
        <v/>
      </c>
      <c r="AD179" s="10" t="str">
        <f>IF(A179&lt;&gt;"",IF(AND(#REF!&lt;&gt;"",#REF!&lt;&gt;"",#REF!&lt;&gt;0),#REF!/#REF!*100,"NA"),"")</f>
        <v/>
      </c>
      <c r="AE179" s="10" t="str">
        <f>IF(A179&lt;&gt;"",IF(AND(#REF!&lt;&gt;"",#REF!&lt;&gt;"",#REF!&lt;&gt;0),#REF!/#REF!*100,"NA"),"")</f>
        <v/>
      </c>
      <c r="AF179" s="57" t="str">
        <f t="shared" si="27"/>
        <v/>
      </c>
      <c r="AG179" s="57" t="str">
        <f t="shared" si="28"/>
        <v/>
      </c>
      <c r="AH179" s="58" t="str">
        <f t="shared" si="29"/>
        <v/>
      </c>
      <c r="AV179" s="22" t="str">
        <f>IF(A179&lt;&gt;"",A179 &amp; "-" &amp;#REF! &amp; ROW(),"")</f>
        <v/>
      </c>
    </row>
    <row r="180" spans="11:48" x14ac:dyDescent="0.2">
      <c r="K180" s="11" t="str">
        <f>IF(AND(COUNTA(B180:C180)&gt;1,COUNTA(F180:G180)&gt;1,O180="Completed"),(G180-C180)/(C180-#REF!+1)%,"")</f>
        <v/>
      </c>
      <c r="L180" s="11" t="str">
        <f>IF(AND(COUNT(D180:E180)&gt;0,COUNTA(F180:G180)&gt;1,O180="Completed"),(G180-AG180)/(AG180-#REF!+1)%,"")</f>
        <v/>
      </c>
      <c r="M180" s="11" t="str">
        <f t="shared" si="24"/>
        <v/>
      </c>
      <c r="N180" s="11" t="str">
        <f t="shared" si="25"/>
        <v/>
      </c>
      <c r="O180" s="12"/>
      <c r="P180" s="12"/>
      <c r="R180" s="10" t="str">
        <f>IF(H180&lt;&gt;"",SUMIF(H$3:H180,"&lt;&gt;" &amp; "",H$3:H180),"")</f>
        <v/>
      </c>
      <c r="S180" s="10" t="str">
        <f t="array" ref="S180">IF(O180="Completed",SUMIF(W$3:W180,"&lt;&gt;" &amp; "",W$3:W180),"")</f>
        <v/>
      </c>
      <c r="T180" s="10" t="str">
        <f t="array" ref="T180">IF(AND(J180&lt;&gt;"",O180="Completed"),SUM(IF(O$3:O180="Completed",J$3:J180,0)),"")</f>
        <v/>
      </c>
      <c r="U180" s="10" t="str">
        <f t="shared" si="23"/>
        <v/>
      </c>
      <c r="V180" s="10">
        <f>ROW()</f>
        <v>180</v>
      </c>
      <c r="W180" s="10" t="str">
        <f t="shared" si="26"/>
        <v/>
      </c>
      <c r="Z180" s="10" t="str">
        <f>IF(A180&lt;&gt;"",'Metrics planning and tracking'!$K$4,"")</f>
        <v/>
      </c>
      <c r="AA180" s="10" t="str">
        <f>IF(A180&lt;&gt;"",'Metrics planning and tracking'!$K$5,"")</f>
        <v/>
      </c>
      <c r="AB180" s="10" t="str">
        <f>IF(A180&lt;&gt;"",'Metrics planning and tracking'!$K$2,"")</f>
        <v/>
      </c>
      <c r="AC180" s="10" t="str">
        <f>IF(A180&lt;&gt;"",'Metrics planning and tracking'!$K$3,"")</f>
        <v/>
      </c>
      <c r="AD180" s="10" t="str">
        <f>IF(A180&lt;&gt;"",IF(AND(#REF!&lt;&gt;"",#REF!&lt;&gt;"",#REF!&lt;&gt;0),#REF!/#REF!*100,"NA"),"")</f>
        <v/>
      </c>
      <c r="AE180" s="10" t="str">
        <f>IF(A180&lt;&gt;"",IF(AND(#REF!&lt;&gt;"",#REF!&lt;&gt;"",#REF!&lt;&gt;0),#REF!/#REF!*100,"NA"),"")</f>
        <v/>
      </c>
      <c r="AF180" s="57" t="str">
        <f t="shared" si="27"/>
        <v/>
      </c>
      <c r="AG180" s="57" t="str">
        <f t="shared" si="28"/>
        <v/>
      </c>
      <c r="AH180" s="58" t="str">
        <f t="shared" si="29"/>
        <v/>
      </c>
      <c r="AV180" s="22" t="str">
        <f>IF(A180&lt;&gt;"",A180 &amp; "-" &amp;#REF! &amp; ROW(),"")</f>
        <v/>
      </c>
    </row>
    <row r="181" spans="11:48" x14ac:dyDescent="0.2">
      <c r="K181" s="11" t="str">
        <f>IF(AND(COUNTA(B181:C181)&gt;1,COUNTA(F181:G181)&gt;1,O181="Completed"),(G181-C181)/(C181-#REF!+1)%,"")</f>
        <v/>
      </c>
      <c r="L181" s="11" t="str">
        <f>IF(AND(COUNT(D181:E181)&gt;0,COUNTA(F181:G181)&gt;1,O181="Completed"),(G181-AG181)/(AG181-#REF!+1)%,"")</f>
        <v/>
      </c>
      <c r="M181" s="11" t="str">
        <f t="shared" si="24"/>
        <v/>
      </c>
      <c r="N181" s="11" t="str">
        <f t="shared" si="25"/>
        <v/>
      </c>
      <c r="O181" s="12"/>
      <c r="P181" s="12"/>
      <c r="R181" s="10" t="str">
        <f>IF(H181&lt;&gt;"",SUMIF(H$3:H181,"&lt;&gt;" &amp; "",H$3:H181),"")</f>
        <v/>
      </c>
      <c r="S181" s="10" t="str">
        <f t="array" ref="S181">IF(O181="Completed",SUMIF(W$3:W181,"&lt;&gt;" &amp; "",W$3:W181),"")</f>
        <v/>
      </c>
      <c r="T181" s="10" t="str">
        <f t="array" ref="T181">IF(AND(J181&lt;&gt;"",O181="Completed"),SUM(IF(O$3:O181="Completed",J$3:J181,0)),"")</f>
        <v/>
      </c>
      <c r="U181" s="10" t="str">
        <f t="shared" si="23"/>
        <v/>
      </c>
      <c r="V181" s="10">
        <f>ROW()</f>
        <v>181</v>
      </c>
      <c r="W181" s="10" t="str">
        <f t="shared" si="26"/>
        <v/>
      </c>
      <c r="Z181" s="10" t="str">
        <f>IF(A181&lt;&gt;"",'Metrics planning and tracking'!$K$4,"")</f>
        <v/>
      </c>
      <c r="AA181" s="10" t="str">
        <f>IF(A181&lt;&gt;"",'Metrics planning and tracking'!$K$5,"")</f>
        <v/>
      </c>
      <c r="AB181" s="10" t="str">
        <f>IF(A181&lt;&gt;"",'Metrics planning and tracking'!$K$2,"")</f>
        <v/>
      </c>
      <c r="AC181" s="10" t="str">
        <f>IF(A181&lt;&gt;"",'Metrics planning and tracking'!$K$3,"")</f>
        <v/>
      </c>
      <c r="AD181" s="10" t="str">
        <f>IF(A181&lt;&gt;"",IF(AND(#REF!&lt;&gt;"",#REF!&lt;&gt;"",#REF!&lt;&gt;0),#REF!/#REF!*100,"NA"),"")</f>
        <v/>
      </c>
      <c r="AE181" s="10" t="str">
        <f>IF(A181&lt;&gt;"",IF(AND(#REF!&lt;&gt;"",#REF!&lt;&gt;"",#REF!&lt;&gt;0),#REF!/#REF!*100,"NA"),"")</f>
        <v/>
      </c>
      <c r="AF181" s="57" t="str">
        <f t="shared" si="27"/>
        <v/>
      </c>
      <c r="AG181" s="57" t="str">
        <f t="shared" si="28"/>
        <v/>
      </c>
      <c r="AH181" s="58" t="str">
        <f t="shared" si="29"/>
        <v/>
      </c>
      <c r="AV181" s="22" t="str">
        <f>IF(A181&lt;&gt;"",A181 &amp; "-" &amp;#REF! &amp; ROW(),"")</f>
        <v/>
      </c>
    </row>
    <row r="182" spans="11:48" x14ac:dyDescent="0.2">
      <c r="K182" s="11" t="str">
        <f>IF(AND(COUNTA(B182:C182)&gt;1,COUNTA(F182:G182)&gt;1,O182="Completed"),(G182-C182)/(C182-#REF!+1)%,"")</f>
        <v/>
      </c>
      <c r="L182" s="11" t="str">
        <f>IF(AND(COUNT(D182:E182)&gt;0,COUNTA(F182:G182)&gt;1,O182="Completed"),(G182-AG182)/(AG182-#REF!+1)%,"")</f>
        <v/>
      </c>
      <c r="M182" s="11" t="str">
        <f t="shared" si="24"/>
        <v/>
      </c>
      <c r="N182" s="11" t="str">
        <f t="shared" si="25"/>
        <v/>
      </c>
      <c r="O182" s="12"/>
      <c r="P182" s="12"/>
      <c r="R182" s="10" t="str">
        <f>IF(H182&lt;&gt;"",SUMIF(H$3:H182,"&lt;&gt;" &amp; "",H$3:H182),"")</f>
        <v/>
      </c>
      <c r="S182" s="10" t="str">
        <f t="array" ref="S182">IF(O182="Completed",SUMIF(W$3:W182,"&lt;&gt;" &amp; "",W$3:W182),"")</f>
        <v/>
      </c>
      <c r="T182" s="10" t="str">
        <f t="array" ref="T182">IF(AND(J182&lt;&gt;"",O182="Completed"),SUM(IF(O$3:O182="Completed",J$3:J182,0)),"")</f>
        <v/>
      </c>
      <c r="U182" s="10" t="str">
        <f t="shared" si="23"/>
        <v/>
      </c>
      <c r="V182" s="10">
        <f>ROW()</f>
        <v>182</v>
      </c>
      <c r="W182" s="10" t="str">
        <f t="shared" si="26"/>
        <v/>
      </c>
      <c r="Z182" s="10" t="str">
        <f>IF(A182&lt;&gt;"",'Metrics planning and tracking'!$K$4,"")</f>
        <v/>
      </c>
      <c r="AA182" s="10" t="str">
        <f>IF(A182&lt;&gt;"",'Metrics planning and tracking'!$K$5,"")</f>
        <v/>
      </c>
      <c r="AB182" s="10" t="str">
        <f>IF(A182&lt;&gt;"",'Metrics planning and tracking'!$K$2,"")</f>
        <v/>
      </c>
      <c r="AC182" s="10" t="str">
        <f>IF(A182&lt;&gt;"",'Metrics planning and tracking'!$K$3,"")</f>
        <v/>
      </c>
      <c r="AD182" s="10" t="str">
        <f>IF(A182&lt;&gt;"",IF(AND(#REF!&lt;&gt;"",#REF!&lt;&gt;"",#REF!&lt;&gt;0),#REF!/#REF!*100,"NA"),"")</f>
        <v/>
      </c>
      <c r="AE182" s="10" t="str">
        <f>IF(A182&lt;&gt;"",IF(AND(#REF!&lt;&gt;"",#REF!&lt;&gt;"",#REF!&lt;&gt;0),#REF!/#REF!*100,"NA"),"")</f>
        <v/>
      </c>
      <c r="AF182" s="57" t="str">
        <f t="shared" si="27"/>
        <v/>
      </c>
      <c r="AG182" s="57" t="str">
        <f t="shared" si="28"/>
        <v/>
      </c>
      <c r="AH182" s="58" t="str">
        <f t="shared" si="29"/>
        <v/>
      </c>
      <c r="AV182" s="22" t="str">
        <f>IF(A182&lt;&gt;"",A182 &amp; "-" &amp;#REF! &amp; ROW(),"")</f>
        <v/>
      </c>
    </row>
    <row r="183" spans="11:48" x14ac:dyDescent="0.2">
      <c r="K183" s="11" t="str">
        <f>IF(AND(COUNTA(B183:C183)&gt;1,COUNTA(F183:G183)&gt;1,O183="Completed"),(G183-C183)/(C183-#REF!+1)%,"")</f>
        <v/>
      </c>
      <c r="L183" s="11" t="str">
        <f>IF(AND(COUNT(D183:E183)&gt;0,COUNTA(F183:G183)&gt;1,O183="Completed"),(G183-AG183)/(AG183-#REF!+1)%,"")</f>
        <v/>
      </c>
      <c r="M183" s="11" t="str">
        <f t="shared" si="24"/>
        <v/>
      </c>
      <c r="N183" s="11" t="str">
        <f t="shared" si="25"/>
        <v/>
      </c>
      <c r="O183" s="12"/>
      <c r="P183" s="12"/>
      <c r="R183" s="10" t="str">
        <f>IF(H183&lt;&gt;"",SUMIF(H$3:H183,"&lt;&gt;" &amp; "",H$3:H183),"")</f>
        <v/>
      </c>
      <c r="S183" s="10" t="str">
        <f t="array" ref="S183">IF(O183="Completed",SUMIF(W$3:W183,"&lt;&gt;" &amp; "",W$3:W183),"")</f>
        <v/>
      </c>
      <c r="T183" s="10" t="str">
        <f t="array" ref="T183">IF(AND(J183&lt;&gt;"",O183="Completed"),SUM(IF(O$3:O183="Completed",J$3:J183,0)),"")</f>
        <v/>
      </c>
      <c r="U183" s="10" t="str">
        <f t="shared" si="23"/>
        <v/>
      </c>
      <c r="V183" s="10">
        <f>ROW()</f>
        <v>183</v>
      </c>
      <c r="W183" s="10" t="str">
        <f t="shared" si="26"/>
        <v/>
      </c>
      <c r="Z183" s="10" t="str">
        <f>IF(A183&lt;&gt;"",'Metrics planning and tracking'!$K$4,"")</f>
        <v/>
      </c>
      <c r="AA183" s="10" t="str">
        <f>IF(A183&lt;&gt;"",'Metrics planning and tracking'!$K$5,"")</f>
        <v/>
      </c>
      <c r="AB183" s="10" t="str">
        <f>IF(A183&lt;&gt;"",'Metrics planning and tracking'!$K$2,"")</f>
        <v/>
      </c>
      <c r="AC183" s="10" t="str">
        <f>IF(A183&lt;&gt;"",'Metrics planning and tracking'!$K$3,"")</f>
        <v/>
      </c>
      <c r="AD183" s="10" t="str">
        <f>IF(A183&lt;&gt;"",IF(AND(#REF!&lt;&gt;"",#REF!&lt;&gt;"",#REF!&lt;&gt;0),#REF!/#REF!*100,"NA"),"")</f>
        <v/>
      </c>
      <c r="AE183" s="10" t="str">
        <f>IF(A183&lt;&gt;"",IF(AND(#REF!&lt;&gt;"",#REF!&lt;&gt;"",#REF!&lt;&gt;0),#REF!/#REF!*100,"NA"),"")</f>
        <v/>
      </c>
      <c r="AF183" s="57" t="str">
        <f t="shared" si="27"/>
        <v/>
      </c>
      <c r="AG183" s="57" t="str">
        <f t="shared" si="28"/>
        <v/>
      </c>
      <c r="AH183" s="58" t="str">
        <f t="shared" si="29"/>
        <v/>
      </c>
      <c r="AV183" s="22" t="str">
        <f>IF(A183&lt;&gt;"",A183 &amp; "-" &amp;#REF! &amp; ROW(),"")</f>
        <v/>
      </c>
    </row>
    <row r="184" spans="11:48" x14ac:dyDescent="0.2">
      <c r="K184" s="11" t="str">
        <f>IF(AND(COUNTA(B184:C184)&gt;1,COUNTA(F184:G184)&gt;1,O184="Completed"),(G184-C184)/(C184-#REF!+1)%,"")</f>
        <v/>
      </c>
      <c r="L184" s="11" t="str">
        <f>IF(AND(COUNT(D184:E184)&gt;0,COUNTA(F184:G184)&gt;1,O184="Completed"),(G184-AG184)/(AG184-#REF!+1)%,"")</f>
        <v/>
      </c>
      <c r="M184" s="11" t="str">
        <f t="shared" si="24"/>
        <v/>
      </c>
      <c r="N184" s="11" t="str">
        <f t="shared" si="25"/>
        <v/>
      </c>
      <c r="O184" s="12"/>
      <c r="P184" s="12"/>
      <c r="R184" s="10" t="str">
        <f>IF(H184&lt;&gt;"",SUMIF(H$3:H184,"&lt;&gt;" &amp; "",H$3:H184),"")</f>
        <v/>
      </c>
      <c r="S184" s="10" t="str">
        <f t="array" ref="S184">IF(O184="Completed",SUMIF(W$3:W184,"&lt;&gt;" &amp; "",W$3:W184),"")</f>
        <v/>
      </c>
      <c r="T184" s="10" t="str">
        <f t="array" ref="T184">IF(AND(J184&lt;&gt;"",O184="Completed"),SUM(IF(O$3:O184="Completed",J$3:J184,0)),"")</f>
        <v/>
      </c>
      <c r="U184" s="10" t="str">
        <f t="shared" si="23"/>
        <v/>
      </c>
      <c r="V184" s="10">
        <f>ROW()</f>
        <v>184</v>
      </c>
      <c r="W184" s="10" t="str">
        <f t="shared" si="26"/>
        <v/>
      </c>
      <c r="Z184" s="10" t="str">
        <f>IF(A184&lt;&gt;"",'Metrics planning and tracking'!$K$4,"")</f>
        <v/>
      </c>
      <c r="AA184" s="10" t="str">
        <f>IF(A184&lt;&gt;"",'Metrics planning and tracking'!$K$5,"")</f>
        <v/>
      </c>
      <c r="AB184" s="10" t="str">
        <f>IF(A184&lt;&gt;"",'Metrics planning and tracking'!$K$2,"")</f>
        <v/>
      </c>
      <c r="AC184" s="10" t="str">
        <f>IF(A184&lt;&gt;"",'Metrics planning and tracking'!$K$3,"")</f>
        <v/>
      </c>
      <c r="AD184" s="10" t="str">
        <f>IF(A184&lt;&gt;"",IF(AND(#REF!&lt;&gt;"",#REF!&lt;&gt;"",#REF!&lt;&gt;0),#REF!/#REF!*100,"NA"),"")</f>
        <v/>
      </c>
      <c r="AE184" s="10" t="str">
        <f>IF(A184&lt;&gt;"",IF(AND(#REF!&lt;&gt;"",#REF!&lt;&gt;"",#REF!&lt;&gt;0),#REF!/#REF!*100,"NA"),"")</f>
        <v/>
      </c>
      <c r="AF184" s="57" t="str">
        <f t="shared" si="27"/>
        <v/>
      </c>
      <c r="AG184" s="57" t="str">
        <f t="shared" si="28"/>
        <v/>
      </c>
      <c r="AH184" s="58" t="str">
        <f t="shared" si="29"/>
        <v/>
      </c>
      <c r="AV184" s="22" t="str">
        <f>IF(A184&lt;&gt;"",A184 &amp; "-" &amp;#REF! &amp; ROW(),"")</f>
        <v/>
      </c>
    </row>
    <row r="185" spans="11:48" x14ac:dyDescent="0.2">
      <c r="K185" s="11" t="str">
        <f>IF(AND(COUNTA(B185:C185)&gt;1,COUNTA(F185:G185)&gt;1,O185="Completed"),(G185-C185)/(C185-#REF!+1)%,"")</f>
        <v/>
      </c>
      <c r="L185" s="11" t="str">
        <f>IF(AND(COUNT(D185:E185)&gt;0,COUNTA(F185:G185)&gt;1,O185="Completed"),(G185-AG185)/(AG185-#REF!+1)%,"")</f>
        <v/>
      </c>
      <c r="M185" s="11" t="str">
        <f t="shared" si="24"/>
        <v/>
      </c>
      <c r="N185" s="11" t="str">
        <f t="shared" si="25"/>
        <v/>
      </c>
      <c r="O185" s="12"/>
      <c r="P185" s="12"/>
      <c r="R185" s="10" t="str">
        <f>IF(H185&lt;&gt;"",SUMIF(H$3:H185,"&lt;&gt;" &amp; "",H$3:H185),"")</f>
        <v/>
      </c>
      <c r="S185" s="10" t="str">
        <f t="array" ref="S185">IF(O185="Completed",SUMIF(W$3:W185,"&lt;&gt;" &amp; "",W$3:W185),"")</f>
        <v/>
      </c>
      <c r="T185" s="10" t="str">
        <f t="array" ref="T185">IF(AND(J185&lt;&gt;"",O185="Completed"),SUM(IF(O$3:O185="Completed",J$3:J185,0)),"")</f>
        <v/>
      </c>
      <c r="U185" s="10" t="str">
        <f t="shared" si="23"/>
        <v/>
      </c>
      <c r="V185" s="10">
        <f>ROW()</f>
        <v>185</v>
      </c>
      <c r="W185" s="10" t="str">
        <f t="shared" si="26"/>
        <v/>
      </c>
      <c r="Z185" s="10" t="str">
        <f>IF(A185&lt;&gt;"",'Metrics planning and tracking'!$K$4,"")</f>
        <v/>
      </c>
      <c r="AA185" s="10" t="str">
        <f>IF(A185&lt;&gt;"",'Metrics planning and tracking'!$K$5,"")</f>
        <v/>
      </c>
      <c r="AB185" s="10" t="str">
        <f>IF(A185&lt;&gt;"",'Metrics planning and tracking'!$K$2,"")</f>
        <v/>
      </c>
      <c r="AC185" s="10" t="str">
        <f>IF(A185&lt;&gt;"",'Metrics planning and tracking'!$K$3,"")</f>
        <v/>
      </c>
      <c r="AD185" s="10" t="str">
        <f>IF(A185&lt;&gt;"",IF(AND(#REF!&lt;&gt;"",#REF!&lt;&gt;"",#REF!&lt;&gt;0),#REF!/#REF!*100,"NA"),"")</f>
        <v/>
      </c>
      <c r="AE185" s="10" t="str">
        <f>IF(A185&lt;&gt;"",IF(AND(#REF!&lt;&gt;"",#REF!&lt;&gt;"",#REF!&lt;&gt;0),#REF!/#REF!*100,"NA"),"")</f>
        <v/>
      </c>
      <c r="AF185" s="57" t="str">
        <f t="shared" si="27"/>
        <v/>
      </c>
      <c r="AG185" s="57" t="str">
        <f t="shared" si="28"/>
        <v/>
      </c>
      <c r="AH185" s="58" t="str">
        <f t="shared" si="29"/>
        <v/>
      </c>
      <c r="AV185" s="22" t="str">
        <f>IF(A185&lt;&gt;"",A185 &amp; "-" &amp;#REF! &amp; ROW(),"")</f>
        <v/>
      </c>
    </row>
    <row r="186" spans="11:48" x14ac:dyDescent="0.2">
      <c r="K186" s="11" t="str">
        <f>IF(AND(COUNTA(B186:C186)&gt;1,COUNTA(F186:G186)&gt;1,O186="Completed"),(G186-C186)/(C186-#REF!+1)%,"")</f>
        <v/>
      </c>
      <c r="L186" s="11" t="str">
        <f>IF(AND(COUNT(D186:E186)&gt;0,COUNTA(F186:G186)&gt;1,O186="Completed"),(G186-AG186)/(AG186-#REF!+1)%,"")</f>
        <v/>
      </c>
      <c r="M186" s="11" t="str">
        <f t="shared" si="24"/>
        <v/>
      </c>
      <c r="N186" s="11" t="str">
        <f t="shared" si="25"/>
        <v/>
      </c>
      <c r="O186" s="12"/>
      <c r="P186" s="12"/>
      <c r="R186" s="10" t="str">
        <f>IF(H186&lt;&gt;"",SUMIF(H$3:H186,"&lt;&gt;" &amp; "",H$3:H186),"")</f>
        <v/>
      </c>
      <c r="S186" s="10" t="str">
        <f t="array" ref="S186">IF(O186="Completed",SUMIF(W$3:W186,"&lt;&gt;" &amp; "",W$3:W186),"")</f>
        <v/>
      </c>
      <c r="T186" s="10" t="str">
        <f t="array" ref="T186">IF(AND(J186&lt;&gt;"",O186="Completed"),SUM(IF(O$3:O186="Completed",J$3:J186,0)),"")</f>
        <v/>
      </c>
      <c r="U186" s="10" t="str">
        <f t="shared" si="23"/>
        <v/>
      </c>
      <c r="V186" s="10">
        <f>ROW()</f>
        <v>186</v>
      </c>
      <c r="W186" s="10" t="str">
        <f t="shared" si="26"/>
        <v/>
      </c>
      <c r="Z186" s="10" t="str">
        <f>IF(A186&lt;&gt;"",'Metrics planning and tracking'!$K$4,"")</f>
        <v/>
      </c>
      <c r="AA186" s="10" t="str">
        <f>IF(A186&lt;&gt;"",'Metrics planning and tracking'!$K$5,"")</f>
        <v/>
      </c>
      <c r="AB186" s="10" t="str">
        <f>IF(A186&lt;&gt;"",'Metrics planning and tracking'!$K$2,"")</f>
        <v/>
      </c>
      <c r="AC186" s="10" t="str">
        <f>IF(A186&lt;&gt;"",'Metrics planning and tracking'!$K$3,"")</f>
        <v/>
      </c>
      <c r="AD186" s="10" t="str">
        <f>IF(A186&lt;&gt;"",IF(AND(#REF!&lt;&gt;"",#REF!&lt;&gt;"",#REF!&lt;&gt;0),#REF!/#REF!*100,"NA"),"")</f>
        <v/>
      </c>
      <c r="AE186" s="10" t="str">
        <f>IF(A186&lt;&gt;"",IF(AND(#REF!&lt;&gt;"",#REF!&lt;&gt;"",#REF!&lt;&gt;0),#REF!/#REF!*100,"NA"),"")</f>
        <v/>
      </c>
      <c r="AF186" s="57" t="str">
        <f t="shared" si="27"/>
        <v/>
      </c>
      <c r="AG186" s="57" t="str">
        <f t="shared" si="28"/>
        <v/>
      </c>
      <c r="AH186" s="58" t="str">
        <f t="shared" si="29"/>
        <v/>
      </c>
      <c r="AV186" s="22" t="str">
        <f>IF(A186&lt;&gt;"",A186 &amp; "-" &amp;#REF! &amp; ROW(),"")</f>
        <v/>
      </c>
    </row>
    <row r="187" spans="11:48" x14ac:dyDescent="0.2">
      <c r="K187" s="11" t="str">
        <f>IF(AND(COUNTA(B187:C187)&gt;1,COUNTA(F187:G187)&gt;1,O187="Completed"),(G187-C187)/(C187-#REF!+1)%,"")</f>
        <v/>
      </c>
      <c r="L187" s="11" t="str">
        <f>IF(AND(COUNT(D187:E187)&gt;0,COUNTA(F187:G187)&gt;1,O187="Completed"),(G187-AG187)/(AG187-#REF!+1)%,"")</f>
        <v/>
      </c>
      <c r="M187" s="11" t="str">
        <f t="shared" si="24"/>
        <v/>
      </c>
      <c r="N187" s="11" t="str">
        <f t="shared" si="25"/>
        <v/>
      </c>
      <c r="O187" s="12"/>
      <c r="P187" s="12"/>
      <c r="R187" s="10" t="str">
        <f>IF(H187&lt;&gt;"",SUMIF(H$3:H187,"&lt;&gt;" &amp; "",H$3:H187),"")</f>
        <v/>
      </c>
      <c r="S187" s="10" t="str">
        <f t="array" ref="S187">IF(O187="Completed",SUMIF(W$3:W187,"&lt;&gt;" &amp; "",W$3:W187),"")</f>
        <v/>
      </c>
      <c r="T187" s="10" t="str">
        <f t="array" ref="T187">IF(AND(J187&lt;&gt;"",O187="Completed"),SUM(IF(O$3:O187="Completed",J$3:J187,0)),"")</f>
        <v/>
      </c>
      <c r="U187" s="10" t="str">
        <f t="shared" si="23"/>
        <v/>
      </c>
      <c r="V187" s="10">
        <f>ROW()</f>
        <v>187</v>
      </c>
      <c r="W187" s="10" t="str">
        <f t="shared" si="26"/>
        <v/>
      </c>
      <c r="Z187" s="10" t="str">
        <f>IF(A187&lt;&gt;"",'Metrics planning and tracking'!$K$4,"")</f>
        <v/>
      </c>
      <c r="AA187" s="10" t="str">
        <f>IF(A187&lt;&gt;"",'Metrics planning and tracking'!$K$5,"")</f>
        <v/>
      </c>
      <c r="AB187" s="10" t="str">
        <f>IF(A187&lt;&gt;"",'Metrics planning and tracking'!$K$2,"")</f>
        <v/>
      </c>
      <c r="AC187" s="10" t="str">
        <f>IF(A187&lt;&gt;"",'Metrics planning and tracking'!$K$3,"")</f>
        <v/>
      </c>
      <c r="AD187" s="10" t="str">
        <f>IF(A187&lt;&gt;"",IF(AND(#REF!&lt;&gt;"",#REF!&lt;&gt;"",#REF!&lt;&gt;0),#REF!/#REF!*100,"NA"),"")</f>
        <v/>
      </c>
      <c r="AE187" s="10" t="str">
        <f>IF(A187&lt;&gt;"",IF(AND(#REF!&lt;&gt;"",#REF!&lt;&gt;"",#REF!&lt;&gt;0),#REF!/#REF!*100,"NA"),"")</f>
        <v/>
      </c>
      <c r="AF187" s="57" t="str">
        <f t="shared" si="27"/>
        <v/>
      </c>
      <c r="AG187" s="57" t="str">
        <f t="shared" si="28"/>
        <v/>
      </c>
      <c r="AH187" s="58" t="str">
        <f t="shared" si="29"/>
        <v/>
      </c>
      <c r="AV187" s="22" t="str">
        <f>IF(A187&lt;&gt;"",A187 &amp; "-" &amp;#REF! &amp; ROW(),"")</f>
        <v/>
      </c>
    </row>
    <row r="188" spans="11:48" x14ac:dyDescent="0.2">
      <c r="K188" s="11" t="str">
        <f>IF(AND(COUNTA(B188:C188)&gt;1,COUNTA(F188:G188)&gt;1,O188="Completed"),(G188-C188)/(C188-#REF!+1)%,"")</f>
        <v/>
      </c>
      <c r="L188" s="11" t="str">
        <f>IF(AND(COUNT(D188:E188)&gt;0,COUNTA(F188:G188)&gt;1,O188="Completed"),(G188-AG188)/(AG188-#REF!+1)%,"")</f>
        <v/>
      </c>
      <c r="M188" s="11" t="str">
        <f t="shared" si="24"/>
        <v/>
      </c>
      <c r="N188" s="11" t="str">
        <f t="shared" si="25"/>
        <v/>
      </c>
      <c r="O188" s="12"/>
      <c r="P188" s="12"/>
      <c r="R188" s="10" t="str">
        <f>IF(H188&lt;&gt;"",SUMIF(H$3:H188,"&lt;&gt;" &amp; "",H$3:H188),"")</f>
        <v/>
      </c>
      <c r="S188" s="10" t="str">
        <f t="array" ref="S188">IF(O188="Completed",SUMIF(W$3:W188,"&lt;&gt;" &amp; "",W$3:W188),"")</f>
        <v/>
      </c>
      <c r="T188" s="10" t="str">
        <f t="array" ref="T188">IF(AND(J188&lt;&gt;"",O188="Completed"),SUM(IF(O$3:O188="Completed",J$3:J188,0)),"")</f>
        <v/>
      </c>
      <c r="U188" s="10" t="str">
        <f t="shared" si="23"/>
        <v/>
      </c>
      <c r="V188" s="10">
        <f>ROW()</f>
        <v>188</v>
      </c>
      <c r="W188" s="10" t="str">
        <f t="shared" si="26"/>
        <v/>
      </c>
      <c r="Z188" s="10" t="str">
        <f>IF(A188&lt;&gt;"",'Metrics planning and tracking'!$K$4,"")</f>
        <v/>
      </c>
      <c r="AA188" s="10" t="str">
        <f>IF(A188&lt;&gt;"",'Metrics planning and tracking'!$K$5,"")</f>
        <v/>
      </c>
      <c r="AB188" s="10" t="str">
        <f>IF(A188&lt;&gt;"",'Metrics planning and tracking'!$K$2,"")</f>
        <v/>
      </c>
      <c r="AC188" s="10" t="str">
        <f>IF(A188&lt;&gt;"",'Metrics planning and tracking'!$K$3,"")</f>
        <v/>
      </c>
      <c r="AD188" s="10" t="str">
        <f>IF(A188&lt;&gt;"",IF(AND(#REF!&lt;&gt;"",#REF!&lt;&gt;"",#REF!&lt;&gt;0),#REF!/#REF!*100,"NA"),"")</f>
        <v/>
      </c>
      <c r="AE188" s="10" t="str">
        <f>IF(A188&lt;&gt;"",IF(AND(#REF!&lt;&gt;"",#REF!&lt;&gt;"",#REF!&lt;&gt;0),#REF!/#REF!*100,"NA"),"")</f>
        <v/>
      </c>
      <c r="AF188" s="57" t="str">
        <f t="shared" si="27"/>
        <v/>
      </c>
      <c r="AG188" s="57" t="str">
        <f t="shared" si="28"/>
        <v/>
      </c>
      <c r="AH188" s="58" t="str">
        <f t="shared" si="29"/>
        <v/>
      </c>
      <c r="AV188" s="22" t="str">
        <f>IF(A188&lt;&gt;"",A188 &amp; "-" &amp;#REF! &amp; ROW(),"")</f>
        <v/>
      </c>
    </row>
    <row r="189" spans="11:48" x14ac:dyDescent="0.2">
      <c r="K189" s="11" t="str">
        <f>IF(AND(COUNTA(B189:C189)&gt;1,COUNTA(F189:G189)&gt;1,O189="Completed"),(G189-C189)/(C189-#REF!+1)%,"")</f>
        <v/>
      </c>
      <c r="L189" s="11" t="str">
        <f>IF(AND(COUNT(D189:E189)&gt;0,COUNTA(F189:G189)&gt;1,O189="Completed"),(G189-AG189)/(AG189-#REF!+1)%,"")</f>
        <v/>
      </c>
      <c r="M189" s="11" t="str">
        <f t="shared" si="24"/>
        <v/>
      </c>
      <c r="N189" s="11" t="str">
        <f t="shared" si="25"/>
        <v/>
      </c>
      <c r="O189" s="12"/>
      <c r="P189" s="12"/>
      <c r="R189" s="10" t="str">
        <f>IF(H189&lt;&gt;"",SUMIF(H$3:H189,"&lt;&gt;" &amp; "",H$3:H189),"")</f>
        <v/>
      </c>
      <c r="S189" s="10" t="str">
        <f t="array" ref="S189">IF(O189="Completed",SUMIF(W$3:W189,"&lt;&gt;" &amp; "",W$3:W189),"")</f>
        <v/>
      </c>
      <c r="T189" s="10" t="str">
        <f t="array" ref="T189">IF(AND(J189&lt;&gt;"",O189="Completed"),SUM(IF(O$3:O189="Completed",J$3:J189,0)),"")</f>
        <v/>
      </c>
      <c r="U189" s="10" t="str">
        <f t="shared" si="23"/>
        <v/>
      </c>
      <c r="V189" s="10">
        <f>ROW()</f>
        <v>189</v>
      </c>
      <c r="W189" s="10" t="str">
        <f t="shared" si="26"/>
        <v/>
      </c>
      <c r="Z189" s="10" t="str">
        <f>IF(A189&lt;&gt;"",'Metrics planning and tracking'!$K$4,"")</f>
        <v/>
      </c>
      <c r="AA189" s="10" t="str">
        <f>IF(A189&lt;&gt;"",'Metrics planning and tracking'!$K$5,"")</f>
        <v/>
      </c>
      <c r="AB189" s="10" t="str">
        <f>IF(A189&lt;&gt;"",'Metrics planning and tracking'!$K$2,"")</f>
        <v/>
      </c>
      <c r="AC189" s="10" t="str">
        <f>IF(A189&lt;&gt;"",'Metrics planning and tracking'!$K$3,"")</f>
        <v/>
      </c>
      <c r="AD189" s="10" t="str">
        <f>IF(A189&lt;&gt;"",IF(AND(#REF!&lt;&gt;"",#REF!&lt;&gt;"",#REF!&lt;&gt;0),#REF!/#REF!*100,"NA"),"")</f>
        <v/>
      </c>
      <c r="AE189" s="10" t="str">
        <f>IF(A189&lt;&gt;"",IF(AND(#REF!&lt;&gt;"",#REF!&lt;&gt;"",#REF!&lt;&gt;0),#REF!/#REF!*100,"NA"),"")</f>
        <v/>
      </c>
      <c r="AF189" s="57" t="str">
        <f t="shared" si="27"/>
        <v/>
      </c>
      <c r="AG189" s="57" t="str">
        <f t="shared" si="28"/>
        <v/>
      </c>
      <c r="AH189" s="58" t="str">
        <f t="shared" si="29"/>
        <v/>
      </c>
      <c r="AV189" s="22" t="str">
        <f>IF(A189&lt;&gt;"",A189 &amp; "-" &amp;#REF! &amp; ROW(),"")</f>
        <v/>
      </c>
    </row>
    <row r="190" spans="11:48" x14ac:dyDescent="0.2">
      <c r="K190" s="11" t="str">
        <f>IF(AND(COUNTA(B190:C190)&gt;1,COUNTA(F190:G190)&gt;1,O190="Completed"),(G190-C190)/(C190-#REF!+1)%,"")</f>
        <v/>
      </c>
      <c r="L190" s="11" t="str">
        <f>IF(AND(COUNT(D190:E190)&gt;0,COUNTA(F190:G190)&gt;1,O190="Completed"),(G190-AG190)/(AG190-#REF!+1)%,"")</f>
        <v/>
      </c>
      <c r="M190" s="11" t="str">
        <f t="shared" si="24"/>
        <v/>
      </c>
      <c r="N190" s="11" t="str">
        <f t="shared" si="25"/>
        <v/>
      </c>
      <c r="O190" s="12"/>
      <c r="P190" s="12"/>
      <c r="R190" s="10" t="str">
        <f>IF(H190&lt;&gt;"",SUMIF(H$3:H190,"&lt;&gt;" &amp; "",H$3:H190),"")</f>
        <v/>
      </c>
      <c r="S190" s="10" t="str">
        <f t="array" ref="S190">IF(O190="Completed",SUMIF(W$3:W190,"&lt;&gt;" &amp; "",W$3:W190),"")</f>
        <v/>
      </c>
      <c r="T190" s="10" t="str">
        <f t="array" ref="T190">IF(AND(J190&lt;&gt;"",O190="Completed"),SUM(IF(O$3:O190="Completed",J$3:J190,0)),"")</f>
        <v/>
      </c>
      <c r="U190" s="10" t="str">
        <f t="shared" si="23"/>
        <v/>
      </c>
      <c r="V190" s="10">
        <f>ROW()</f>
        <v>190</v>
      </c>
      <c r="W190" s="10" t="str">
        <f t="shared" si="26"/>
        <v/>
      </c>
      <c r="Z190" s="10" t="str">
        <f>IF(A190&lt;&gt;"",'Metrics planning and tracking'!$K$4,"")</f>
        <v/>
      </c>
      <c r="AA190" s="10" t="str">
        <f>IF(A190&lt;&gt;"",'Metrics planning and tracking'!$K$5,"")</f>
        <v/>
      </c>
      <c r="AB190" s="10" t="str">
        <f>IF(A190&lt;&gt;"",'Metrics planning and tracking'!$K$2,"")</f>
        <v/>
      </c>
      <c r="AC190" s="10" t="str">
        <f>IF(A190&lt;&gt;"",'Metrics planning and tracking'!$K$3,"")</f>
        <v/>
      </c>
      <c r="AD190" s="10" t="str">
        <f>IF(A190&lt;&gt;"",IF(AND(#REF!&lt;&gt;"",#REF!&lt;&gt;"",#REF!&lt;&gt;0),#REF!/#REF!*100,"NA"),"")</f>
        <v/>
      </c>
      <c r="AE190" s="10" t="str">
        <f>IF(A190&lt;&gt;"",IF(AND(#REF!&lt;&gt;"",#REF!&lt;&gt;"",#REF!&lt;&gt;0),#REF!/#REF!*100,"NA"),"")</f>
        <v/>
      </c>
      <c r="AF190" s="57" t="str">
        <f t="shared" si="27"/>
        <v/>
      </c>
      <c r="AG190" s="57" t="str">
        <f t="shared" si="28"/>
        <v/>
      </c>
      <c r="AH190" s="58" t="str">
        <f t="shared" si="29"/>
        <v/>
      </c>
      <c r="AV190" s="22" t="str">
        <f>IF(A190&lt;&gt;"",A190 &amp; "-" &amp;#REF! &amp; ROW(),"")</f>
        <v/>
      </c>
    </row>
    <row r="191" spans="11:48" x14ac:dyDescent="0.2">
      <c r="K191" s="11" t="str">
        <f>IF(AND(COUNTA(B191:C191)&gt;1,COUNTA(F191:G191)&gt;1,O191="Completed"),(G191-C191)/(C191-#REF!+1)%,"")</f>
        <v/>
      </c>
      <c r="L191" s="11" t="str">
        <f>IF(AND(COUNT(D191:E191)&gt;0,COUNTA(F191:G191)&gt;1,O191="Completed"),(G191-AG191)/(AG191-#REF!+1)%,"")</f>
        <v/>
      </c>
      <c r="M191" s="11" t="str">
        <f t="shared" si="24"/>
        <v/>
      </c>
      <c r="N191" s="11" t="str">
        <f t="shared" si="25"/>
        <v/>
      </c>
      <c r="O191" s="12"/>
      <c r="P191" s="12"/>
      <c r="R191" s="10" t="str">
        <f>IF(H191&lt;&gt;"",SUMIF(H$3:H191,"&lt;&gt;" &amp; "",H$3:H191),"")</f>
        <v/>
      </c>
      <c r="S191" s="10" t="str">
        <f t="array" ref="S191">IF(O191="Completed",SUMIF(W$3:W191,"&lt;&gt;" &amp; "",W$3:W191),"")</f>
        <v/>
      </c>
      <c r="T191" s="10" t="str">
        <f t="array" ref="T191">IF(AND(J191&lt;&gt;"",O191="Completed"),SUM(IF(O$3:O191="Completed",J$3:J191,0)),"")</f>
        <v/>
      </c>
      <c r="U191" s="10" t="str">
        <f t="shared" si="23"/>
        <v/>
      </c>
      <c r="V191" s="10">
        <f>ROW()</f>
        <v>191</v>
      </c>
      <c r="W191" s="10" t="str">
        <f t="shared" si="26"/>
        <v/>
      </c>
      <c r="Z191" s="10" t="str">
        <f>IF(A191&lt;&gt;"",'Metrics planning and tracking'!$K$4,"")</f>
        <v/>
      </c>
      <c r="AA191" s="10" t="str">
        <f>IF(A191&lt;&gt;"",'Metrics planning and tracking'!$K$5,"")</f>
        <v/>
      </c>
      <c r="AB191" s="10" t="str">
        <f>IF(A191&lt;&gt;"",'Metrics planning and tracking'!$K$2,"")</f>
        <v/>
      </c>
      <c r="AC191" s="10" t="str">
        <f>IF(A191&lt;&gt;"",'Metrics planning and tracking'!$K$3,"")</f>
        <v/>
      </c>
      <c r="AD191" s="10" t="str">
        <f>IF(A191&lt;&gt;"",IF(AND(#REF!&lt;&gt;"",#REF!&lt;&gt;"",#REF!&lt;&gt;0),#REF!/#REF!*100,"NA"),"")</f>
        <v/>
      </c>
      <c r="AE191" s="10" t="str">
        <f>IF(A191&lt;&gt;"",IF(AND(#REF!&lt;&gt;"",#REF!&lt;&gt;"",#REF!&lt;&gt;0),#REF!/#REF!*100,"NA"),"")</f>
        <v/>
      </c>
      <c r="AF191" s="57" t="str">
        <f t="shared" si="27"/>
        <v/>
      </c>
      <c r="AG191" s="57" t="str">
        <f t="shared" si="28"/>
        <v/>
      </c>
      <c r="AH191" s="58" t="str">
        <f t="shared" si="29"/>
        <v/>
      </c>
      <c r="AV191" s="22" t="str">
        <f>IF(A191&lt;&gt;"",A191 &amp; "-" &amp;#REF! &amp; ROW(),"")</f>
        <v/>
      </c>
    </row>
    <row r="192" spans="11:48" x14ac:dyDescent="0.2">
      <c r="K192" s="11" t="str">
        <f>IF(AND(COUNTA(B192:C192)&gt;1,COUNTA(F192:G192)&gt;1,O192="Completed"),(G192-C192)/(C192-#REF!+1)%,"")</f>
        <v/>
      </c>
      <c r="L192" s="11" t="str">
        <f>IF(AND(COUNT(D192:E192)&gt;0,COUNTA(F192:G192)&gt;1,O192="Completed"),(G192-AG192)/(AG192-#REF!+1)%,"")</f>
        <v/>
      </c>
      <c r="M192" s="11" t="str">
        <f t="shared" si="24"/>
        <v/>
      </c>
      <c r="N192" s="11" t="str">
        <f t="shared" si="25"/>
        <v/>
      </c>
      <c r="O192" s="12"/>
      <c r="P192" s="12"/>
      <c r="R192" s="10" t="str">
        <f>IF(H192&lt;&gt;"",SUMIF(H$3:H192,"&lt;&gt;" &amp; "",H$3:H192),"")</f>
        <v/>
      </c>
      <c r="S192" s="10" t="str">
        <f t="array" ref="S192">IF(O192="Completed",SUMIF(W$3:W192,"&lt;&gt;" &amp; "",W$3:W192),"")</f>
        <v/>
      </c>
      <c r="T192" s="10" t="str">
        <f t="array" ref="T192">IF(AND(J192&lt;&gt;"",O192="Completed"),SUM(IF(O$3:O192="Completed",J$3:J192,0)),"")</f>
        <v/>
      </c>
      <c r="U192" s="10" t="str">
        <f t="shared" si="23"/>
        <v/>
      </c>
      <c r="V192" s="10">
        <f>ROW()</f>
        <v>192</v>
      </c>
      <c r="W192" s="10" t="str">
        <f t="shared" si="26"/>
        <v/>
      </c>
      <c r="Z192" s="10" t="str">
        <f>IF(A192&lt;&gt;"",'Metrics planning and tracking'!$K$4,"")</f>
        <v/>
      </c>
      <c r="AA192" s="10" t="str">
        <f>IF(A192&lt;&gt;"",'Metrics planning and tracking'!$K$5,"")</f>
        <v/>
      </c>
      <c r="AB192" s="10" t="str">
        <f>IF(A192&lt;&gt;"",'Metrics planning and tracking'!$K$2,"")</f>
        <v/>
      </c>
      <c r="AC192" s="10" t="str">
        <f>IF(A192&lt;&gt;"",'Metrics planning and tracking'!$K$3,"")</f>
        <v/>
      </c>
      <c r="AD192" s="10" t="str">
        <f>IF(A192&lt;&gt;"",IF(AND(#REF!&lt;&gt;"",#REF!&lt;&gt;"",#REF!&lt;&gt;0),#REF!/#REF!*100,"NA"),"")</f>
        <v/>
      </c>
      <c r="AE192" s="10" t="str">
        <f>IF(A192&lt;&gt;"",IF(AND(#REF!&lt;&gt;"",#REF!&lt;&gt;"",#REF!&lt;&gt;0),#REF!/#REF!*100,"NA"),"")</f>
        <v/>
      </c>
      <c r="AF192" s="57" t="str">
        <f t="shared" si="27"/>
        <v/>
      </c>
      <c r="AG192" s="57" t="str">
        <f t="shared" si="28"/>
        <v/>
      </c>
      <c r="AH192" s="58" t="str">
        <f t="shared" si="29"/>
        <v/>
      </c>
      <c r="AV192" s="22" t="str">
        <f>IF(A192&lt;&gt;"",A192 &amp; "-" &amp;#REF! &amp; ROW(),"")</f>
        <v/>
      </c>
    </row>
    <row r="193" spans="11:48" x14ac:dyDescent="0.2">
      <c r="K193" s="11" t="str">
        <f>IF(AND(COUNTA(B193:C193)&gt;1,COUNTA(F193:G193)&gt;1,O193="Completed"),(G193-C193)/(C193-#REF!+1)%,"")</f>
        <v/>
      </c>
      <c r="L193" s="11" t="str">
        <f>IF(AND(COUNT(D193:E193)&gt;0,COUNTA(F193:G193)&gt;1,O193="Completed"),(G193-AG193)/(AG193-#REF!+1)%,"")</f>
        <v/>
      </c>
      <c r="M193" s="11" t="str">
        <f t="shared" si="24"/>
        <v/>
      </c>
      <c r="N193" s="11" t="str">
        <f t="shared" si="25"/>
        <v/>
      </c>
      <c r="O193" s="12"/>
      <c r="P193" s="12"/>
      <c r="R193" s="10" t="str">
        <f>IF(H193&lt;&gt;"",SUMIF(H$3:H193,"&lt;&gt;" &amp; "",H$3:H193),"")</f>
        <v/>
      </c>
      <c r="S193" s="10" t="str">
        <f t="array" ref="S193">IF(O193="Completed",SUMIF(W$3:W193,"&lt;&gt;" &amp; "",W$3:W193),"")</f>
        <v/>
      </c>
      <c r="T193" s="10" t="str">
        <f t="array" ref="T193">IF(AND(J193&lt;&gt;"",O193="Completed"),SUM(IF(O$3:O193="Completed",J$3:J193,0)),"")</f>
        <v/>
      </c>
      <c r="U193" s="10" t="str">
        <f t="shared" si="23"/>
        <v/>
      </c>
      <c r="V193" s="10">
        <f>ROW()</f>
        <v>193</v>
      </c>
      <c r="W193" s="10" t="str">
        <f t="shared" si="26"/>
        <v/>
      </c>
      <c r="Z193" s="10" t="str">
        <f>IF(A193&lt;&gt;"",'Metrics planning and tracking'!$K$4,"")</f>
        <v/>
      </c>
      <c r="AA193" s="10" t="str">
        <f>IF(A193&lt;&gt;"",'Metrics planning and tracking'!$K$5,"")</f>
        <v/>
      </c>
      <c r="AB193" s="10" t="str">
        <f>IF(A193&lt;&gt;"",'Metrics planning and tracking'!$K$2,"")</f>
        <v/>
      </c>
      <c r="AC193" s="10" t="str">
        <f>IF(A193&lt;&gt;"",'Metrics planning and tracking'!$K$3,"")</f>
        <v/>
      </c>
      <c r="AD193" s="10" t="str">
        <f>IF(A193&lt;&gt;"",IF(AND(#REF!&lt;&gt;"",#REF!&lt;&gt;"",#REF!&lt;&gt;0),#REF!/#REF!*100,"NA"),"")</f>
        <v/>
      </c>
      <c r="AE193" s="10" t="str">
        <f>IF(A193&lt;&gt;"",IF(AND(#REF!&lt;&gt;"",#REF!&lt;&gt;"",#REF!&lt;&gt;0),#REF!/#REF!*100,"NA"),"")</f>
        <v/>
      </c>
      <c r="AF193" s="57" t="str">
        <f t="shared" si="27"/>
        <v/>
      </c>
      <c r="AG193" s="57" t="str">
        <f t="shared" si="28"/>
        <v/>
      </c>
      <c r="AH193" s="58" t="str">
        <f t="shared" si="29"/>
        <v/>
      </c>
      <c r="AV193" s="22" t="str">
        <f>IF(A193&lt;&gt;"",A193 &amp; "-" &amp;#REF! &amp; ROW(),"")</f>
        <v/>
      </c>
    </row>
    <row r="194" spans="11:48" x14ac:dyDescent="0.2">
      <c r="K194" s="11" t="str">
        <f>IF(AND(COUNTA(B194:C194)&gt;1,COUNTA(F194:G194)&gt;1,O194="Completed"),(G194-C194)/(C194-#REF!+1)%,"")</f>
        <v/>
      </c>
      <c r="L194" s="11" t="str">
        <f>IF(AND(COUNT(D194:E194)&gt;0,COUNTA(F194:G194)&gt;1,O194="Completed"),(G194-AG194)/(AG194-#REF!+1)%,"")</f>
        <v/>
      </c>
      <c r="M194" s="11" t="str">
        <f t="shared" si="24"/>
        <v/>
      </c>
      <c r="N194" s="11" t="str">
        <f t="shared" si="25"/>
        <v/>
      </c>
      <c r="O194" s="12"/>
      <c r="P194" s="12"/>
      <c r="R194" s="10" t="str">
        <f>IF(H194&lt;&gt;"",SUMIF(H$3:H194,"&lt;&gt;" &amp; "",H$3:H194),"")</f>
        <v/>
      </c>
      <c r="S194" s="10" t="str">
        <f t="array" ref="S194">IF(O194="Completed",SUMIF(W$3:W194,"&lt;&gt;" &amp; "",W$3:W194),"")</f>
        <v/>
      </c>
      <c r="T194" s="10" t="str">
        <f t="array" ref="T194">IF(AND(J194&lt;&gt;"",O194="Completed"),SUM(IF(O$3:O194="Completed",J$3:J194,0)),"")</f>
        <v/>
      </c>
      <c r="U194" s="10" t="str">
        <f t="shared" si="23"/>
        <v/>
      </c>
      <c r="V194" s="10">
        <f>ROW()</f>
        <v>194</v>
      </c>
      <c r="W194" s="10" t="str">
        <f t="shared" si="26"/>
        <v/>
      </c>
      <c r="Z194" s="10" t="str">
        <f>IF(A194&lt;&gt;"",'Metrics planning and tracking'!$K$4,"")</f>
        <v/>
      </c>
      <c r="AA194" s="10" t="str">
        <f>IF(A194&lt;&gt;"",'Metrics planning and tracking'!$K$5,"")</f>
        <v/>
      </c>
      <c r="AB194" s="10" t="str">
        <f>IF(A194&lt;&gt;"",'Metrics planning and tracking'!$K$2,"")</f>
        <v/>
      </c>
      <c r="AC194" s="10" t="str">
        <f>IF(A194&lt;&gt;"",'Metrics planning and tracking'!$K$3,"")</f>
        <v/>
      </c>
      <c r="AD194" s="10" t="str">
        <f>IF(A194&lt;&gt;"",IF(AND(#REF!&lt;&gt;"",#REF!&lt;&gt;"",#REF!&lt;&gt;0),#REF!/#REF!*100,"NA"),"")</f>
        <v/>
      </c>
      <c r="AE194" s="10" t="str">
        <f>IF(A194&lt;&gt;"",IF(AND(#REF!&lt;&gt;"",#REF!&lt;&gt;"",#REF!&lt;&gt;0),#REF!/#REF!*100,"NA"),"")</f>
        <v/>
      </c>
      <c r="AF194" s="57" t="str">
        <f t="shared" si="27"/>
        <v/>
      </c>
      <c r="AG194" s="57" t="str">
        <f t="shared" si="28"/>
        <v/>
      </c>
      <c r="AH194" s="58" t="str">
        <f t="shared" si="29"/>
        <v/>
      </c>
      <c r="AV194" s="22" t="str">
        <f>IF(A194&lt;&gt;"",A194 &amp; "-" &amp;#REF! &amp; ROW(),"")</f>
        <v/>
      </c>
    </row>
    <row r="195" spans="11:48" x14ac:dyDescent="0.2">
      <c r="K195" s="11" t="str">
        <f>IF(AND(COUNTA(B195:C195)&gt;1,COUNTA(F195:G195)&gt;1,O195="Completed"),(G195-C195)/(C195-#REF!+1)%,"")</f>
        <v/>
      </c>
      <c r="L195" s="11" t="str">
        <f>IF(AND(COUNT(D195:E195)&gt;0,COUNTA(F195:G195)&gt;1,O195="Completed"),(G195-AG195)/(AG195-#REF!+1)%,"")</f>
        <v/>
      </c>
      <c r="M195" s="11" t="str">
        <f t="shared" si="24"/>
        <v/>
      </c>
      <c r="N195" s="11" t="str">
        <f t="shared" si="25"/>
        <v/>
      </c>
      <c r="O195" s="12"/>
      <c r="P195" s="12"/>
      <c r="R195" s="10" t="str">
        <f>IF(H195&lt;&gt;"",SUMIF(H$3:H195,"&lt;&gt;" &amp; "",H$3:H195),"")</f>
        <v/>
      </c>
      <c r="S195" s="10" t="str">
        <f t="array" ref="S195">IF(O195="Completed",SUMIF(W$3:W195,"&lt;&gt;" &amp; "",W$3:W195),"")</f>
        <v/>
      </c>
      <c r="T195" s="10" t="str">
        <f t="array" ref="T195">IF(AND(J195&lt;&gt;"",O195="Completed"),SUM(IF(O$3:O195="Completed",J$3:J195,0)),"")</f>
        <v/>
      </c>
      <c r="U195" s="10" t="str">
        <f t="shared" ref="U195:U258" si="30">IF(AND(A195&lt;&gt;"",P195="Yes"),ROW(),"")</f>
        <v/>
      </c>
      <c r="V195" s="10">
        <f>ROW()</f>
        <v>195</v>
      </c>
      <c r="W195" s="10" t="str">
        <f t="shared" si="26"/>
        <v/>
      </c>
      <c r="Z195" s="10" t="str">
        <f>IF(A195&lt;&gt;"",'Metrics planning and tracking'!$K$4,"")</f>
        <v/>
      </c>
      <c r="AA195" s="10" t="str">
        <f>IF(A195&lt;&gt;"",'Metrics planning and tracking'!$K$5,"")</f>
        <v/>
      </c>
      <c r="AB195" s="10" t="str">
        <f>IF(A195&lt;&gt;"",'Metrics planning and tracking'!$K$2,"")</f>
        <v/>
      </c>
      <c r="AC195" s="10" t="str">
        <f>IF(A195&lt;&gt;"",'Metrics planning and tracking'!$K$3,"")</f>
        <v/>
      </c>
      <c r="AD195" s="10" t="str">
        <f>IF(A195&lt;&gt;"",IF(AND(#REF!&lt;&gt;"",#REF!&lt;&gt;"",#REF!&lt;&gt;0),#REF!/#REF!*100,"NA"),"")</f>
        <v/>
      </c>
      <c r="AE195" s="10" t="str">
        <f>IF(A195&lt;&gt;"",IF(AND(#REF!&lt;&gt;"",#REF!&lt;&gt;"",#REF!&lt;&gt;0),#REF!/#REF!*100,"NA"),"")</f>
        <v/>
      </c>
      <c r="AF195" s="57" t="str">
        <f t="shared" si="27"/>
        <v/>
      </c>
      <c r="AG195" s="57" t="str">
        <f t="shared" si="28"/>
        <v/>
      </c>
      <c r="AH195" s="58" t="str">
        <f t="shared" si="29"/>
        <v/>
      </c>
      <c r="AV195" s="22" t="str">
        <f>IF(A195&lt;&gt;"",A195 &amp; "-" &amp;#REF! &amp; ROW(),"")</f>
        <v/>
      </c>
    </row>
    <row r="196" spans="11:48" x14ac:dyDescent="0.2">
      <c r="K196" s="11" t="str">
        <f>IF(AND(COUNTA(B196:C196)&gt;1,COUNTA(F196:G196)&gt;1,O196="Completed"),(G196-C196)/(C196-#REF!+1)%,"")</f>
        <v/>
      </c>
      <c r="L196" s="11" t="str">
        <f>IF(AND(COUNT(D196:E196)&gt;0,COUNTA(F196:G196)&gt;1,O196="Completed"),(G196-AG196)/(AG196-#REF!+1)%,"")</f>
        <v/>
      </c>
      <c r="M196" s="11" t="str">
        <f t="shared" si="24"/>
        <v/>
      </c>
      <c r="N196" s="11" t="str">
        <f t="shared" si="25"/>
        <v/>
      </c>
      <c r="O196" s="12"/>
      <c r="P196" s="12"/>
      <c r="R196" s="10" t="str">
        <f>IF(H196&lt;&gt;"",SUMIF(H$3:H196,"&lt;&gt;" &amp; "",H$3:H196),"")</f>
        <v/>
      </c>
      <c r="S196" s="10" t="str">
        <f t="array" ref="S196">IF(O196="Completed",SUMIF(W$3:W196,"&lt;&gt;" &amp; "",W$3:W196),"")</f>
        <v/>
      </c>
      <c r="T196" s="10" t="str">
        <f t="array" ref="T196">IF(AND(J196&lt;&gt;"",O196="Completed"),SUM(IF(O$3:O196="Completed",J$3:J196,0)),"")</f>
        <v/>
      </c>
      <c r="U196" s="10" t="str">
        <f t="shared" si="30"/>
        <v/>
      </c>
      <c r="V196" s="10">
        <f>ROW()</f>
        <v>196</v>
      </c>
      <c r="W196" s="10" t="str">
        <f t="shared" si="26"/>
        <v/>
      </c>
      <c r="Z196" s="10" t="str">
        <f>IF(A196&lt;&gt;"",'Metrics planning and tracking'!$K$4,"")</f>
        <v/>
      </c>
      <c r="AA196" s="10" t="str">
        <f>IF(A196&lt;&gt;"",'Metrics planning and tracking'!$K$5,"")</f>
        <v/>
      </c>
      <c r="AB196" s="10" t="str">
        <f>IF(A196&lt;&gt;"",'Metrics planning and tracking'!$K$2,"")</f>
        <v/>
      </c>
      <c r="AC196" s="10" t="str">
        <f>IF(A196&lt;&gt;"",'Metrics planning and tracking'!$K$3,"")</f>
        <v/>
      </c>
      <c r="AD196" s="10" t="str">
        <f>IF(A196&lt;&gt;"",IF(AND(#REF!&lt;&gt;"",#REF!&lt;&gt;"",#REF!&lt;&gt;0),#REF!/#REF!*100,"NA"),"")</f>
        <v/>
      </c>
      <c r="AE196" s="10" t="str">
        <f>IF(A196&lt;&gt;"",IF(AND(#REF!&lt;&gt;"",#REF!&lt;&gt;"",#REF!&lt;&gt;0),#REF!/#REF!*100,"NA"),"")</f>
        <v/>
      </c>
      <c r="AF196" s="57" t="str">
        <f t="shared" si="27"/>
        <v/>
      </c>
      <c r="AG196" s="57" t="str">
        <f t="shared" si="28"/>
        <v/>
      </c>
      <c r="AH196" s="58" t="str">
        <f t="shared" si="29"/>
        <v/>
      </c>
      <c r="AV196" s="22" t="str">
        <f>IF(A196&lt;&gt;"",A196 &amp; "-" &amp;#REF! &amp; ROW(),"")</f>
        <v/>
      </c>
    </row>
    <row r="197" spans="11:48" x14ac:dyDescent="0.2">
      <c r="K197" s="11" t="str">
        <f>IF(AND(COUNTA(B197:C197)&gt;1,COUNTA(F197:G197)&gt;1,O197="Completed"),(G197-C197)/(C197-#REF!+1)%,"")</f>
        <v/>
      </c>
      <c r="L197" s="11" t="str">
        <f>IF(AND(COUNT(D197:E197)&gt;0,COUNTA(F197:G197)&gt;1,O197="Completed"),(G197-AG197)/(AG197-#REF!+1)%,"")</f>
        <v/>
      </c>
      <c r="M197" s="11" t="str">
        <f t="shared" si="24"/>
        <v/>
      </c>
      <c r="N197" s="11" t="str">
        <f t="shared" si="25"/>
        <v/>
      </c>
      <c r="O197" s="12"/>
      <c r="P197" s="12"/>
      <c r="R197" s="10" t="str">
        <f>IF(H197&lt;&gt;"",SUMIF(H$3:H197,"&lt;&gt;" &amp; "",H$3:H197),"")</f>
        <v/>
      </c>
      <c r="S197" s="10" t="str">
        <f t="array" ref="S197">IF(O197="Completed",SUMIF(W$3:W197,"&lt;&gt;" &amp; "",W$3:W197),"")</f>
        <v/>
      </c>
      <c r="T197" s="10" t="str">
        <f t="array" ref="T197">IF(AND(J197&lt;&gt;"",O197="Completed"),SUM(IF(O$3:O197="Completed",J$3:J197,0)),"")</f>
        <v/>
      </c>
      <c r="U197" s="10" t="str">
        <f t="shared" si="30"/>
        <v/>
      </c>
      <c r="V197" s="10">
        <f>ROW()</f>
        <v>197</v>
      </c>
      <c r="W197" s="10" t="str">
        <f t="shared" si="26"/>
        <v/>
      </c>
      <c r="Z197" s="10" t="str">
        <f>IF(A197&lt;&gt;"",'Metrics planning and tracking'!$K$4,"")</f>
        <v/>
      </c>
      <c r="AA197" s="10" t="str">
        <f>IF(A197&lt;&gt;"",'Metrics planning and tracking'!$K$5,"")</f>
        <v/>
      </c>
      <c r="AB197" s="10" t="str">
        <f>IF(A197&lt;&gt;"",'Metrics planning and tracking'!$K$2,"")</f>
        <v/>
      </c>
      <c r="AC197" s="10" t="str">
        <f>IF(A197&lt;&gt;"",'Metrics planning and tracking'!$K$3,"")</f>
        <v/>
      </c>
      <c r="AD197" s="10" t="str">
        <f>IF(A197&lt;&gt;"",IF(AND(#REF!&lt;&gt;"",#REF!&lt;&gt;"",#REF!&lt;&gt;0),#REF!/#REF!*100,"NA"),"")</f>
        <v/>
      </c>
      <c r="AE197" s="10" t="str">
        <f>IF(A197&lt;&gt;"",IF(AND(#REF!&lt;&gt;"",#REF!&lt;&gt;"",#REF!&lt;&gt;0),#REF!/#REF!*100,"NA"),"")</f>
        <v/>
      </c>
      <c r="AF197" s="57" t="str">
        <f t="shared" si="27"/>
        <v/>
      </c>
      <c r="AG197" s="57" t="str">
        <f t="shared" si="28"/>
        <v/>
      </c>
      <c r="AH197" s="58" t="str">
        <f t="shared" si="29"/>
        <v/>
      </c>
      <c r="AV197" s="22" t="str">
        <f>IF(A197&lt;&gt;"",A197 &amp; "-" &amp;#REF! &amp; ROW(),"")</f>
        <v/>
      </c>
    </row>
    <row r="198" spans="11:48" x14ac:dyDescent="0.2">
      <c r="K198" s="11" t="str">
        <f>IF(AND(COUNTA(B198:C198)&gt;1,COUNTA(F198:G198)&gt;1,O198="Completed"),(G198-C198)/(C198-#REF!+1)%,"")</f>
        <v/>
      </c>
      <c r="L198" s="11" t="str">
        <f>IF(AND(COUNT(D198:E198)&gt;0,COUNTA(F198:G198)&gt;1,O198="Completed"),(G198-AG198)/(AG198-#REF!+1)%,"")</f>
        <v/>
      </c>
      <c r="M198" s="11" t="str">
        <f t="shared" si="24"/>
        <v/>
      </c>
      <c r="N198" s="11" t="str">
        <f t="shared" si="25"/>
        <v/>
      </c>
      <c r="O198" s="12"/>
      <c r="P198" s="12"/>
      <c r="R198" s="10" t="str">
        <f>IF(H198&lt;&gt;"",SUMIF(H$3:H198,"&lt;&gt;" &amp; "",H$3:H198),"")</f>
        <v/>
      </c>
      <c r="S198" s="10" t="str">
        <f t="array" ref="S198">IF(O198="Completed",SUMIF(W$3:W198,"&lt;&gt;" &amp; "",W$3:W198),"")</f>
        <v/>
      </c>
      <c r="T198" s="10" t="str">
        <f t="array" ref="T198">IF(AND(J198&lt;&gt;"",O198="Completed"),SUM(IF(O$3:O198="Completed",J$3:J198,0)),"")</f>
        <v/>
      </c>
      <c r="U198" s="10" t="str">
        <f t="shared" si="30"/>
        <v/>
      </c>
      <c r="V198" s="10">
        <f>ROW()</f>
        <v>198</v>
      </c>
      <c r="W198" s="10" t="str">
        <f t="shared" si="26"/>
        <v/>
      </c>
      <c r="Z198" s="10" t="str">
        <f>IF(A198&lt;&gt;"",'Metrics planning and tracking'!$K$4,"")</f>
        <v/>
      </c>
      <c r="AA198" s="10" t="str">
        <f>IF(A198&lt;&gt;"",'Metrics planning and tracking'!$K$5,"")</f>
        <v/>
      </c>
      <c r="AB198" s="10" t="str">
        <f>IF(A198&lt;&gt;"",'Metrics planning and tracking'!$K$2,"")</f>
        <v/>
      </c>
      <c r="AC198" s="10" t="str">
        <f>IF(A198&lt;&gt;"",'Metrics planning and tracking'!$K$3,"")</f>
        <v/>
      </c>
      <c r="AD198" s="10" t="str">
        <f>IF(A198&lt;&gt;"",IF(AND(#REF!&lt;&gt;"",#REF!&lt;&gt;"",#REF!&lt;&gt;0),#REF!/#REF!*100,"NA"),"")</f>
        <v/>
      </c>
      <c r="AE198" s="10" t="str">
        <f>IF(A198&lt;&gt;"",IF(AND(#REF!&lt;&gt;"",#REF!&lt;&gt;"",#REF!&lt;&gt;0),#REF!/#REF!*100,"NA"),"")</f>
        <v/>
      </c>
      <c r="AF198" s="57" t="str">
        <f t="shared" si="27"/>
        <v/>
      </c>
      <c r="AG198" s="57" t="str">
        <f t="shared" si="28"/>
        <v/>
      </c>
      <c r="AH198" s="58" t="str">
        <f t="shared" si="29"/>
        <v/>
      </c>
      <c r="AV198" s="22" t="str">
        <f>IF(A198&lt;&gt;"",A198 &amp; "-" &amp;#REF! &amp; ROW(),"")</f>
        <v/>
      </c>
    </row>
    <row r="199" spans="11:48" x14ac:dyDescent="0.2">
      <c r="K199" s="11" t="str">
        <f>IF(AND(COUNTA(B199:C199)&gt;1,COUNTA(F199:G199)&gt;1,O199="Completed"),(G199-C199)/(C199-#REF!+1)%,"")</f>
        <v/>
      </c>
      <c r="L199" s="11" t="str">
        <f>IF(AND(COUNT(D199:E199)&gt;0,COUNTA(F199:G199)&gt;1,O199="Completed"),(G199-AG199)/(AG199-#REF!+1)%,"")</f>
        <v/>
      </c>
      <c r="M199" s="11" t="str">
        <f t="shared" si="24"/>
        <v/>
      </c>
      <c r="N199" s="11" t="str">
        <f t="shared" si="25"/>
        <v/>
      </c>
      <c r="O199" s="12"/>
      <c r="P199" s="12"/>
      <c r="R199" s="10" t="str">
        <f>IF(H199&lt;&gt;"",SUMIF(H$3:H199,"&lt;&gt;" &amp; "",H$3:H199),"")</f>
        <v/>
      </c>
      <c r="S199" s="10" t="str">
        <f t="array" ref="S199">IF(O199="Completed",SUMIF(W$3:W199,"&lt;&gt;" &amp; "",W$3:W199),"")</f>
        <v/>
      </c>
      <c r="T199" s="10" t="str">
        <f t="array" ref="T199">IF(AND(J199&lt;&gt;"",O199="Completed"),SUM(IF(O$3:O199="Completed",J$3:J199,0)),"")</f>
        <v/>
      </c>
      <c r="U199" s="10" t="str">
        <f t="shared" si="30"/>
        <v/>
      </c>
      <c r="V199" s="10">
        <f>ROW()</f>
        <v>199</v>
      </c>
      <c r="W199" s="10" t="str">
        <f t="shared" si="26"/>
        <v/>
      </c>
      <c r="Z199" s="10" t="str">
        <f>IF(A199&lt;&gt;"",'Metrics planning and tracking'!$K$4,"")</f>
        <v/>
      </c>
      <c r="AA199" s="10" t="str">
        <f>IF(A199&lt;&gt;"",'Metrics planning and tracking'!$K$5,"")</f>
        <v/>
      </c>
      <c r="AB199" s="10" t="str">
        <f>IF(A199&lt;&gt;"",'Metrics planning and tracking'!$K$2,"")</f>
        <v/>
      </c>
      <c r="AC199" s="10" t="str">
        <f>IF(A199&lt;&gt;"",'Metrics planning and tracking'!$K$3,"")</f>
        <v/>
      </c>
      <c r="AD199" s="10" t="str">
        <f>IF(A199&lt;&gt;"",IF(AND(#REF!&lt;&gt;"",#REF!&lt;&gt;"",#REF!&lt;&gt;0),#REF!/#REF!*100,"NA"),"")</f>
        <v/>
      </c>
      <c r="AE199" s="10" t="str">
        <f>IF(A199&lt;&gt;"",IF(AND(#REF!&lt;&gt;"",#REF!&lt;&gt;"",#REF!&lt;&gt;0),#REF!/#REF!*100,"NA"),"")</f>
        <v/>
      </c>
      <c r="AF199" s="57" t="str">
        <f t="shared" si="27"/>
        <v/>
      </c>
      <c r="AG199" s="57" t="str">
        <f t="shared" si="28"/>
        <v/>
      </c>
      <c r="AH199" s="58" t="str">
        <f t="shared" si="29"/>
        <v/>
      </c>
      <c r="AV199" s="22" t="str">
        <f>IF(A199&lt;&gt;"",A199 &amp; "-" &amp;#REF! &amp; ROW(),"")</f>
        <v/>
      </c>
    </row>
    <row r="200" spans="11:48" x14ac:dyDescent="0.2">
      <c r="K200" s="11" t="str">
        <f>IF(AND(COUNTA(B200:C200)&gt;1,COUNTA(F200:G200)&gt;1,O200="Completed"),(G200-C200)/(C200-#REF!+1)%,"")</f>
        <v/>
      </c>
      <c r="L200" s="11" t="str">
        <f>IF(AND(COUNT(D200:E200)&gt;0,COUNTA(F200:G200)&gt;1,O200="Completed"),(G200-AG200)/(AG200-#REF!+1)%,"")</f>
        <v/>
      </c>
      <c r="M200" s="11" t="str">
        <f t="shared" si="24"/>
        <v/>
      </c>
      <c r="N200" s="11" t="str">
        <f t="shared" si="25"/>
        <v/>
      </c>
      <c r="O200" s="12"/>
      <c r="P200" s="12"/>
      <c r="R200" s="10" t="str">
        <f>IF(H200&lt;&gt;"",SUMIF(H$3:H200,"&lt;&gt;" &amp; "",H$3:H200),"")</f>
        <v/>
      </c>
      <c r="S200" s="10" t="str">
        <f t="array" ref="S200">IF(O200="Completed",SUMIF(W$3:W200,"&lt;&gt;" &amp; "",W$3:W200),"")</f>
        <v/>
      </c>
      <c r="T200" s="10" t="str">
        <f t="array" ref="T200">IF(AND(J200&lt;&gt;"",O200="Completed"),SUM(IF(O$3:O200="Completed",J$3:J200,0)),"")</f>
        <v/>
      </c>
      <c r="U200" s="10" t="str">
        <f t="shared" si="30"/>
        <v/>
      </c>
      <c r="V200" s="10">
        <f>ROW()</f>
        <v>200</v>
      </c>
      <c r="W200" s="10" t="str">
        <f t="shared" si="26"/>
        <v/>
      </c>
      <c r="Z200" s="10" t="str">
        <f>IF(A200&lt;&gt;"",'Metrics planning and tracking'!$K$4,"")</f>
        <v/>
      </c>
      <c r="AA200" s="10" t="str">
        <f>IF(A200&lt;&gt;"",'Metrics planning and tracking'!$K$5,"")</f>
        <v/>
      </c>
      <c r="AB200" s="10" t="str">
        <f>IF(A200&lt;&gt;"",'Metrics planning and tracking'!$K$2,"")</f>
        <v/>
      </c>
      <c r="AC200" s="10" t="str">
        <f>IF(A200&lt;&gt;"",'Metrics planning and tracking'!$K$3,"")</f>
        <v/>
      </c>
      <c r="AD200" s="10" t="str">
        <f>IF(A200&lt;&gt;"",IF(AND(#REF!&lt;&gt;"",#REF!&lt;&gt;"",#REF!&lt;&gt;0),#REF!/#REF!*100,"NA"),"")</f>
        <v/>
      </c>
      <c r="AE200" s="10" t="str">
        <f>IF(A200&lt;&gt;"",IF(AND(#REF!&lt;&gt;"",#REF!&lt;&gt;"",#REF!&lt;&gt;0),#REF!/#REF!*100,"NA"),"")</f>
        <v/>
      </c>
      <c r="AF200" s="57" t="str">
        <f t="shared" si="27"/>
        <v/>
      </c>
      <c r="AG200" s="57" t="str">
        <f t="shared" si="28"/>
        <v/>
      </c>
      <c r="AH200" s="58" t="str">
        <f t="shared" si="29"/>
        <v/>
      </c>
      <c r="AV200" s="22" t="str">
        <f>IF(A200&lt;&gt;"",A200 &amp; "-" &amp;#REF! &amp; ROW(),"")</f>
        <v/>
      </c>
    </row>
    <row r="201" spans="11:48" x14ac:dyDescent="0.2">
      <c r="K201" s="11" t="str">
        <f>IF(AND(COUNTA(B201:C201)&gt;1,COUNTA(F201:G201)&gt;1,O201="Completed"),(G201-C201)/(C201-#REF!+1)%,"")</f>
        <v/>
      </c>
      <c r="L201" s="11" t="str">
        <f>IF(AND(COUNT(D201:E201)&gt;0,COUNTA(F201:G201)&gt;1,O201="Completed"),(G201-AG201)/(AG201-#REF!+1)%,"")</f>
        <v/>
      </c>
      <c r="M201" s="11" t="str">
        <f t="shared" si="24"/>
        <v/>
      </c>
      <c r="N201" s="11" t="str">
        <f t="shared" si="25"/>
        <v/>
      </c>
      <c r="O201" s="12"/>
      <c r="P201" s="12"/>
      <c r="R201" s="10" t="str">
        <f>IF(H201&lt;&gt;"",SUMIF(H$3:H201,"&lt;&gt;" &amp; "",H$3:H201),"")</f>
        <v/>
      </c>
      <c r="S201" s="10" t="str">
        <f t="array" ref="S201">IF(O201="Completed",SUMIF(W$3:W201,"&lt;&gt;" &amp; "",W$3:W201),"")</f>
        <v/>
      </c>
      <c r="T201" s="10" t="str">
        <f t="array" ref="T201">IF(AND(J201&lt;&gt;"",O201="Completed"),SUM(IF(O$3:O201="Completed",J$3:J201,0)),"")</f>
        <v/>
      </c>
      <c r="U201" s="10" t="str">
        <f t="shared" si="30"/>
        <v/>
      </c>
      <c r="V201" s="10">
        <f>ROW()</f>
        <v>201</v>
      </c>
      <c r="W201" s="10" t="str">
        <f t="shared" si="26"/>
        <v/>
      </c>
      <c r="Z201" s="10" t="str">
        <f>IF(A201&lt;&gt;"",'Metrics planning and tracking'!$K$4,"")</f>
        <v/>
      </c>
      <c r="AA201" s="10" t="str">
        <f>IF(A201&lt;&gt;"",'Metrics planning and tracking'!$K$5,"")</f>
        <v/>
      </c>
      <c r="AB201" s="10" t="str">
        <f>IF(A201&lt;&gt;"",'Metrics planning and tracking'!$K$2,"")</f>
        <v/>
      </c>
      <c r="AC201" s="10" t="str">
        <f>IF(A201&lt;&gt;"",'Metrics planning and tracking'!$K$3,"")</f>
        <v/>
      </c>
      <c r="AD201" s="10" t="str">
        <f>IF(A201&lt;&gt;"",IF(AND(#REF!&lt;&gt;"",#REF!&lt;&gt;"",#REF!&lt;&gt;0),#REF!/#REF!*100,"NA"),"")</f>
        <v/>
      </c>
      <c r="AE201" s="10" t="str">
        <f>IF(A201&lt;&gt;"",IF(AND(#REF!&lt;&gt;"",#REF!&lt;&gt;"",#REF!&lt;&gt;0),#REF!/#REF!*100,"NA"),"")</f>
        <v/>
      </c>
      <c r="AF201" s="57" t="str">
        <f t="shared" si="27"/>
        <v/>
      </c>
      <c r="AG201" s="57" t="str">
        <f t="shared" si="28"/>
        <v/>
      </c>
      <c r="AH201" s="58" t="str">
        <f t="shared" si="29"/>
        <v/>
      </c>
      <c r="AV201" s="22" t="str">
        <f>IF(A201&lt;&gt;"",A201 &amp; "-" &amp;#REF! &amp; ROW(),"")</f>
        <v/>
      </c>
    </row>
    <row r="202" spans="11:48" x14ac:dyDescent="0.2">
      <c r="K202" s="11" t="str">
        <f>IF(AND(COUNTA(B202:C202)&gt;1,COUNTA(F202:G202)&gt;1,O202="Completed"),(G202-C202)/(C202-#REF!+1)%,"")</f>
        <v/>
      </c>
      <c r="L202" s="11" t="str">
        <f>IF(AND(COUNT(D202:E202)&gt;0,COUNTA(F202:G202)&gt;1,O202="Completed"),(G202-AG202)/(AG202-#REF!+1)%,"")</f>
        <v/>
      </c>
      <c r="M202" s="11" t="str">
        <f t="shared" si="24"/>
        <v/>
      </c>
      <c r="N202" s="11" t="str">
        <f t="shared" si="25"/>
        <v/>
      </c>
      <c r="O202" s="12"/>
      <c r="P202" s="12"/>
      <c r="R202" s="10" t="str">
        <f>IF(H202&lt;&gt;"",SUMIF(H$3:H202,"&lt;&gt;" &amp; "",H$3:H202),"")</f>
        <v/>
      </c>
      <c r="S202" s="10" t="str">
        <f t="array" ref="S202">IF(O202="Completed",SUMIF(W$3:W202,"&lt;&gt;" &amp; "",W$3:W202),"")</f>
        <v/>
      </c>
      <c r="T202" s="10" t="str">
        <f t="array" ref="T202">IF(AND(J202&lt;&gt;"",O202="Completed"),SUM(IF(O$3:O202="Completed",J$3:J202,0)),"")</f>
        <v/>
      </c>
      <c r="U202" s="10" t="str">
        <f t="shared" si="30"/>
        <v/>
      </c>
      <c r="V202" s="10">
        <f>ROW()</f>
        <v>202</v>
      </c>
      <c r="W202" s="10" t="str">
        <f t="shared" si="26"/>
        <v/>
      </c>
      <c r="Z202" s="10" t="str">
        <f>IF(A202&lt;&gt;"",'Metrics planning and tracking'!$K$4,"")</f>
        <v/>
      </c>
      <c r="AA202" s="10" t="str">
        <f>IF(A202&lt;&gt;"",'Metrics planning and tracking'!$K$5,"")</f>
        <v/>
      </c>
      <c r="AB202" s="10" t="str">
        <f>IF(A202&lt;&gt;"",'Metrics planning and tracking'!$K$2,"")</f>
        <v/>
      </c>
      <c r="AC202" s="10" t="str">
        <f>IF(A202&lt;&gt;"",'Metrics planning and tracking'!$K$3,"")</f>
        <v/>
      </c>
      <c r="AD202" s="10" t="str">
        <f>IF(A202&lt;&gt;"",IF(AND(#REF!&lt;&gt;"",#REF!&lt;&gt;"",#REF!&lt;&gt;0),#REF!/#REF!*100,"NA"),"")</f>
        <v/>
      </c>
      <c r="AE202" s="10" t="str">
        <f>IF(A202&lt;&gt;"",IF(AND(#REF!&lt;&gt;"",#REF!&lt;&gt;"",#REF!&lt;&gt;0),#REF!/#REF!*100,"NA"),"")</f>
        <v/>
      </c>
      <c r="AF202" s="57" t="str">
        <f t="shared" si="27"/>
        <v/>
      </c>
      <c r="AG202" s="57" t="str">
        <f t="shared" si="28"/>
        <v/>
      </c>
      <c r="AH202" s="58" t="str">
        <f t="shared" si="29"/>
        <v/>
      </c>
      <c r="AV202" s="22" t="str">
        <f>IF(A202&lt;&gt;"",A202 &amp; "-" &amp;#REF! &amp; ROW(),"")</f>
        <v/>
      </c>
    </row>
    <row r="203" spans="11:48" x14ac:dyDescent="0.2">
      <c r="K203" s="11" t="str">
        <f>IF(AND(COUNTA(B203:C203)&gt;1,COUNTA(F203:G203)&gt;1,O203="Completed"),(G203-C203)/(C203-#REF!+1)%,"")</f>
        <v/>
      </c>
      <c r="L203" s="11" t="str">
        <f>IF(AND(COUNT(D203:E203)&gt;0,COUNTA(F203:G203)&gt;1,O203="Completed"),(G203-AG203)/(AG203-#REF!+1)%,"")</f>
        <v/>
      </c>
      <c r="M203" s="11" t="str">
        <f t="shared" si="24"/>
        <v/>
      </c>
      <c r="N203" s="11" t="str">
        <f t="shared" si="25"/>
        <v/>
      </c>
      <c r="O203" s="12"/>
      <c r="P203" s="12"/>
      <c r="R203" s="10" t="str">
        <f>IF(H203&lt;&gt;"",SUMIF(H$3:H203,"&lt;&gt;" &amp; "",H$3:H203),"")</f>
        <v/>
      </c>
      <c r="S203" s="10" t="str">
        <f t="array" ref="S203">IF(O203="Completed",SUMIF(W$3:W203,"&lt;&gt;" &amp; "",W$3:W203),"")</f>
        <v/>
      </c>
      <c r="T203" s="10" t="str">
        <f t="array" ref="T203">IF(AND(J203&lt;&gt;"",O203="Completed"),SUM(IF(O$3:O203="Completed",J$3:J203,0)),"")</f>
        <v/>
      </c>
      <c r="U203" s="10" t="str">
        <f t="shared" si="30"/>
        <v/>
      </c>
      <c r="V203" s="10">
        <f>ROW()</f>
        <v>203</v>
      </c>
      <c r="W203" s="10" t="str">
        <f t="shared" si="26"/>
        <v/>
      </c>
      <c r="Z203" s="10" t="str">
        <f>IF(A203&lt;&gt;"",'Metrics planning and tracking'!$K$4,"")</f>
        <v/>
      </c>
      <c r="AA203" s="10" t="str">
        <f>IF(A203&lt;&gt;"",'Metrics planning and tracking'!$K$5,"")</f>
        <v/>
      </c>
      <c r="AB203" s="10" t="str">
        <f>IF(A203&lt;&gt;"",'Metrics planning and tracking'!$K$2,"")</f>
        <v/>
      </c>
      <c r="AC203" s="10" t="str">
        <f>IF(A203&lt;&gt;"",'Metrics planning and tracking'!$K$3,"")</f>
        <v/>
      </c>
      <c r="AD203" s="10" t="str">
        <f>IF(A203&lt;&gt;"",IF(AND(#REF!&lt;&gt;"",#REF!&lt;&gt;"",#REF!&lt;&gt;0),#REF!/#REF!*100,"NA"),"")</f>
        <v/>
      </c>
      <c r="AE203" s="10" t="str">
        <f>IF(A203&lt;&gt;"",IF(AND(#REF!&lt;&gt;"",#REF!&lt;&gt;"",#REF!&lt;&gt;0),#REF!/#REF!*100,"NA"),"")</f>
        <v/>
      </c>
      <c r="AF203" s="57" t="str">
        <f t="shared" si="27"/>
        <v/>
      </c>
      <c r="AG203" s="57" t="str">
        <f t="shared" si="28"/>
        <v/>
      </c>
      <c r="AH203" s="58" t="str">
        <f t="shared" si="29"/>
        <v/>
      </c>
      <c r="AV203" s="22" t="str">
        <f>IF(A203&lt;&gt;"",A203 &amp; "-" &amp;#REF! &amp; ROW(),"")</f>
        <v/>
      </c>
    </row>
    <row r="204" spans="11:48" x14ac:dyDescent="0.2">
      <c r="K204" s="11" t="str">
        <f>IF(AND(COUNTA(B204:C204)&gt;1,COUNTA(F204:G204)&gt;1,O204="Completed"),(G204-C204)/(C204-#REF!+1)%,"")</f>
        <v/>
      </c>
      <c r="L204" s="11" t="str">
        <f>IF(AND(COUNT(D204:E204)&gt;0,COUNTA(F204:G204)&gt;1,O204="Completed"),(G204-AG204)/(AG204-#REF!+1)%,"")</f>
        <v/>
      </c>
      <c r="M204" s="11" t="str">
        <f t="shared" si="24"/>
        <v/>
      </c>
      <c r="N204" s="11" t="str">
        <f t="shared" si="25"/>
        <v/>
      </c>
      <c r="O204" s="12"/>
      <c r="P204" s="12"/>
      <c r="R204" s="10" t="str">
        <f>IF(H204&lt;&gt;"",SUMIF(H$3:H204,"&lt;&gt;" &amp; "",H$3:H204),"")</f>
        <v/>
      </c>
      <c r="S204" s="10" t="str">
        <f t="array" ref="S204">IF(O204="Completed",SUMIF(W$3:W204,"&lt;&gt;" &amp; "",W$3:W204),"")</f>
        <v/>
      </c>
      <c r="T204" s="10" t="str">
        <f t="array" ref="T204">IF(AND(J204&lt;&gt;"",O204="Completed"),SUM(IF(O$3:O204="Completed",J$3:J204,0)),"")</f>
        <v/>
      </c>
      <c r="U204" s="10" t="str">
        <f t="shared" si="30"/>
        <v/>
      </c>
      <c r="V204" s="10">
        <f>ROW()</f>
        <v>204</v>
      </c>
      <c r="W204" s="10" t="str">
        <f t="shared" si="26"/>
        <v/>
      </c>
      <c r="Z204" s="10" t="str">
        <f>IF(A204&lt;&gt;"",'Metrics planning and tracking'!$K$4,"")</f>
        <v/>
      </c>
      <c r="AA204" s="10" t="str">
        <f>IF(A204&lt;&gt;"",'Metrics planning and tracking'!$K$5,"")</f>
        <v/>
      </c>
      <c r="AB204" s="10" t="str">
        <f>IF(A204&lt;&gt;"",'Metrics planning and tracking'!$K$2,"")</f>
        <v/>
      </c>
      <c r="AC204" s="10" t="str">
        <f>IF(A204&lt;&gt;"",'Metrics planning and tracking'!$K$3,"")</f>
        <v/>
      </c>
      <c r="AD204" s="10" t="str">
        <f>IF(A204&lt;&gt;"",IF(AND(#REF!&lt;&gt;"",#REF!&lt;&gt;"",#REF!&lt;&gt;0),#REF!/#REF!*100,"NA"),"")</f>
        <v/>
      </c>
      <c r="AE204" s="10" t="str">
        <f>IF(A204&lt;&gt;"",IF(AND(#REF!&lt;&gt;"",#REF!&lt;&gt;"",#REF!&lt;&gt;0),#REF!/#REF!*100,"NA"),"")</f>
        <v/>
      </c>
      <c r="AF204" s="57" t="str">
        <f t="shared" si="27"/>
        <v/>
      </c>
      <c r="AG204" s="57" t="str">
        <f t="shared" si="28"/>
        <v/>
      </c>
      <c r="AH204" s="58" t="str">
        <f t="shared" si="29"/>
        <v/>
      </c>
      <c r="AV204" s="22" t="str">
        <f>IF(A204&lt;&gt;"",A204 &amp; "-" &amp;#REF! &amp; ROW(),"")</f>
        <v/>
      </c>
    </row>
    <row r="205" spans="11:48" x14ac:dyDescent="0.2">
      <c r="K205" s="11" t="str">
        <f>IF(AND(COUNTA(B205:C205)&gt;1,COUNTA(F205:G205)&gt;1,O205="Completed"),(G205-C205)/(C205-#REF!+1)%,"")</f>
        <v/>
      </c>
      <c r="L205" s="11" t="str">
        <f>IF(AND(COUNT(D205:E205)&gt;0,COUNTA(F205:G205)&gt;1,O205="Completed"),(G205-AG205)/(AG205-#REF!+1)%,"")</f>
        <v/>
      </c>
      <c r="M205" s="11" t="str">
        <f t="shared" si="24"/>
        <v/>
      </c>
      <c r="N205" s="11" t="str">
        <f t="shared" si="25"/>
        <v/>
      </c>
      <c r="O205" s="12"/>
      <c r="P205" s="12"/>
      <c r="R205" s="10" t="str">
        <f>IF(H205&lt;&gt;"",SUMIF(H$3:H205,"&lt;&gt;" &amp; "",H$3:H205),"")</f>
        <v/>
      </c>
      <c r="S205" s="10" t="str">
        <f t="array" ref="S205">IF(O205="Completed",SUMIF(W$3:W205,"&lt;&gt;" &amp; "",W$3:W205),"")</f>
        <v/>
      </c>
      <c r="T205" s="10" t="str">
        <f t="array" ref="T205">IF(AND(J205&lt;&gt;"",O205="Completed"),SUM(IF(O$3:O205="Completed",J$3:J205,0)),"")</f>
        <v/>
      </c>
      <c r="U205" s="10" t="str">
        <f t="shared" si="30"/>
        <v/>
      </c>
      <c r="V205" s="10">
        <f>ROW()</f>
        <v>205</v>
      </c>
      <c r="W205" s="10" t="str">
        <f t="shared" si="26"/>
        <v/>
      </c>
      <c r="Z205" s="10" t="str">
        <f>IF(A205&lt;&gt;"",'Metrics planning and tracking'!$K$4,"")</f>
        <v/>
      </c>
      <c r="AA205" s="10" t="str">
        <f>IF(A205&lt;&gt;"",'Metrics planning and tracking'!$K$5,"")</f>
        <v/>
      </c>
      <c r="AB205" s="10" t="str">
        <f>IF(A205&lt;&gt;"",'Metrics planning and tracking'!$K$2,"")</f>
        <v/>
      </c>
      <c r="AC205" s="10" t="str">
        <f>IF(A205&lt;&gt;"",'Metrics planning and tracking'!$K$3,"")</f>
        <v/>
      </c>
      <c r="AD205" s="10" t="str">
        <f>IF(A205&lt;&gt;"",IF(AND(#REF!&lt;&gt;"",#REF!&lt;&gt;"",#REF!&lt;&gt;0),#REF!/#REF!*100,"NA"),"")</f>
        <v/>
      </c>
      <c r="AE205" s="10" t="str">
        <f>IF(A205&lt;&gt;"",IF(AND(#REF!&lt;&gt;"",#REF!&lt;&gt;"",#REF!&lt;&gt;0),#REF!/#REF!*100,"NA"),"")</f>
        <v/>
      </c>
      <c r="AF205" s="57" t="str">
        <f t="shared" si="27"/>
        <v/>
      </c>
      <c r="AG205" s="57" t="str">
        <f t="shared" si="28"/>
        <v/>
      </c>
      <c r="AH205" s="58" t="str">
        <f t="shared" si="29"/>
        <v/>
      </c>
      <c r="AV205" s="22" t="str">
        <f>IF(A205&lt;&gt;"",A205 &amp; "-" &amp;#REF! &amp; ROW(),"")</f>
        <v/>
      </c>
    </row>
    <row r="206" spans="11:48" x14ac:dyDescent="0.2">
      <c r="K206" s="11" t="str">
        <f>IF(AND(COUNTA(B206:C206)&gt;1,COUNTA(F206:G206)&gt;1,O206="Completed"),(G206-C206)/(C206-#REF!+1)%,"")</f>
        <v/>
      </c>
      <c r="L206" s="11" t="str">
        <f>IF(AND(COUNT(D206:E206)&gt;0,COUNTA(F206:G206)&gt;1,O206="Completed"),(G206-AG206)/(AG206-#REF!+1)%,"")</f>
        <v/>
      </c>
      <c r="M206" s="11" t="str">
        <f t="shared" si="24"/>
        <v/>
      </c>
      <c r="N206" s="11" t="str">
        <f t="shared" si="25"/>
        <v/>
      </c>
      <c r="O206" s="12"/>
      <c r="P206" s="12"/>
      <c r="R206" s="10" t="str">
        <f>IF(H206&lt;&gt;"",SUMIF(H$3:H206,"&lt;&gt;" &amp; "",H$3:H206),"")</f>
        <v/>
      </c>
      <c r="S206" s="10" t="str">
        <f t="array" ref="S206">IF(O206="Completed",SUMIF(W$3:W206,"&lt;&gt;" &amp; "",W$3:W206),"")</f>
        <v/>
      </c>
      <c r="T206" s="10" t="str">
        <f t="array" ref="T206">IF(AND(J206&lt;&gt;"",O206="Completed"),SUM(IF(O$3:O206="Completed",J$3:J206,0)),"")</f>
        <v/>
      </c>
      <c r="U206" s="10" t="str">
        <f t="shared" si="30"/>
        <v/>
      </c>
      <c r="V206" s="10">
        <f>ROW()</f>
        <v>206</v>
      </c>
      <c r="W206" s="10" t="str">
        <f t="shared" si="26"/>
        <v/>
      </c>
      <c r="Z206" s="10" t="str">
        <f>IF(A206&lt;&gt;"",'Metrics planning and tracking'!$K$4,"")</f>
        <v/>
      </c>
      <c r="AA206" s="10" t="str">
        <f>IF(A206&lt;&gt;"",'Metrics planning and tracking'!$K$5,"")</f>
        <v/>
      </c>
      <c r="AB206" s="10" t="str">
        <f>IF(A206&lt;&gt;"",'Metrics planning and tracking'!$K$2,"")</f>
        <v/>
      </c>
      <c r="AC206" s="10" t="str">
        <f>IF(A206&lt;&gt;"",'Metrics planning and tracking'!$K$3,"")</f>
        <v/>
      </c>
      <c r="AD206" s="10" t="str">
        <f>IF(A206&lt;&gt;"",IF(AND(#REF!&lt;&gt;"",#REF!&lt;&gt;"",#REF!&lt;&gt;0),#REF!/#REF!*100,"NA"),"")</f>
        <v/>
      </c>
      <c r="AE206" s="10" t="str">
        <f>IF(A206&lt;&gt;"",IF(AND(#REF!&lt;&gt;"",#REF!&lt;&gt;"",#REF!&lt;&gt;0),#REF!/#REF!*100,"NA"),"")</f>
        <v/>
      </c>
      <c r="AF206" s="57" t="str">
        <f t="shared" si="27"/>
        <v/>
      </c>
      <c r="AG206" s="57" t="str">
        <f t="shared" si="28"/>
        <v/>
      </c>
      <c r="AH206" s="58" t="str">
        <f t="shared" si="29"/>
        <v/>
      </c>
      <c r="AV206" s="22" t="str">
        <f>IF(A206&lt;&gt;"",A206 &amp; "-" &amp;#REF! &amp; ROW(),"")</f>
        <v/>
      </c>
    </row>
    <row r="207" spans="11:48" x14ac:dyDescent="0.2">
      <c r="K207" s="11" t="str">
        <f>IF(AND(COUNTA(B207:C207)&gt;1,COUNTA(F207:G207)&gt;1,O207="Completed"),(G207-C207)/(C207-#REF!+1)%,"")</f>
        <v/>
      </c>
      <c r="L207" s="11" t="str">
        <f>IF(AND(COUNT(D207:E207)&gt;0,COUNTA(F207:G207)&gt;1,O207="Completed"),(G207-AG207)/(AG207-#REF!+1)%,"")</f>
        <v/>
      </c>
      <c r="M207" s="11" t="str">
        <f t="shared" si="24"/>
        <v/>
      </c>
      <c r="N207" s="11" t="str">
        <f t="shared" si="25"/>
        <v/>
      </c>
      <c r="O207" s="12"/>
      <c r="P207" s="12"/>
      <c r="R207" s="10" t="str">
        <f>IF(H207&lt;&gt;"",SUMIF(H$3:H207,"&lt;&gt;" &amp; "",H$3:H207),"")</f>
        <v/>
      </c>
      <c r="S207" s="10" t="str">
        <f t="array" ref="S207">IF(O207="Completed",SUMIF(W$3:W207,"&lt;&gt;" &amp; "",W$3:W207),"")</f>
        <v/>
      </c>
      <c r="T207" s="10" t="str">
        <f t="array" ref="T207">IF(AND(J207&lt;&gt;"",O207="Completed"),SUM(IF(O$3:O207="Completed",J$3:J207,0)),"")</f>
        <v/>
      </c>
      <c r="U207" s="10" t="str">
        <f t="shared" si="30"/>
        <v/>
      </c>
      <c r="V207" s="10">
        <f>ROW()</f>
        <v>207</v>
      </c>
      <c r="W207" s="10" t="str">
        <f t="shared" si="26"/>
        <v/>
      </c>
      <c r="Z207" s="10" t="str">
        <f>IF(A207&lt;&gt;"",'Metrics planning and tracking'!$K$4,"")</f>
        <v/>
      </c>
      <c r="AA207" s="10" t="str">
        <f>IF(A207&lt;&gt;"",'Metrics planning and tracking'!$K$5,"")</f>
        <v/>
      </c>
      <c r="AB207" s="10" t="str">
        <f>IF(A207&lt;&gt;"",'Metrics planning and tracking'!$K$2,"")</f>
        <v/>
      </c>
      <c r="AC207" s="10" t="str">
        <f>IF(A207&lt;&gt;"",'Metrics planning and tracking'!$K$3,"")</f>
        <v/>
      </c>
      <c r="AD207" s="10" t="str">
        <f>IF(A207&lt;&gt;"",IF(AND(#REF!&lt;&gt;"",#REF!&lt;&gt;"",#REF!&lt;&gt;0),#REF!/#REF!*100,"NA"),"")</f>
        <v/>
      </c>
      <c r="AE207" s="10" t="str">
        <f>IF(A207&lt;&gt;"",IF(AND(#REF!&lt;&gt;"",#REF!&lt;&gt;"",#REF!&lt;&gt;0),#REF!/#REF!*100,"NA"),"")</f>
        <v/>
      </c>
      <c r="AF207" s="57" t="str">
        <f t="shared" si="27"/>
        <v/>
      </c>
      <c r="AG207" s="57" t="str">
        <f t="shared" si="28"/>
        <v/>
      </c>
      <c r="AH207" s="58" t="str">
        <f t="shared" si="29"/>
        <v/>
      </c>
      <c r="AV207" s="22" t="str">
        <f>IF(A207&lt;&gt;"",A207 &amp; "-" &amp;#REF! &amp; ROW(),"")</f>
        <v/>
      </c>
    </row>
    <row r="208" spans="11:48" x14ac:dyDescent="0.2">
      <c r="K208" s="11" t="str">
        <f>IF(AND(COUNTA(B208:C208)&gt;1,COUNTA(F208:G208)&gt;1,O208="Completed"),(G208-C208)/(C208-#REF!+1)%,"")</f>
        <v/>
      </c>
      <c r="L208" s="11" t="str">
        <f>IF(AND(COUNT(D208:E208)&gt;0,COUNTA(F208:G208)&gt;1,O208="Completed"),(G208-AG208)/(AG208-#REF!+1)%,"")</f>
        <v/>
      </c>
      <c r="M208" s="11" t="str">
        <f t="shared" si="24"/>
        <v/>
      </c>
      <c r="N208" s="11" t="str">
        <f t="shared" si="25"/>
        <v/>
      </c>
      <c r="O208" s="12"/>
      <c r="P208" s="12"/>
      <c r="R208" s="10" t="str">
        <f>IF(H208&lt;&gt;"",SUMIF(H$3:H208,"&lt;&gt;" &amp; "",H$3:H208),"")</f>
        <v/>
      </c>
      <c r="S208" s="10" t="str">
        <f t="array" ref="S208">IF(O208="Completed",SUMIF(W$3:W208,"&lt;&gt;" &amp; "",W$3:W208),"")</f>
        <v/>
      </c>
      <c r="T208" s="10" t="str">
        <f t="array" ref="T208">IF(AND(J208&lt;&gt;"",O208="Completed"),SUM(IF(O$3:O208="Completed",J$3:J208,0)),"")</f>
        <v/>
      </c>
      <c r="U208" s="10" t="str">
        <f t="shared" si="30"/>
        <v/>
      </c>
      <c r="V208" s="10">
        <f>ROW()</f>
        <v>208</v>
      </c>
      <c r="W208" s="10" t="str">
        <f t="shared" si="26"/>
        <v/>
      </c>
      <c r="Z208" s="10" t="str">
        <f>IF(A208&lt;&gt;"",'Metrics planning and tracking'!$K$4,"")</f>
        <v/>
      </c>
      <c r="AA208" s="10" t="str">
        <f>IF(A208&lt;&gt;"",'Metrics planning and tracking'!$K$5,"")</f>
        <v/>
      </c>
      <c r="AB208" s="10" t="str">
        <f>IF(A208&lt;&gt;"",'Metrics planning and tracking'!$K$2,"")</f>
        <v/>
      </c>
      <c r="AC208" s="10" t="str">
        <f>IF(A208&lt;&gt;"",'Metrics planning and tracking'!$K$3,"")</f>
        <v/>
      </c>
      <c r="AD208" s="10" t="str">
        <f>IF(A208&lt;&gt;"",IF(AND(#REF!&lt;&gt;"",#REF!&lt;&gt;"",#REF!&lt;&gt;0),#REF!/#REF!*100,"NA"),"")</f>
        <v/>
      </c>
      <c r="AE208" s="10" t="str">
        <f>IF(A208&lt;&gt;"",IF(AND(#REF!&lt;&gt;"",#REF!&lt;&gt;"",#REF!&lt;&gt;0),#REF!/#REF!*100,"NA"),"")</f>
        <v/>
      </c>
      <c r="AF208" s="57" t="str">
        <f t="shared" si="27"/>
        <v/>
      </c>
      <c r="AG208" s="57" t="str">
        <f t="shared" si="28"/>
        <v/>
      </c>
      <c r="AH208" s="58" t="str">
        <f t="shared" si="29"/>
        <v/>
      </c>
      <c r="AV208" s="22" t="str">
        <f>IF(A208&lt;&gt;"",A208 &amp; "-" &amp;#REF! &amp; ROW(),"")</f>
        <v/>
      </c>
    </row>
    <row r="209" spans="11:48" x14ac:dyDescent="0.2">
      <c r="K209" s="11" t="str">
        <f>IF(AND(COUNTA(B209:C209)&gt;1,COUNTA(F209:G209)&gt;1,O209="Completed"),(G209-C209)/(C209-#REF!+1)%,"")</f>
        <v/>
      </c>
      <c r="L209" s="11" t="str">
        <f>IF(AND(COUNT(D209:E209)&gt;0,COUNTA(F209:G209)&gt;1,O209="Completed"),(G209-AG209)/(AG209-#REF!+1)%,"")</f>
        <v/>
      </c>
      <c r="M209" s="11" t="str">
        <f t="shared" si="24"/>
        <v/>
      </c>
      <c r="N209" s="11" t="str">
        <f t="shared" si="25"/>
        <v/>
      </c>
      <c r="O209" s="12"/>
      <c r="P209" s="12"/>
      <c r="R209" s="10" t="str">
        <f>IF(H209&lt;&gt;"",SUMIF(H$3:H209,"&lt;&gt;" &amp; "",H$3:H209),"")</f>
        <v/>
      </c>
      <c r="S209" s="10" t="str">
        <f t="array" ref="S209">IF(O209="Completed",SUMIF(W$3:W209,"&lt;&gt;" &amp; "",W$3:W209),"")</f>
        <v/>
      </c>
      <c r="T209" s="10" t="str">
        <f t="array" ref="T209">IF(AND(J209&lt;&gt;"",O209="Completed"),SUM(IF(O$3:O209="Completed",J$3:J209,0)),"")</f>
        <v/>
      </c>
      <c r="U209" s="10" t="str">
        <f t="shared" si="30"/>
        <v/>
      </c>
      <c r="V209" s="10">
        <f>ROW()</f>
        <v>209</v>
      </c>
      <c r="W209" s="10" t="str">
        <f t="shared" si="26"/>
        <v/>
      </c>
      <c r="Z209" s="10" t="str">
        <f>IF(A209&lt;&gt;"",'Metrics planning and tracking'!$K$4,"")</f>
        <v/>
      </c>
      <c r="AA209" s="10" t="str">
        <f>IF(A209&lt;&gt;"",'Metrics planning and tracking'!$K$5,"")</f>
        <v/>
      </c>
      <c r="AB209" s="10" t="str">
        <f>IF(A209&lt;&gt;"",'Metrics planning and tracking'!$K$2,"")</f>
        <v/>
      </c>
      <c r="AC209" s="10" t="str">
        <f>IF(A209&lt;&gt;"",'Metrics planning and tracking'!$K$3,"")</f>
        <v/>
      </c>
      <c r="AD209" s="10" t="str">
        <f>IF(A209&lt;&gt;"",IF(AND(#REF!&lt;&gt;"",#REF!&lt;&gt;"",#REF!&lt;&gt;0),#REF!/#REF!*100,"NA"),"")</f>
        <v/>
      </c>
      <c r="AE209" s="10" t="str">
        <f>IF(A209&lt;&gt;"",IF(AND(#REF!&lt;&gt;"",#REF!&lt;&gt;"",#REF!&lt;&gt;0),#REF!/#REF!*100,"NA"),"")</f>
        <v/>
      </c>
      <c r="AF209" s="57" t="str">
        <f t="shared" si="27"/>
        <v/>
      </c>
      <c r="AG209" s="57" t="str">
        <f t="shared" si="28"/>
        <v/>
      </c>
      <c r="AH209" s="58" t="str">
        <f t="shared" si="29"/>
        <v/>
      </c>
      <c r="AV209" s="22" t="str">
        <f>IF(A209&lt;&gt;"",A209 &amp; "-" &amp;#REF! &amp; ROW(),"")</f>
        <v/>
      </c>
    </row>
    <row r="210" spans="11:48" x14ac:dyDescent="0.2">
      <c r="K210" s="11" t="str">
        <f>IF(AND(COUNTA(B210:C210)&gt;1,COUNTA(F210:G210)&gt;1,O210="Completed"),(G210-C210)/(C210-#REF!+1)%,"")</f>
        <v/>
      </c>
      <c r="L210" s="11" t="str">
        <f>IF(AND(COUNT(D210:E210)&gt;0,COUNTA(F210:G210)&gt;1,O210="Completed"),(G210-AG210)/(AG210-#REF!+1)%,"")</f>
        <v/>
      </c>
      <c r="M210" s="11" t="str">
        <f t="shared" si="24"/>
        <v/>
      </c>
      <c r="N210" s="11" t="str">
        <f t="shared" si="25"/>
        <v/>
      </c>
      <c r="O210" s="12"/>
      <c r="P210" s="12"/>
      <c r="R210" s="10" t="str">
        <f>IF(H210&lt;&gt;"",SUMIF(H$3:H210,"&lt;&gt;" &amp; "",H$3:H210),"")</f>
        <v/>
      </c>
      <c r="S210" s="10" t="str">
        <f t="array" ref="S210">IF(O210="Completed",SUMIF(W$3:W210,"&lt;&gt;" &amp; "",W$3:W210),"")</f>
        <v/>
      </c>
      <c r="T210" s="10" t="str">
        <f t="array" ref="T210">IF(AND(J210&lt;&gt;"",O210="Completed"),SUM(IF(O$3:O210="Completed",J$3:J210,0)),"")</f>
        <v/>
      </c>
      <c r="U210" s="10" t="str">
        <f t="shared" si="30"/>
        <v/>
      </c>
      <c r="V210" s="10">
        <f>ROW()</f>
        <v>210</v>
      </c>
      <c r="W210" s="10" t="str">
        <f t="shared" si="26"/>
        <v/>
      </c>
      <c r="Z210" s="10" t="str">
        <f>IF(A210&lt;&gt;"",'Metrics planning and tracking'!$K$4,"")</f>
        <v/>
      </c>
      <c r="AA210" s="10" t="str">
        <f>IF(A210&lt;&gt;"",'Metrics planning and tracking'!$K$5,"")</f>
        <v/>
      </c>
      <c r="AB210" s="10" t="str">
        <f>IF(A210&lt;&gt;"",'Metrics planning and tracking'!$K$2,"")</f>
        <v/>
      </c>
      <c r="AC210" s="10" t="str">
        <f>IF(A210&lt;&gt;"",'Metrics planning and tracking'!$K$3,"")</f>
        <v/>
      </c>
      <c r="AD210" s="10" t="str">
        <f>IF(A210&lt;&gt;"",IF(AND(#REF!&lt;&gt;"",#REF!&lt;&gt;"",#REF!&lt;&gt;0),#REF!/#REF!*100,"NA"),"")</f>
        <v/>
      </c>
      <c r="AE210" s="10" t="str">
        <f>IF(A210&lt;&gt;"",IF(AND(#REF!&lt;&gt;"",#REF!&lt;&gt;"",#REF!&lt;&gt;0),#REF!/#REF!*100,"NA"),"")</f>
        <v/>
      </c>
      <c r="AF210" s="57" t="str">
        <f t="shared" si="27"/>
        <v/>
      </c>
      <c r="AG210" s="57" t="str">
        <f t="shared" si="28"/>
        <v/>
      </c>
      <c r="AH210" s="58" t="str">
        <f t="shared" si="29"/>
        <v/>
      </c>
      <c r="AV210" s="22" t="str">
        <f>IF(A210&lt;&gt;"",A210 &amp; "-" &amp;#REF! &amp; ROW(),"")</f>
        <v/>
      </c>
    </row>
    <row r="211" spans="11:48" x14ac:dyDescent="0.2">
      <c r="K211" s="11" t="str">
        <f>IF(AND(COUNTA(B211:C211)&gt;1,COUNTA(F211:G211)&gt;1,O211="Completed"),(G211-C211)/(C211-#REF!+1)%,"")</f>
        <v/>
      </c>
      <c r="L211" s="11" t="str">
        <f>IF(AND(COUNT(D211:E211)&gt;0,COUNTA(F211:G211)&gt;1,O211="Completed"),(G211-AG211)/(AG211-#REF!+1)%,"")</f>
        <v/>
      </c>
      <c r="M211" s="11" t="str">
        <f t="shared" si="24"/>
        <v/>
      </c>
      <c r="N211" s="11" t="str">
        <f t="shared" si="25"/>
        <v/>
      </c>
      <c r="O211" s="12"/>
      <c r="P211" s="12"/>
      <c r="R211" s="10" t="str">
        <f>IF(H211&lt;&gt;"",SUMIF(H$3:H211,"&lt;&gt;" &amp; "",H$3:H211),"")</f>
        <v/>
      </c>
      <c r="S211" s="10" t="str">
        <f t="array" ref="S211">IF(O211="Completed",SUMIF(W$3:W211,"&lt;&gt;" &amp; "",W$3:W211),"")</f>
        <v/>
      </c>
      <c r="T211" s="10" t="str">
        <f t="array" ref="T211">IF(AND(J211&lt;&gt;"",O211="Completed"),SUM(IF(O$3:O211="Completed",J$3:J211,0)),"")</f>
        <v/>
      </c>
      <c r="U211" s="10" t="str">
        <f t="shared" si="30"/>
        <v/>
      </c>
      <c r="V211" s="10">
        <f>ROW()</f>
        <v>211</v>
      </c>
      <c r="W211" s="10" t="str">
        <f t="shared" si="26"/>
        <v/>
      </c>
      <c r="Z211" s="10" t="str">
        <f>IF(A211&lt;&gt;"",'Metrics planning and tracking'!$K$4,"")</f>
        <v/>
      </c>
      <c r="AA211" s="10" t="str">
        <f>IF(A211&lt;&gt;"",'Metrics planning and tracking'!$K$5,"")</f>
        <v/>
      </c>
      <c r="AB211" s="10" t="str">
        <f>IF(A211&lt;&gt;"",'Metrics planning and tracking'!$K$2,"")</f>
        <v/>
      </c>
      <c r="AC211" s="10" t="str">
        <f>IF(A211&lt;&gt;"",'Metrics planning and tracking'!$K$3,"")</f>
        <v/>
      </c>
      <c r="AD211" s="10" t="str">
        <f>IF(A211&lt;&gt;"",IF(AND(#REF!&lt;&gt;"",#REF!&lt;&gt;"",#REF!&lt;&gt;0),#REF!/#REF!*100,"NA"),"")</f>
        <v/>
      </c>
      <c r="AE211" s="10" t="str">
        <f>IF(A211&lt;&gt;"",IF(AND(#REF!&lt;&gt;"",#REF!&lt;&gt;"",#REF!&lt;&gt;0),#REF!/#REF!*100,"NA"),"")</f>
        <v/>
      </c>
      <c r="AF211" s="57" t="str">
        <f t="shared" si="27"/>
        <v/>
      </c>
      <c r="AG211" s="57" t="str">
        <f t="shared" si="28"/>
        <v/>
      </c>
      <c r="AH211" s="58" t="str">
        <f t="shared" si="29"/>
        <v/>
      </c>
      <c r="AV211" s="22" t="str">
        <f>IF(A211&lt;&gt;"",A211 &amp; "-" &amp;#REF! &amp; ROW(),"")</f>
        <v/>
      </c>
    </row>
    <row r="212" spans="11:48" x14ac:dyDescent="0.2">
      <c r="K212" s="11" t="str">
        <f>IF(AND(COUNTA(B212:C212)&gt;1,COUNTA(F212:G212)&gt;1,O212="Completed"),(G212-C212)/(C212-#REF!+1)%,"")</f>
        <v/>
      </c>
      <c r="L212" s="11" t="str">
        <f>IF(AND(COUNT(D212:E212)&gt;0,COUNTA(F212:G212)&gt;1,O212="Completed"),(G212-AG212)/(AG212-#REF!+1)%,"")</f>
        <v/>
      </c>
      <c r="M212" s="11" t="str">
        <f t="shared" si="24"/>
        <v/>
      </c>
      <c r="N212" s="11" t="str">
        <f t="shared" si="25"/>
        <v/>
      </c>
      <c r="O212" s="12"/>
      <c r="P212" s="12"/>
      <c r="R212" s="10" t="str">
        <f>IF(H212&lt;&gt;"",SUMIF(H$3:H212,"&lt;&gt;" &amp; "",H$3:H212),"")</f>
        <v/>
      </c>
      <c r="S212" s="10" t="str">
        <f t="array" ref="S212">IF(O212="Completed",SUMIF(W$3:W212,"&lt;&gt;" &amp; "",W$3:W212),"")</f>
        <v/>
      </c>
      <c r="T212" s="10" t="str">
        <f t="array" ref="T212">IF(AND(J212&lt;&gt;"",O212="Completed"),SUM(IF(O$3:O212="Completed",J$3:J212,0)),"")</f>
        <v/>
      </c>
      <c r="U212" s="10" t="str">
        <f t="shared" si="30"/>
        <v/>
      </c>
      <c r="V212" s="10">
        <f>ROW()</f>
        <v>212</v>
      </c>
      <c r="W212" s="10" t="str">
        <f t="shared" si="26"/>
        <v/>
      </c>
      <c r="Z212" s="10" t="str">
        <f>IF(A212&lt;&gt;"",'Metrics planning and tracking'!$K$4,"")</f>
        <v/>
      </c>
      <c r="AA212" s="10" t="str">
        <f>IF(A212&lt;&gt;"",'Metrics planning and tracking'!$K$5,"")</f>
        <v/>
      </c>
      <c r="AB212" s="10" t="str">
        <f>IF(A212&lt;&gt;"",'Metrics planning and tracking'!$K$2,"")</f>
        <v/>
      </c>
      <c r="AC212" s="10" t="str">
        <f>IF(A212&lt;&gt;"",'Metrics planning and tracking'!$K$3,"")</f>
        <v/>
      </c>
      <c r="AD212" s="10" t="str">
        <f>IF(A212&lt;&gt;"",IF(AND(#REF!&lt;&gt;"",#REF!&lt;&gt;"",#REF!&lt;&gt;0),#REF!/#REF!*100,"NA"),"")</f>
        <v/>
      </c>
      <c r="AE212" s="10" t="str">
        <f>IF(A212&lt;&gt;"",IF(AND(#REF!&lt;&gt;"",#REF!&lt;&gt;"",#REF!&lt;&gt;0),#REF!/#REF!*100,"NA"),"")</f>
        <v/>
      </c>
      <c r="AF212" s="57" t="str">
        <f t="shared" si="27"/>
        <v/>
      </c>
      <c r="AG212" s="57" t="str">
        <f t="shared" si="28"/>
        <v/>
      </c>
      <c r="AH212" s="58" t="str">
        <f t="shared" si="29"/>
        <v/>
      </c>
      <c r="AV212" s="22" t="str">
        <f>IF(A212&lt;&gt;"",A212 &amp; "-" &amp;#REF! &amp; ROW(),"")</f>
        <v/>
      </c>
    </row>
    <row r="213" spans="11:48" x14ac:dyDescent="0.2">
      <c r="K213" s="11" t="str">
        <f>IF(AND(COUNTA(B213:C213)&gt;1,COUNTA(F213:G213)&gt;1,O213="Completed"),(G213-C213)/(C213-#REF!+1)%,"")</f>
        <v/>
      </c>
      <c r="L213" s="11" t="str">
        <f>IF(AND(COUNT(D213:E213)&gt;0,COUNTA(F213:G213)&gt;1,O213="Completed"),(G213-AG213)/(AG213-#REF!+1)%,"")</f>
        <v/>
      </c>
      <c r="M213" s="11" t="str">
        <f t="shared" si="24"/>
        <v/>
      </c>
      <c r="N213" s="11" t="str">
        <f t="shared" si="25"/>
        <v/>
      </c>
      <c r="O213" s="12"/>
      <c r="P213" s="12"/>
      <c r="R213" s="10" t="str">
        <f>IF(H213&lt;&gt;"",SUMIF(H$3:H213,"&lt;&gt;" &amp; "",H$3:H213),"")</f>
        <v/>
      </c>
      <c r="S213" s="10" t="str">
        <f t="array" ref="S213">IF(O213="Completed",SUMIF(W$3:W213,"&lt;&gt;" &amp; "",W$3:W213),"")</f>
        <v/>
      </c>
      <c r="T213" s="10" t="str">
        <f t="array" ref="T213">IF(AND(J213&lt;&gt;"",O213="Completed"),SUM(IF(O$3:O213="Completed",J$3:J213,0)),"")</f>
        <v/>
      </c>
      <c r="U213" s="10" t="str">
        <f t="shared" si="30"/>
        <v/>
      </c>
      <c r="V213" s="10">
        <f>ROW()</f>
        <v>213</v>
      </c>
      <c r="W213" s="10" t="str">
        <f t="shared" si="26"/>
        <v/>
      </c>
      <c r="Z213" s="10" t="str">
        <f>IF(A213&lt;&gt;"",'Metrics planning and tracking'!$K$4,"")</f>
        <v/>
      </c>
      <c r="AA213" s="10" t="str">
        <f>IF(A213&lt;&gt;"",'Metrics planning and tracking'!$K$5,"")</f>
        <v/>
      </c>
      <c r="AB213" s="10" t="str">
        <f>IF(A213&lt;&gt;"",'Metrics planning and tracking'!$K$2,"")</f>
        <v/>
      </c>
      <c r="AC213" s="10" t="str">
        <f>IF(A213&lt;&gt;"",'Metrics planning and tracking'!$K$3,"")</f>
        <v/>
      </c>
      <c r="AD213" s="10" t="str">
        <f>IF(A213&lt;&gt;"",IF(AND(#REF!&lt;&gt;"",#REF!&lt;&gt;"",#REF!&lt;&gt;0),#REF!/#REF!*100,"NA"),"")</f>
        <v/>
      </c>
      <c r="AE213" s="10" t="str">
        <f>IF(A213&lt;&gt;"",IF(AND(#REF!&lt;&gt;"",#REF!&lt;&gt;"",#REF!&lt;&gt;0),#REF!/#REF!*100,"NA"),"")</f>
        <v/>
      </c>
      <c r="AF213" s="57" t="str">
        <f t="shared" si="27"/>
        <v/>
      </c>
      <c r="AG213" s="57" t="str">
        <f t="shared" si="28"/>
        <v/>
      </c>
      <c r="AH213" s="58" t="str">
        <f t="shared" si="29"/>
        <v/>
      </c>
      <c r="AV213" s="22" t="str">
        <f>IF(A213&lt;&gt;"",A213 &amp; "-" &amp;#REF! &amp; ROW(),"")</f>
        <v/>
      </c>
    </row>
    <row r="214" spans="11:48" x14ac:dyDescent="0.2">
      <c r="K214" s="11" t="str">
        <f>IF(AND(COUNTA(B214:C214)&gt;1,COUNTA(F214:G214)&gt;1,O214="Completed"),(G214-C214)/(C214-#REF!+1)%,"")</f>
        <v/>
      </c>
      <c r="L214" s="11" t="str">
        <f>IF(AND(COUNT(D214:E214)&gt;0,COUNTA(F214:G214)&gt;1,O214="Completed"),(G214-AG214)/(AG214-#REF!+1)%,"")</f>
        <v/>
      </c>
      <c r="M214" s="11" t="str">
        <f t="shared" ref="M214:M277" si="31">IF(AND(T214&lt;&gt;"",T214&lt;&gt;0,R214&lt;&gt;"",R214&lt;&gt;0),(T214-R214)/R214%,IF(AND(H214&lt;&gt;"",H214&lt;&gt;0,OR(J214="",J214=0)),"Actual Effort reqd.",""))</f>
        <v/>
      </c>
      <c r="N214" s="11" t="str">
        <f t="shared" ref="N214:N277" si="32">IF(AND(T214&lt;&gt;"",T214&lt;&gt;0,S214&lt;&gt;"",S214&lt;&gt;0),(T214-S214)/S214%,IF(AND(I214&lt;&gt;"",I214&lt;&gt;0,OR(J214="",J214=0)),"Actual Effort reqd.",""))</f>
        <v/>
      </c>
      <c r="O214" s="12"/>
      <c r="P214" s="12"/>
      <c r="R214" s="10" t="str">
        <f>IF(H214&lt;&gt;"",SUMIF(H$3:H214,"&lt;&gt;" &amp; "",H$3:H214),"")</f>
        <v/>
      </c>
      <c r="S214" s="10" t="str">
        <f t="array" ref="S214">IF(O214="Completed",SUMIF(W$3:W214,"&lt;&gt;" &amp; "",W$3:W214),"")</f>
        <v/>
      </c>
      <c r="T214" s="10" t="str">
        <f t="array" ref="T214">IF(AND(J214&lt;&gt;"",O214="Completed"),SUM(IF(O$3:O214="Completed",J$3:J214,0)),"")</f>
        <v/>
      </c>
      <c r="U214" s="10" t="str">
        <f t="shared" si="30"/>
        <v/>
      </c>
      <c r="V214" s="10">
        <f>ROW()</f>
        <v>214</v>
      </c>
      <c r="W214" s="10" t="str">
        <f t="shared" ref="W214:W277" si="33">IF(O214="Completed",IF(COUNT($I$3:$I$596)&gt;0,IF(I214&lt;&gt;"",I214,H214),""),"")</f>
        <v/>
      </c>
      <c r="Z214" s="10" t="str">
        <f>IF(A214&lt;&gt;"",'Metrics planning and tracking'!$K$4,"")</f>
        <v/>
      </c>
      <c r="AA214" s="10" t="str">
        <f>IF(A214&lt;&gt;"",'Metrics planning and tracking'!$K$5,"")</f>
        <v/>
      </c>
      <c r="AB214" s="10" t="str">
        <f>IF(A214&lt;&gt;"",'Metrics planning and tracking'!$K$2,"")</f>
        <v/>
      </c>
      <c r="AC214" s="10" t="str">
        <f>IF(A214&lt;&gt;"",'Metrics planning and tracking'!$K$3,"")</f>
        <v/>
      </c>
      <c r="AD214" s="10" t="str">
        <f>IF(A214&lt;&gt;"",IF(AND(#REF!&lt;&gt;"",#REF!&lt;&gt;"",#REF!&lt;&gt;0),#REF!/#REF!*100,"NA"),"")</f>
        <v/>
      </c>
      <c r="AE214" s="10" t="str">
        <f>IF(A214&lt;&gt;"",IF(AND(#REF!&lt;&gt;"",#REF!&lt;&gt;"",#REF!&lt;&gt;0),#REF!/#REF!*100,"NA"),"")</f>
        <v/>
      </c>
      <c r="AF214" s="57" t="str">
        <f t="shared" ref="AF214:AF277" si="34">IF($O214="Completed",IF(D214&lt;&gt;"",D214,IF(B214&lt;&gt;"",B214,"")),"")</f>
        <v/>
      </c>
      <c r="AG214" s="57" t="str">
        <f t="shared" ref="AG214:AG277" si="35">IF($O214="Completed",IF(E214&lt;&gt;"",E214,IF(C214&lt;&gt;"",C214,"")),"")</f>
        <v/>
      </c>
      <c r="AH214" s="58" t="str">
        <f t="shared" ref="AH214:AH277" si="36">IF(O214="Completed",IF(L214&lt;&gt;"",L214,IF(K214&lt;&gt;"",K214,"")),"")</f>
        <v/>
      </c>
      <c r="AV214" s="22" t="str">
        <f>IF(A214&lt;&gt;"",A214 &amp; "-" &amp;#REF! &amp; ROW(),"")</f>
        <v/>
      </c>
    </row>
    <row r="215" spans="11:48" x14ac:dyDescent="0.2">
      <c r="K215" s="11" t="str">
        <f>IF(AND(COUNTA(B215:C215)&gt;1,COUNTA(F215:G215)&gt;1,O215="Completed"),(G215-C215)/(C215-#REF!+1)%,"")</f>
        <v/>
      </c>
      <c r="L215" s="11" t="str">
        <f>IF(AND(COUNT(D215:E215)&gt;0,COUNTA(F215:G215)&gt;1,O215="Completed"),(G215-AG215)/(AG215-#REF!+1)%,"")</f>
        <v/>
      </c>
      <c r="M215" s="11" t="str">
        <f t="shared" si="31"/>
        <v/>
      </c>
      <c r="N215" s="11" t="str">
        <f t="shared" si="32"/>
        <v/>
      </c>
      <c r="O215" s="12"/>
      <c r="P215" s="12"/>
      <c r="R215" s="10" t="str">
        <f>IF(H215&lt;&gt;"",SUMIF(H$3:H215,"&lt;&gt;" &amp; "",H$3:H215),"")</f>
        <v/>
      </c>
      <c r="S215" s="10" t="str">
        <f t="array" ref="S215">IF(O215="Completed",SUMIF(W$3:W215,"&lt;&gt;" &amp; "",W$3:W215),"")</f>
        <v/>
      </c>
      <c r="T215" s="10" t="str">
        <f t="array" ref="T215">IF(AND(J215&lt;&gt;"",O215="Completed"),SUM(IF(O$3:O215="Completed",J$3:J215,0)),"")</f>
        <v/>
      </c>
      <c r="U215" s="10" t="str">
        <f t="shared" si="30"/>
        <v/>
      </c>
      <c r="V215" s="10">
        <f>ROW()</f>
        <v>215</v>
      </c>
      <c r="W215" s="10" t="str">
        <f t="shared" si="33"/>
        <v/>
      </c>
      <c r="Z215" s="10" t="str">
        <f>IF(A215&lt;&gt;"",'Metrics planning and tracking'!$K$4,"")</f>
        <v/>
      </c>
      <c r="AA215" s="10" t="str">
        <f>IF(A215&lt;&gt;"",'Metrics planning and tracking'!$K$5,"")</f>
        <v/>
      </c>
      <c r="AB215" s="10" t="str">
        <f>IF(A215&lt;&gt;"",'Metrics planning and tracking'!$K$2,"")</f>
        <v/>
      </c>
      <c r="AC215" s="10" t="str">
        <f>IF(A215&lt;&gt;"",'Metrics planning and tracking'!$K$3,"")</f>
        <v/>
      </c>
      <c r="AD215" s="10" t="str">
        <f>IF(A215&lt;&gt;"",IF(AND(#REF!&lt;&gt;"",#REF!&lt;&gt;"",#REF!&lt;&gt;0),#REF!/#REF!*100,"NA"),"")</f>
        <v/>
      </c>
      <c r="AE215" s="10" t="str">
        <f>IF(A215&lt;&gt;"",IF(AND(#REF!&lt;&gt;"",#REF!&lt;&gt;"",#REF!&lt;&gt;0),#REF!/#REF!*100,"NA"),"")</f>
        <v/>
      </c>
      <c r="AF215" s="57" t="str">
        <f t="shared" si="34"/>
        <v/>
      </c>
      <c r="AG215" s="57" t="str">
        <f t="shared" si="35"/>
        <v/>
      </c>
      <c r="AH215" s="58" t="str">
        <f t="shared" si="36"/>
        <v/>
      </c>
      <c r="AV215" s="22" t="str">
        <f>IF(A215&lt;&gt;"",A215 &amp; "-" &amp;#REF! &amp; ROW(),"")</f>
        <v/>
      </c>
    </row>
    <row r="216" spans="11:48" x14ac:dyDescent="0.2">
      <c r="K216" s="11" t="str">
        <f>IF(AND(COUNTA(B216:C216)&gt;1,COUNTA(F216:G216)&gt;1,O216="Completed"),(G216-C216)/(C216-#REF!+1)%,"")</f>
        <v/>
      </c>
      <c r="L216" s="11" t="str">
        <f>IF(AND(COUNT(D216:E216)&gt;0,COUNTA(F216:G216)&gt;1,O216="Completed"),(G216-AG216)/(AG216-#REF!+1)%,"")</f>
        <v/>
      </c>
      <c r="M216" s="11" t="str">
        <f t="shared" si="31"/>
        <v/>
      </c>
      <c r="N216" s="11" t="str">
        <f t="shared" si="32"/>
        <v/>
      </c>
      <c r="O216" s="12"/>
      <c r="P216" s="12"/>
      <c r="R216" s="10" t="str">
        <f>IF(H216&lt;&gt;"",SUMIF(H$3:H216,"&lt;&gt;" &amp; "",H$3:H216),"")</f>
        <v/>
      </c>
      <c r="S216" s="10" t="str">
        <f t="array" ref="S216">IF(O216="Completed",SUMIF(W$3:W216,"&lt;&gt;" &amp; "",W$3:W216),"")</f>
        <v/>
      </c>
      <c r="T216" s="10" t="str">
        <f t="array" ref="T216">IF(AND(J216&lt;&gt;"",O216="Completed"),SUM(IF(O$3:O216="Completed",J$3:J216,0)),"")</f>
        <v/>
      </c>
      <c r="U216" s="10" t="str">
        <f t="shared" si="30"/>
        <v/>
      </c>
      <c r="V216" s="10">
        <f>ROW()</f>
        <v>216</v>
      </c>
      <c r="W216" s="10" t="str">
        <f t="shared" si="33"/>
        <v/>
      </c>
      <c r="Z216" s="10" t="str">
        <f>IF(A216&lt;&gt;"",'Metrics planning and tracking'!$K$4,"")</f>
        <v/>
      </c>
      <c r="AA216" s="10" t="str">
        <f>IF(A216&lt;&gt;"",'Metrics planning and tracking'!$K$5,"")</f>
        <v/>
      </c>
      <c r="AB216" s="10" t="str">
        <f>IF(A216&lt;&gt;"",'Metrics planning and tracking'!$K$2,"")</f>
        <v/>
      </c>
      <c r="AC216" s="10" t="str">
        <f>IF(A216&lt;&gt;"",'Metrics planning and tracking'!$K$3,"")</f>
        <v/>
      </c>
      <c r="AD216" s="10" t="str">
        <f>IF(A216&lt;&gt;"",IF(AND(#REF!&lt;&gt;"",#REF!&lt;&gt;"",#REF!&lt;&gt;0),#REF!/#REF!*100,"NA"),"")</f>
        <v/>
      </c>
      <c r="AE216" s="10" t="str">
        <f>IF(A216&lt;&gt;"",IF(AND(#REF!&lt;&gt;"",#REF!&lt;&gt;"",#REF!&lt;&gt;0),#REF!/#REF!*100,"NA"),"")</f>
        <v/>
      </c>
      <c r="AF216" s="57" t="str">
        <f t="shared" si="34"/>
        <v/>
      </c>
      <c r="AG216" s="57" t="str">
        <f t="shared" si="35"/>
        <v/>
      </c>
      <c r="AH216" s="58" t="str">
        <f t="shared" si="36"/>
        <v/>
      </c>
      <c r="AV216" s="22" t="str">
        <f>IF(A216&lt;&gt;"",A216 &amp; "-" &amp;#REF! &amp; ROW(),"")</f>
        <v/>
      </c>
    </row>
    <row r="217" spans="11:48" x14ac:dyDescent="0.2">
      <c r="K217" s="11" t="str">
        <f>IF(AND(COUNTA(B217:C217)&gt;1,COUNTA(F217:G217)&gt;1,O217="Completed"),(G217-C217)/(C217-#REF!+1)%,"")</f>
        <v/>
      </c>
      <c r="L217" s="11" t="str">
        <f>IF(AND(COUNT(D217:E217)&gt;0,COUNTA(F217:G217)&gt;1,O217="Completed"),(G217-AG217)/(AG217-#REF!+1)%,"")</f>
        <v/>
      </c>
      <c r="M217" s="11" t="str">
        <f t="shared" si="31"/>
        <v/>
      </c>
      <c r="N217" s="11" t="str">
        <f t="shared" si="32"/>
        <v/>
      </c>
      <c r="O217" s="12"/>
      <c r="P217" s="12"/>
      <c r="R217" s="10" t="str">
        <f>IF(H217&lt;&gt;"",SUMIF(H$3:H217,"&lt;&gt;" &amp; "",H$3:H217),"")</f>
        <v/>
      </c>
      <c r="S217" s="10" t="str">
        <f t="array" ref="S217">IF(O217="Completed",SUMIF(W$3:W217,"&lt;&gt;" &amp; "",W$3:W217),"")</f>
        <v/>
      </c>
      <c r="T217" s="10" t="str">
        <f t="array" ref="T217">IF(AND(J217&lt;&gt;"",O217="Completed"),SUM(IF(O$3:O217="Completed",J$3:J217,0)),"")</f>
        <v/>
      </c>
      <c r="U217" s="10" t="str">
        <f t="shared" si="30"/>
        <v/>
      </c>
      <c r="V217" s="10">
        <f>ROW()</f>
        <v>217</v>
      </c>
      <c r="W217" s="10" t="str">
        <f t="shared" si="33"/>
        <v/>
      </c>
      <c r="Z217" s="10" t="str">
        <f>IF(A217&lt;&gt;"",'Metrics planning and tracking'!$K$4,"")</f>
        <v/>
      </c>
      <c r="AA217" s="10" t="str">
        <f>IF(A217&lt;&gt;"",'Metrics planning and tracking'!$K$5,"")</f>
        <v/>
      </c>
      <c r="AB217" s="10" t="str">
        <f>IF(A217&lt;&gt;"",'Metrics planning and tracking'!$K$2,"")</f>
        <v/>
      </c>
      <c r="AC217" s="10" t="str">
        <f>IF(A217&lt;&gt;"",'Metrics planning and tracking'!$K$3,"")</f>
        <v/>
      </c>
      <c r="AD217" s="10" t="str">
        <f>IF(A217&lt;&gt;"",IF(AND(#REF!&lt;&gt;"",#REF!&lt;&gt;"",#REF!&lt;&gt;0),#REF!/#REF!*100,"NA"),"")</f>
        <v/>
      </c>
      <c r="AE217" s="10" t="str">
        <f>IF(A217&lt;&gt;"",IF(AND(#REF!&lt;&gt;"",#REF!&lt;&gt;"",#REF!&lt;&gt;0),#REF!/#REF!*100,"NA"),"")</f>
        <v/>
      </c>
      <c r="AF217" s="57" t="str">
        <f t="shared" si="34"/>
        <v/>
      </c>
      <c r="AG217" s="57" t="str">
        <f t="shared" si="35"/>
        <v/>
      </c>
      <c r="AH217" s="58" t="str">
        <f t="shared" si="36"/>
        <v/>
      </c>
      <c r="AV217" s="22" t="str">
        <f>IF(A217&lt;&gt;"",A217 &amp; "-" &amp;#REF! &amp; ROW(),"")</f>
        <v/>
      </c>
    </row>
    <row r="218" spans="11:48" x14ac:dyDescent="0.2">
      <c r="K218" s="11" t="str">
        <f>IF(AND(COUNTA(B218:C218)&gt;1,COUNTA(F218:G218)&gt;1,O218="Completed"),(G218-C218)/(C218-#REF!+1)%,"")</f>
        <v/>
      </c>
      <c r="L218" s="11" t="str">
        <f>IF(AND(COUNT(D218:E218)&gt;0,COUNTA(F218:G218)&gt;1,O218="Completed"),(G218-AG218)/(AG218-#REF!+1)%,"")</f>
        <v/>
      </c>
      <c r="M218" s="11" t="str">
        <f t="shared" si="31"/>
        <v/>
      </c>
      <c r="N218" s="11" t="str">
        <f t="shared" si="32"/>
        <v/>
      </c>
      <c r="O218" s="12"/>
      <c r="P218" s="12"/>
      <c r="R218" s="10" t="str">
        <f>IF(H218&lt;&gt;"",SUMIF(H$3:H218,"&lt;&gt;" &amp; "",H$3:H218),"")</f>
        <v/>
      </c>
      <c r="S218" s="10" t="str">
        <f t="array" ref="S218">IF(O218="Completed",SUMIF(W$3:W218,"&lt;&gt;" &amp; "",W$3:W218),"")</f>
        <v/>
      </c>
      <c r="T218" s="10" t="str">
        <f t="array" ref="T218">IF(AND(J218&lt;&gt;"",O218="Completed"),SUM(IF(O$3:O218="Completed",J$3:J218,0)),"")</f>
        <v/>
      </c>
      <c r="U218" s="10" t="str">
        <f t="shared" si="30"/>
        <v/>
      </c>
      <c r="V218" s="10">
        <f>ROW()</f>
        <v>218</v>
      </c>
      <c r="W218" s="10" t="str">
        <f t="shared" si="33"/>
        <v/>
      </c>
      <c r="Z218" s="10" t="str">
        <f>IF(A218&lt;&gt;"",'Metrics planning and tracking'!$K$4,"")</f>
        <v/>
      </c>
      <c r="AA218" s="10" t="str">
        <f>IF(A218&lt;&gt;"",'Metrics planning and tracking'!$K$5,"")</f>
        <v/>
      </c>
      <c r="AB218" s="10" t="str">
        <f>IF(A218&lt;&gt;"",'Metrics planning and tracking'!$K$2,"")</f>
        <v/>
      </c>
      <c r="AC218" s="10" t="str">
        <f>IF(A218&lt;&gt;"",'Metrics planning and tracking'!$K$3,"")</f>
        <v/>
      </c>
      <c r="AD218" s="10" t="str">
        <f>IF(A218&lt;&gt;"",IF(AND(#REF!&lt;&gt;"",#REF!&lt;&gt;"",#REF!&lt;&gt;0),#REF!/#REF!*100,"NA"),"")</f>
        <v/>
      </c>
      <c r="AE218" s="10" t="str">
        <f>IF(A218&lt;&gt;"",IF(AND(#REF!&lt;&gt;"",#REF!&lt;&gt;"",#REF!&lt;&gt;0),#REF!/#REF!*100,"NA"),"")</f>
        <v/>
      </c>
      <c r="AF218" s="57" t="str">
        <f t="shared" si="34"/>
        <v/>
      </c>
      <c r="AG218" s="57" t="str">
        <f t="shared" si="35"/>
        <v/>
      </c>
      <c r="AH218" s="58" t="str">
        <f t="shared" si="36"/>
        <v/>
      </c>
      <c r="AV218" s="22" t="str">
        <f>IF(A218&lt;&gt;"",A218 &amp; "-" &amp;#REF! &amp; ROW(),"")</f>
        <v/>
      </c>
    </row>
    <row r="219" spans="11:48" x14ac:dyDescent="0.2">
      <c r="K219" s="11" t="str">
        <f>IF(AND(COUNTA(B219:C219)&gt;1,COUNTA(F219:G219)&gt;1,O219="Completed"),(G219-C219)/(C219-#REF!+1)%,"")</f>
        <v/>
      </c>
      <c r="L219" s="11" t="str">
        <f>IF(AND(COUNT(D219:E219)&gt;0,COUNTA(F219:G219)&gt;1,O219="Completed"),(G219-AG219)/(AG219-#REF!+1)%,"")</f>
        <v/>
      </c>
      <c r="M219" s="11" t="str">
        <f t="shared" si="31"/>
        <v/>
      </c>
      <c r="N219" s="11" t="str">
        <f t="shared" si="32"/>
        <v/>
      </c>
      <c r="O219" s="12"/>
      <c r="P219" s="12"/>
      <c r="R219" s="10" t="str">
        <f>IF(H219&lt;&gt;"",SUMIF(H$3:H219,"&lt;&gt;" &amp; "",H$3:H219),"")</f>
        <v/>
      </c>
      <c r="S219" s="10" t="str">
        <f t="array" ref="S219">IF(O219="Completed",SUMIF(W$3:W219,"&lt;&gt;" &amp; "",W$3:W219),"")</f>
        <v/>
      </c>
      <c r="T219" s="10" t="str">
        <f t="array" ref="T219">IF(AND(J219&lt;&gt;"",O219="Completed"),SUM(IF(O$3:O219="Completed",J$3:J219,0)),"")</f>
        <v/>
      </c>
      <c r="U219" s="10" t="str">
        <f t="shared" si="30"/>
        <v/>
      </c>
      <c r="V219" s="10">
        <f>ROW()</f>
        <v>219</v>
      </c>
      <c r="W219" s="10" t="str">
        <f t="shared" si="33"/>
        <v/>
      </c>
      <c r="Z219" s="10" t="str">
        <f>IF(A219&lt;&gt;"",'Metrics planning and tracking'!$K$4,"")</f>
        <v/>
      </c>
      <c r="AA219" s="10" t="str">
        <f>IF(A219&lt;&gt;"",'Metrics planning and tracking'!$K$5,"")</f>
        <v/>
      </c>
      <c r="AB219" s="10" t="str">
        <f>IF(A219&lt;&gt;"",'Metrics planning and tracking'!$K$2,"")</f>
        <v/>
      </c>
      <c r="AC219" s="10" t="str">
        <f>IF(A219&lt;&gt;"",'Metrics planning and tracking'!$K$3,"")</f>
        <v/>
      </c>
      <c r="AD219" s="10" t="str">
        <f>IF(A219&lt;&gt;"",IF(AND(#REF!&lt;&gt;"",#REF!&lt;&gt;"",#REF!&lt;&gt;0),#REF!/#REF!*100,"NA"),"")</f>
        <v/>
      </c>
      <c r="AE219" s="10" t="str">
        <f>IF(A219&lt;&gt;"",IF(AND(#REF!&lt;&gt;"",#REF!&lt;&gt;"",#REF!&lt;&gt;0),#REF!/#REF!*100,"NA"),"")</f>
        <v/>
      </c>
      <c r="AF219" s="57" t="str">
        <f t="shared" si="34"/>
        <v/>
      </c>
      <c r="AG219" s="57" t="str">
        <f t="shared" si="35"/>
        <v/>
      </c>
      <c r="AH219" s="58" t="str">
        <f t="shared" si="36"/>
        <v/>
      </c>
      <c r="AV219" s="22" t="str">
        <f>IF(A219&lt;&gt;"",A219 &amp; "-" &amp;#REF! &amp; ROW(),"")</f>
        <v/>
      </c>
    </row>
    <row r="220" spans="11:48" x14ac:dyDescent="0.2">
      <c r="K220" s="11" t="str">
        <f>IF(AND(COUNTA(B220:C220)&gt;1,COUNTA(F220:G220)&gt;1,O220="Completed"),(G220-C220)/(C220-#REF!+1)%,"")</f>
        <v/>
      </c>
      <c r="L220" s="11" t="str">
        <f>IF(AND(COUNT(D220:E220)&gt;0,COUNTA(F220:G220)&gt;1,O220="Completed"),(G220-AG220)/(AG220-#REF!+1)%,"")</f>
        <v/>
      </c>
      <c r="M220" s="11" t="str">
        <f t="shared" si="31"/>
        <v/>
      </c>
      <c r="N220" s="11" t="str">
        <f t="shared" si="32"/>
        <v/>
      </c>
      <c r="O220" s="12"/>
      <c r="P220" s="12"/>
      <c r="R220" s="10" t="str">
        <f>IF(H220&lt;&gt;"",SUMIF(H$3:H220,"&lt;&gt;" &amp; "",H$3:H220),"")</f>
        <v/>
      </c>
      <c r="S220" s="10" t="str">
        <f t="array" ref="S220">IF(O220="Completed",SUMIF(W$3:W220,"&lt;&gt;" &amp; "",W$3:W220),"")</f>
        <v/>
      </c>
      <c r="T220" s="10" t="str">
        <f t="array" ref="T220">IF(AND(J220&lt;&gt;"",O220="Completed"),SUM(IF(O$3:O220="Completed",J$3:J220,0)),"")</f>
        <v/>
      </c>
      <c r="U220" s="10" t="str">
        <f t="shared" si="30"/>
        <v/>
      </c>
      <c r="V220" s="10">
        <f>ROW()</f>
        <v>220</v>
      </c>
      <c r="W220" s="10" t="str">
        <f t="shared" si="33"/>
        <v/>
      </c>
      <c r="Z220" s="10" t="str">
        <f>IF(A220&lt;&gt;"",'Metrics planning and tracking'!$K$4,"")</f>
        <v/>
      </c>
      <c r="AA220" s="10" t="str">
        <f>IF(A220&lt;&gt;"",'Metrics planning and tracking'!$K$5,"")</f>
        <v/>
      </c>
      <c r="AB220" s="10" t="str">
        <f>IF(A220&lt;&gt;"",'Metrics planning and tracking'!$K$2,"")</f>
        <v/>
      </c>
      <c r="AC220" s="10" t="str">
        <f>IF(A220&lt;&gt;"",'Metrics planning and tracking'!$K$3,"")</f>
        <v/>
      </c>
      <c r="AD220" s="10" t="str">
        <f>IF(A220&lt;&gt;"",IF(AND(#REF!&lt;&gt;"",#REF!&lt;&gt;"",#REF!&lt;&gt;0),#REF!/#REF!*100,"NA"),"")</f>
        <v/>
      </c>
      <c r="AE220" s="10" t="str">
        <f>IF(A220&lt;&gt;"",IF(AND(#REF!&lt;&gt;"",#REF!&lt;&gt;"",#REF!&lt;&gt;0),#REF!/#REF!*100,"NA"),"")</f>
        <v/>
      </c>
      <c r="AF220" s="57" t="str">
        <f t="shared" si="34"/>
        <v/>
      </c>
      <c r="AG220" s="57" t="str">
        <f t="shared" si="35"/>
        <v/>
      </c>
      <c r="AH220" s="58" t="str">
        <f t="shared" si="36"/>
        <v/>
      </c>
      <c r="AV220" s="22" t="str">
        <f>IF(A220&lt;&gt;"",A220 &amp; "-" &amp;#REF! &amp; ROW(),"")</f>
        <v/>
      </c>
    </row>
    <row r="221" spans="11:48" x14ac:dyDescent="0.2">
      <c r="K221" s="11" t="str">
        <f>IF(AND(COUNTA(B221:C221)&gt;1,COUNTA(F221:G221)&gt;1,O221="Completed"),(G221-C221)/(C221-#REF!+1)%,"")</f>
        <v/>
      </c>
      <c r="L221" s="11" t="str">
        <f>IF(AND(COUNT(D221:E221)&gt;0,COUNTA(F221:G221)&gt;1,O221="Completed"),(G221-AG221)/(AG221-#REF!+1)%,"")</f>
        <v/>
      </c>
      <c r="M221" s="11" t="str">
        <f t="shared" si="31"/>
        <v/>
      </c>
      <c r="N221" s="11" t="str">
        <f t="shared" si="32"/>
        <v/>
      </c>
      <c r="O221" s="12"/>
      <c r="P221" s="12"/>
      <c r="R221" s="10" t="str">
        <f>IF(H221&lt;&gt;"",SUMIF(H$3:H221,"&lt;&gt;" &amp; "",H$3:H221),"")</f>
        <v/>
      </c>
      <c r="S221" s="10" t="str">
        <f t="array" ref="S221">IF(O221="Completed",SUMIF(W$3:W221,"&lt;&gt;" &amp; "",W$3:W221),"")</f>
        <v/>
      </c>
      <c r="T221" s="10" t="str">
        <f t="array" ref="T221">IF(AND(J221&lt;&gt;"",O221="Completed"),SUM(IF(O$3:O221="Completed",J$3:J221,0)),"")</f>
        <v/>
      </c>
      <c r="U221" s="10" t="str">
        <f t="shared" si="30"/>
        <v/>
      </c>
      <c r="V221" s="10">
        <f>ROW()</f>
        <v>221</v>
      </c>
      <c r="W221" s="10" t="str">
        <f t="shared" si="33"/>
        <v/>
      </c>
      <c r="Z221" s="10" t="str">
        <f>IF(A221&lt;&gt;"",'Metrics planning and tracking'!$K$4,"")</f>
        <v/>
      </c>
      <c r="AA221" s="10" t="str">
        <f>IF(A221&lt;&gt;"",'Metrics planning and tracking'!$K$5,"")</f>
        <v/>
      </c>
      <c r="AB221" s="10" t="str">
        <f>IF(A221&lt;&gt;"",'Metrics planning and tracking'!$K$2,"")</f>
        <v/>
      </c>
      <c r="AC221" s="10" t="str">
        <f>IF(A221&lt;&gt;"",'Metrics planning and tracking'!$K$3,"")</f>
        <v/>
      </c>
      <c r="AD221" s="10" t="str">
        <f>IF(A221&lt;&gt;"",IF(AND(#REF!&lt;&gt;"",#REF!&lt;&gt;"",#REF!&lt;&gt;0),#REF!/#REF!*100,"NA"),"")</f>
        <v/>
      </c>
      <c r="AE221" s="10" t="str">
        <f>IF(A221&lt;&gt;"",IF(AND(#REF!&lt;&gt;"",#REF!&lt;&gt;"",#REF!&lt;&gt;0),#REF!/#REF!*100,"NA"),"")</f>
        <v/>
      </c>
      <c r="AF221" s="57" t="str">
        <f t="shared" si="34"/>
        <v/>
      </c>
      <c r="AG221" s="57" t="str">
        <f t="shared" si="35"/>
        <v/>
      </c>
      <c r="AH221" s="58" t="str">
        <f t="shared" si="36"/>
        <v/>
      </c>
      <c r="AV221" s="22" t="str">
        <f>IF(A221&lt;&gt;"",A221 &amp; "-" &amp;#REF! &amp; ROW(),"")</f>
        <v/>
      </c>
    </row>
    <row r="222" spans="11:48" x14ac:dyDescent="0.2">
      <c r="K222" s="11" t="str">
        <f>IF(AND(COUNTA(B222:C222)&gt;1,COUNTA(F222:G222)&gt;1,O222="Completed"),(G222-C222)/(C222-#REF!+1)%,"")</f>
        <v/>
      </c>
      <c r="L222" s="11" t="str">
        <f>IF(AND(COUNT(D222:E222)&gt;0,COUNTA(F222:G222)&gt;1,O222="Completed"),(G222-AG222)/(AG222-#REF!+1)%,"")</f>
        <v/>
      </c>
      <c r="M222" s="11" t="str">
        <f t="shared" si="31"/>
        <v/>
      </c>
      <c r="N222" s="11" t="str">
        <f t="shared" si="32"/>
        <v/>
      </c>
      <c r="O222" s="12"/>
      <c r="P222" s="12"/>
      <c r="R222" s="10" t="str">
        <f>IF(H222&lt;&gt;"",SUMIF(H$3:H222,"&lt;&gt;" &amp; "",H$3:H222),"")</f>
        <v/>
      </c>
      <c r="S222" s="10" t="str">
        <f t="array" ref="S222">IF(O222="Completed",SUMIF(W$3:W222,"&lt;&gt;" &amp; "",W$3:W222),"")</f>
        <v/>
      </c>
      <c r="T222" s="10" t="str">
        <f t="array" ref="T222">IF(AND(J222&lt;&gt;"",O222="Completed"),SUM(IF(O$3:O222="Completed",J$3:J222,0)),"")</f>
        <v/>
      </c>
      <c r="U222" s="10" t="str">
        <f t="shared" si="30"/>
        <v/>
      </c>
      <c r="V222" s="10">
        <f>ROW()</f>
        <v>222</v>
      </c>
      <c r="W222" s="10" t="str">
        <f t="shared" si="33"/>
        <v/>
      </c>
      <c r="Z222" s="10" t="str">
        <f>IF(A222&lt;&gt;"",'Metrics planning and tracking'!$K$4,"")</f>
        <v/>
      </c>
      <c r="AA222" s="10" t="str">
        <f>IF(A222&lt;&gt;"",'Metrics planning and tracking'!$K$5,"")</f>
        <v/>
      </c>
      <c r="AB222" s="10" t="str">
        <f>IF(A222&lt;&gt;"",'Metrics planning and tracking'!$K$2,"")</f>
        <v/>
      </c>
      <c r="AC222" s="10" t="str">
        <f>IF(A222&lt;&gt;"",'Metrics planning and tracking'!$K$3,"")</f>
        <v/>
      </c>
      <c r="AD222" s="10" t="str">
        <f>IF(A222&lt;&gt;"",IF(AND(#REF!&lt;&gt;"",#REF!&lt;&gt;"",#REF!&lt;&gt;0),#REF!/#REF!*100,"NA"),"")</f>
        <v/>
      </c>
      <c r="AE222" s="10" t="str">
        <f>IF(A222&lt;&gt;"",IF(AND(#REF!&lt;&gt;"",#REF!&lt;&gt;"",#REF!&lt;&gt;0),#REF!/#REF!*100,"NA"),"")</f>
        <v/>
      </c>
      <c r="AF222" s="57" t="str">
        <f t="shared" si="34"/>
        <v/>
      </c>
      <c r="AG222" s="57" t="str">
        <f t="shared" si="35"/>
        <v/>
      </c>
      <c r="AH222" s="58" t="str">
        <f t="shared" si="36"/>
        <v/>
      </c>
      <c r="AV222" s="22" t="str">
        <f>IF(A222&lt;&gt;"",A222 &amp; "-" &amp;#REF! &amp; ROW(),"")</f>
        <v/>
      </c>
    </row>
    <row r="223" spans="11:48" x14ac:dyDescent="0.2">
      <c r="K223" s="11" t="str">
        <f>IF(AND(COUNTA(B223:C223)&gt;1,COUNTA(F223:G223)&gt;1,O223="Completed"),(G223-C223)/(C223-#REF!+1)%,"")</f>
        <v/>
      </c>
      <c r="L223" s="11" t="str">
        <f>IF(AND(COUNT(D223:E223)&gt;0,COUNTA(F223:G223)&gt;1,O223="Completed"),(G223-AG223)/(AG223-#REF!+1)%,"")</f>
        <v/>
      </c>
      <c r="M223" s="11" t="str">
        <f t="shared" si="31"/>
        <v/>
      </c>
      <c r="N223" s="11" t="str">
        <f t="shared" si="32"/>
        <v/>
      </c>
      <c r="O223" s="12"/>
      <c r="P223" s="12"/>
      <c r="R223" s="10" t="str">
        <f>IF(H223&lt;&gt;"",SUMIF(H$3:H223,"&lt;&gt;" &amp; "",H$3:H223),"")</f>
        <v/>
      </c>
      <c r="S223" s="10" t="str">
        <f t="array" ref="S223">IF(O223="Completed",SUMIF(W$3:W223,"&lt;&gt;" &amp; "",W$3:W223),"")</f>
        <v/>
      </c>
      <c r="T223" s="10" t="str">
        <f t="array" ref="T223">IF(AND(J223&lt;&gt;"",O223="Completed"),SUM(IF(O$3:O223="Completed",J$3:J223,0)),"")</f>
        <v/>
      </c>
      <c r="U223" s="10" t="str">
        <f t="shared" si="30"/>
        <v/>
      </c>
      <c r="V223" s="10">
        <f>ROW()</f>
        <v>223</v>
      </c>
      <c r="W223" s="10" t="str">
        <f t="shared" si="33"/>
        <v/>
      </c>
      <c r="Z223" s="10" t="str">
        <f>IF(A223&lt;&gt;"",'Metrics planning and tracking'!$K$4,"")</f>
        <v/>
      </c>
      <c r="AA223" s="10" t="str">
        <f>IF(A223&lt;&gt;"",'Metrics planning and tracking'!$K$5,"")</f>
        <v/>
      </c>
      <c r="AB223" s="10" t="str">
        <f>IF(A223&lt;&gt;"",'Metrics planning and tracking'!$K$2,"")</f>
        <v/>
      </c>
      <c r="AC223" s="10" t="str">
        <f>IF(A223&lt;&gt;"",'Metrics planning and tracking'!$K$3,"")</f>
        <v/>
      </c>
      <c r="AD223" s="10" t="str">
        <f>IF(A223&lt;&gt;"",IF(AND(#REF!&lt;&gt;"",#REF!&lt;&gt;"",#REF!&lt;&gt;0),#REF!/#REF!*100,"NA"),"")</f>
        <v/>
      </c>
      <c r="AE223" s="10" t="str">
        <f>IF(A223&lt;&gt;"",IF(AND(#REF!&lt;&gt;"",#REF!&lt;&gt;"",#REF!&lt;&gt;0),#REF!/#REF!*100,"NA"),"")</f>
        <v/>
      </c>
      <c r="AF223" s="57" t="str">
        <f t="shared" si="34"/>
        <v/>
      </c>
      <c r="AG223" s="57" t="str">
        <f t="shared" si="35"/>
        <v/>
      </c>
      <c r="AH223" s="58" t="str">
        <f t="shared" si="36"/>
        <v/>
      </c>
      <c r="AV223" s="22" t="str">
        <f>IF(A223&lt;&gt;"",A223 &amp; "-" &amp;#REF! &amp; ROW(),"")</f>
        <v/>
      </c>
    </row>
    <row r="224" spans="11:48" x14ac:dyDescent="0.2">
      <c r="K224" s="11" t="str">
        <f>IF(AND(COUNTA(B224:C224)&gt;1,COUNTA(F224:G224)&gt;1,O224="Completed"),(G224-C224)/(C224-#REF!+1)%,"")</f>
        <v/>
      </c>
      <c r="L224" s="11" t="str">
        <f>IF(AND(COUNT(D224:E224)&gt;0,COUNTA(F224:G224)&gt;1,O224="Completed"),(G224-AG224)/(AG224-#REF!+1)%,"")</f>
        <v/>
      </c>
      <c r="M224" s="11" t="str">
        <f t="shared" si="31"/>
        <v/>
      </c>
      <c r="N224" s="11" t="str">
        <f t="shared" si="32"/>
        <v/>
      </c>
      <c r="O224" s="12"/>
      <c r="P224" s="12"/>
      <c r="R224" s="10" t="str">
        <f>IF(H224&lt;&gt;"",SUMIF(H$3:H224,"&lt;&gt;" &amp; "",H$3:H224),"")</f>
        <v/>
      </c>
      <c r="S224" s="10" t="str">
        <f t="array" ref="S224">IF(O224="Completed",SUMIF(W$3:W224,"&lt;&gt;" &amp; "",W$3:W224),"")</f>
        <v/>
      </c>
      <c r="T224" s="10" t="str">
        <f t="array" ref="T224">IF(AND(J224&lt;&gt;"",O224="Completed"),SUM(IF(O$3:O224="Completed",J$3:J224,0)),"")</f>
        <v/>
      </c>
      <c r="U224" s="10" t="str">
        <f t="shared" si="30"/>
        <v/>
      </c>
      <c r="V224" s="10">
        <f>ROW()</f>
        <v>224</v>
      </c>
      <c r="W224" s="10" t="str">
        <f t="shared" si="33"/>
        <v/>
      </c>
      <c r="Z224" s="10" t="str">
        <f>IF(A224&lt;&gt;"",'Metrics planning and tracking'!$K$4,"")</f>
        <v/>
      </c>
      <c r="AA224" s="10" t="str">
        <f>IF(A224&lt;&gt;"",'Metrics planning and tracking'!$K$5,"")</f>
        <v/>
      </c>
      <c r="AB224" s="10" t="str">
        <f>IF(A224&lt;&gt;"",'Metrics planning and tracking'!$K$2,"")</f>
        <v/>
      </c>
      <c r="AC224" s="10" t="str">
        <f>IF(A224&lt;&gt;"",'Metrics planning and tracking'!$K$3,"")</f>
        <v/>
      </c>
      <c r="AD224" s="10" t="str">
        <f>IF(A224&lt;&gt;"",IF(AND(#REF!&lt;&gt;"",#REF!&lt;&gt;"",#REF!&lt;&gt;0),#REF!/#REF!*100,"NA"),"")</f>
        <v/>
      </c>
      <c r="AE224" s="10" t="str">
        <f>IF(A224&lt;&gt;"",IF(AND(#REF!&lt;&gt;"",#REF!&lt;&gt;"",#REF!&lt;&gt;0),#REF!/#REF!*100,"NA"),"")</f>
        <v/>
      </c>
      <c r="AF224" s="57" t="str">
        <f t="shared" si="34"/>
        <v/>
      </c>
      <c r="AG224" s="57" t="str">
        <f t="shared" si="35"/>
        <v/>
      </c>
      <c r="AH224" s="58" t="str">
        <f t="shared" si="36"/>
        <v/>
      </c>
      <c r="AV224" s="22" t="str">
        <f>IF(A224&lt;&gt;"",A224 &amp; "-" &amp;#REF! &amp; ROW(),"")</f>
        <v/>
      </c>
    </row>
    <row r="225" spans="11:48" x14ac:dyDescent="0.2">
      <c r="K225" s="11" t="str">
        <f>IF(AND(COUNTA(B225:C225)&gt;1,COUNTA(F225:G225)&gt;1,O225="Completed"),(G225-C225)/(C225-#REF!+1)%,"")</f>
        <v/>
      </c>
      <c r="L225" s="11" t="str">
        <f>IF(AND(COUNT(D225:E225)&gt;0,COUNTA(F225:G225)&gt;1,O225="Completed"),(G225-AG225)/(AG225-#REF!+1)%,"")</f>
        <v/>
      </c>
      <c r="M225" s="11" t="str">
        <f t="shared" si="31"/>
        <v/>
      </c>
      <c r="N225" s="11" t="str">
        <f t="shared" si="32"/>
        <v/>
      </c>
      <c r="O225" s="12"/>
      <c r="P225" s="12"/>
      <c r="R225" s="10" t="str">
        <f>IF(H225&lt;&gt;"",SUMIF(H$3:H225,"&lt;&gt;" &amp; "",H$3:H225),"")</f>
        <v/>
      </c>
      <c r="S225" s="10" t="str">
        <f t="array" ref="S225">IF(O225="Completed",SUMIF(W$3:W225,"&lt;&gt;" &amp; "",W$3:W225),"")</f>
        <v/>
      </c>
      <c r="T225" s="10" t="str">
        <f t="array" ref="T225">IF(AND(J225&lt;&gt;"",O225="Completed"),SUM(IF(O$3:O225="Completed",J$3:J225,0)),"")</f>
        <v/>
      </c>
      <c r="U225" s="10" t="str">
        <f t="shared" si="30"/>
        <v/>
      </c>
      <c r="V225" s="10">
        <f>ROW()</f>
        <v>225</v>
      </c>
      <c r="W225" s="10" t="str">
        <f t="shared" si="33"/>
        <v/>
      </c>
      <c r="Z225" s="10" t="str">
        <f>IF(A225&lt;&gt;"",'Metrics planning and tracking'!$K$4,"")</f>
        <v/>
      </c>
      <c r="AA225" s="10" t="str">
        <f>IF(A225&lt;&gt;"",'Metrics planning and tracking'!$K$5,"")</f>
        <v/>
      </c>
      <c r="AB225" s="10" t="str">
        <f>IF(A225&lt;&gt;"",'Metrics planning and tracking'!$K$2,"")</f>
        <v/>
      </c>
      <c r="AC225" s="10" t="str">
        <f>IF(A225&lt;&gt;"",'Metrics planning and tracking'!$K$3,"")</f>
        <v/>
      </c>
      <c r="AD225" s="10" t="str">
        <f>IF(A225&lt;&gt;"",IF(AND(#REF!&lt;&gt;"",#REF!&lt;&gt;"",#REF!&lt;&gt;0),#REF!/#REF!*100,"NA"),"")</f>
        <v/>
      </c>
      <c r="AE225" s="10" t="str">
        <f>IF(A225&lt;&gt;"",IF(AND(#REF!&lt;&gt;"",#REF!&lt;&gt;"",#REF!&lt;&gt;0),#REF!/#REF!*100,"NA"),"")</f>
        <v/>
      </c>
      <c r="AF225" s="57" t="str">
        <f t="shared" si="34"/>
        <v/>
      </c>
      <c r="AG225" s="57" t="str">
        <f t="shared" si="35"/>
        <v/>
      </c>
      <c r="AH225" s="58" t="str">
        <f t="shared" si="36"/>
        <v/>
      </c>
      <c r="AV225" s="22" t="str">
        <f>IF(A225&lt;&gt;"",A225 &amp; "-" &amp;#REF! &amp; ROW(),"")</f>
        <v/>
      </c>
    </row>
    <row r="226" spans="11:48" x14ac:dyDescent="0.2">
      <c r="K226" s="11" t="str">
        <f>IF(AND(COUNTA(B226:C226)&gt;1,COUNTA(F226:G226)&gt;1,O226="Completed"),(G226-C226)/(C226-#REF!+1)%,"")</f>
        <v/>
      </c>
      <c r="L226" s="11" t="str">
        <f>IF(AND(COUNT(D226:E226)&gt;0,COUNTA(F226:G226)&gt;1,O226="Completed"),(G226-AG226)/(AG226-#REF!+1)%,"")</f>
        <v/>
      </c>
      <c r="M226" s="11" t="str">
        <f t="shared" si="31"/>
        <v/>
      </c>
      <c r="N226" s="11" t="str">
        <f t="shared" si="32"/>
        <v/>
      </c>
      <c r="O226" s="12"/>
      <c r="P226" s="12"/>
      <c r="R226" s="10" t="str">
        <f>IF(H226&lt;&gt;"",SUMIF(H$3:H226,"&lt;&gt;" &amp; "",H$3:H226),"")</f>
        <v/>
      </c>
      <c r="S226" s="10" t="str">
        <f t="array" ref="S226">IF(O226="Completed",SUMIF(W$3:W226,"&lt;&gt;" &amp; "",W$3:W226),"")</f>
        <v/>
      </c>
      <c r="T226" s="10" t="str">
        <f t="array" ref="T226">IF(AND(J226&lt;&gt;"",O226="Completed"),SUM(IF(O$3:O226="Completed",J$3:J226,0)),"")</f>
        <v/>
      </c>
      <c r="U226" s="10" t="str">
        <f t="shared" si="30"/>
        <v/>
      </c>
      <c r="V226" s="10">
        <f>ROW()</f>
        <v>226</v>
      </c>
      <c r="W226" s="10" t="str">
        <f t="shared" si="33"/>
        <v/>
      </c>
      <c r="Z226" s="10" t="str">
        <f>IF(A226&lt;&gt;"",'Metrics planning and tracking'!$K$4,"")</f>
        <v/>
      </c>
      <c r="AA226" s="10" t="str">
        <f>IF(A226&lt;&gt;"",'Metrics planning and tracking'!$K$5,"")</f>
        <v/>
      </c>
      <c r="AB226" s="10" t="str">
        <f>IF(A226&lt;&gt;"",'Metrics planning and tracking'!$K$2,"")</f>
        <v/>
      </c>
      <c r="AC226" s="10" t="str">
        <f>IF(A226&lt;&gt;"",'Metrics planning and tracking'!$K$3,"")</f>
        <v/>
      </c>
      <c r="AD226" s="10" t="str">
        <f>IF(A226&lt;&gt;"",IF(AND(#REF!&lt;&gt;"",#REF!&lt;&gt;"",#REF!&lt;&gt;0),#REF!/#REF!*100,"NA"),"")</f>
        <v/>
      </c>
      <c r="AE226" s="10" t="str">
        <f>IF(A226&lt;&gt;"",IF(AND(#REF!&lt;&gt;"",#REF!&lt;&gt;"",#REF!&lt;&gt;0),#REF!/#REF!*100,"NA"),"")</f>
        <v/>
      </c>
      <c r="AF226" s="57" t="str">
        <f t="shared" si="34"/>
        <v/>
      </c>
      <c r="AG226" s="57" t="str">
        <f t="shared" si="35"/>
        <v/>
      </c>
      <c r="AH226" s="58" t="str">
        <f t="shared" si="36"/>
        <v/>
      </c>
      <c r="AV226" s="22" t="str">
        <f>IF(A226&lt;&gt;"",A226 &amp; "-" &amp;#REF! &amp; ROW(),"")</f>
        <v/>
      </c>
    </row>
    <row r="227" spans="11:48" x14ac:dyDescent="0.2">
      <c r="K227" s="11" t="str">
        <f>IF(AND(COUNTA(B227:C227)&gt;1,COUNTA(F227:G227)&gt;1,O227="Completed"),(G227-C227)/(C227-#REF!+1)%,"")</f>
        <v/>
      </c>
      <c r="L227" s="11" t="str">
        <f>IF(AND(COUNT(D227:E227)&gt;0,COUNTA(F227:G227)&gt;1,O227="Completed"),(G227-AG227)/(AG227-#REF!+1)%,"")</f>
        <v/>
      </c>
      <c r="M227" s="11" t="str">
        <f t="shared" si="31"/>
        <v/>
      </c>
      <c r="N227" s="11" t="str">
        <f t="shared" si="32"/>
        <v/>
      </c>
      <c r="O227" s="12"/>
      <c r="P227" s="12"/>
      <c r="R227" s="10" t="str">
        <f>IF(H227&lt;&gt;"",SUMIF(H$3:H227,"&lt;&gt;" &amp; "",H$3:H227),"")</f>
        <v/>
      </c>
      <c r="S227" s="10" t="str">
        <f t="array" ref="S227">IF(O227="Completed",SUMIF(W$3:W227,"&lt;&gt;" &amp; "",W$3:W227),"")</f>
        <v/>
      </c>
      <c r="T227" s="10" t="str">
        <f t="array" ref="T227">IF(AND(J227&lt;&gt;"",O227="Completed"),SUM(IF(O$3:O227="Completed",J$3:J227,0)),"")</f>
        <v/>
      </c>
      <c r="U227" s="10" t="str">
        <f t="shared" si="30"/>
        <v/>
      </c>
      <c r="V227" s="10">
        <f>ROW()</f>
        <v>227</v>
      </c>
      <c r="W227" s="10" t="str">
        <f t="shared" si="33"/>
        <v/>
      </c>
      <c r="Z227" s="10" t="str">
        <f>IF(A227&lt;&gt;"",'Metrics planning and tracking'!$K$4,"")</f>
        <v/>
      </c>
      <c r="AA227" s="10" t="str">
        <f>IF(A227&lt;&gt;"",'Metrics planning and tracking'!$K$5,"")</f>
        <v/>
      </c>
      <c r="AB227" s="10" t="str">
        <f>IF(A227&lt;&gt;"",'Metrics planning and tracking'!$K$2,"")</f>
        <v/>
      </c>
      <c r="AC227" s="10" t="str">
        <f>IF(A227&lt;&gt;"",'Metrics planning and tracking'!$K$3,"")</f>
        <v/>
      </c>
      <c r="AD227" s="10" t="str">
        <f>IF(A227&lt;&gt;"",IF(AND(#REF!&lt;&gt;"",#REF!&lt;&gt;"",#REF!&lt;&gt;0),#REF!/#REF!*100,"NA"),"")</f>
        <v/>
      </c>
      <c r="AE227" s="10" t="str">
        <f>IF(A227&lt;&gt;"",IF(AND(#REF!&lt;&gt;"",#REF!&lt;&gt;"",#REF!&lt;&gt;0),#REF!/#REF!*100,"NA"),"")</f>
        <v/>
      </c>
      <c r="AF227" s="57" t="str">
        <f t="shared" si="34"/>
        <v/>
      </c>
      <c r="AG227" s="57" t="str">
        <f t="shared" si="35"/>
        <v/>
      </c>
      <c r="AH227" s="58" t="str">
        <f t="shared" si="36"/>
        <v/>
      </c>
      <c r="AV227" s="22" t="str">
        <f>IF(A227&lt;&gt;"",A227 &amp; "-" &amp;#REF! &amp; ROW(),"")</f>
        <v/>
      </c>
    </row>
    <row r="228" spans="11:48" x14ac:dyDescent="0.2">
      <c r="K228" s="11" t="str">
        <f>IF(AND(COUNTA(B228:C228)&gt;1,COUNTA(F228:G228)&gt;1,O228="Completed"),(G228-C228)/(C228-#REF!+1)%,"")</f>
        <v/>
      </c>
      <c r="L228" s="11" t="str">
        <f>IF(AND(COUNT(D228:E228)&gt;0,COUNTA(F228:G228)&gt;1,O228="Completed"),(G228-AG228)/(AG228-#REF!+1)%,"")</f>
        <v/>
      </c>
      <c r="M228" s="11" t="str">
        <f t="shared" si="31"/>
        <v/>
      </c>
      <c r="N228" s="11" t="str">
        <f t="shared" si="32"/>
        <v/>
      </c>
      <c r="O228" s="12"/>
      <c r="P228" s="12"/>
      <c r="R228" s="10" t="str">
        <f>IF(H228&lt;&gt;"",SUMIF(H$3:H228,"&lt;&gt;" &amp; "",H$3:H228),"")</f>
        <v/>
      </c>
      <c r="S228" s="10" t="str">
        <f t="array" ref="S228">IF(O228="Completed",SUMIF(W$3:W228,"&lt;&gt;" &amp; "",W$3:W228),"")</f>
        <v/>
      </c>
      <c r="T228" s="10" t="str">
        <f t="array" ref="T228">IF(AND(J228&lt;&gt;"",O228="Completed"),SUM(IF(O$3:O228="Completed",J$3:J228,0)),"")</f>
        <v/>
      </c>
      <c r="U228" s="10" t="str">
        <f t="shared" si="30"/>
        <v/>
      </c>
      <c r="V228" s="10">
        <f>ROW()</f>
        <v>228</v>
      </c>
      <c r="W228" s="10" t="str">
        <f t="shared" si="33"/>
        <v/>
      </c>
      <c r="Z228" s="10" t="str">
        <f>IF(A228&lt;&gt;"",'Metrics planning and tracking'!$K$4,"")</f>
        <v/>
      </c>
      <c r="AA228" s="10" t="str">
        <f>IF(A228&lt;&gt;"",'Metrics planning and tracking'!$K$5,"")</f>
        <v/>
      </c>
      <c r="AB228" s="10" t="str">
        <f>IF(A228&lt;&gt;"",'Metrics planning and tracking'!$K$2,"")</f>
        <v/>
      </c>
      <c r="AC228" s="10" t="str">
        <f>IF(A228&lt;&gt;"",'Metrics planning and tracking'!$K$3,"")</f>
        <v/>
      </c>
      <c r="AD228" s="10" t="str">
        <f>IF(A228&lt;&gt;"",IF(AND(#REF!&lt;&gt;"",#REF!&lt;&gt;"",#REF!&lt;&gt;0),#REF!/#REF!*100,"NA"),"")</f>
        <v/>
      </c>
      <c r="AE228" s="10" t="str">
        <f>IF(A228&lt;&gt;"",IF(AND(#REF!&lt;&gt;"",#REF!&lt;&gt;"",#REF!&lt;&gt;0),#REF!/#REF!*100,"NA"),"")</f>
        <v/>
      </c>
      <c r="AF228" s="57" t="str">
        <f t="shared" si="34"/>
        <v/>
      </c>
      <c r="AG228" s="57" t="str">
        <f t="shared" si="35"/>
        <v/>
      </c>
      <c r="AH228" s="58" t="str">
        <f t="shared" si="36"/>
        <v/>
      </c>
      <c r="AV228" s="22" t="str">
        <f>IF(A228&lt;&gt;"",A228 &amp; "-" &amp;#REF! &amp; ROW(),"")</f>
        <v/>
      </c>
    </row>
    <row r="229" spans="11:48" x14ac:dyDescent="0.2">
      <c r="K229" s="11" t="str">
        <f>IF(AND(COUNTA(B229:C229)&gt;1,COUNTA(F229:G229)&gt;1,O229="Completed"),(G229-C229)/(C229-#REF!+1)%,"")</f>
        <v/>
      </c>
      <c r="L229" s="11" t="str">
        <f>IF(AND(COUNT(D229:E229)&gt;0,COUNTA(F229:G229)&gt;1,O229="Completed"),(G229-AG229)/(AG229-#REF!+1)%,"")</f>
        <v/>
      </c>
      <c r="M229" s="11" t="str">
        <f t="shared" si="31"/>
        <v/>
      </c>
      <c r="N229" s="11" t="str">
        <f t="shared" si="32"/>
        <v/>
      </c>
      <c r="O229" s="12"/>
      <c r="P229" s="12"/>
      <c r="R229" s="10" t="str">
        <f>IF(H229&lt;&gt;"",SUMIF(H$3:H229,"&lt;&gt;" &amp; "",H$3:H229),"")</f>
        <v/>
      </c>
      <c r="S229" s="10" t="str">
        <f t="array" ref="S229">IF(O229="Completed",SUMIF(W$3:W229,"&lt;&gt;" &amp; "",W$3:W229),"")</f>
        <v/>
      </c>
      <c r="T229" s="10" t="str">
        <f t="array" ref="T229">IF(AND(J229&lt;&gt;"",O229="Completed"),SUM(IF(O$3:O229="Completed",J$3:J229,0)),"")</f>
        <v/>
      </c>
      <c r="U229" s="10" t="str">
        <f t="shared" si="30"/>
        <v/>
      </c>
      <c r="V229" s="10">
        <f>ROW()</f>
        <v>229</v>
      </c>
      <c r="W229" s="10" t="str">
        <f t="shared" si="33"/>
        <v/>
      </c>
      <c r="Z229" s="10" t="str">
        <f>IF(A229&lt;&gt;"",'Metrics planning and tracking'!$K$4,"")</f>
        <v/>
      </c>
      <c r="AA229" s="10" t="str">
        <f>IF(A229&lt;&gt;"",'Metrics planning and tracking'!$K$5,"")</f>
        <v/>
      </c>
      <c r="AB229" s="10" t="str">
        <f>IF(A229&lt;&gt;"",'Metrics planning and tracking'!$K$2,"")</f>
        <v/>
      </c>
      <c r="AC229" s="10" t="str">
        <f>IF(A229&lt;&gt;"",'Metrics planning and tracking'!$K$3,"")</f>
        <v/>
      </c>
      <c r="AD229" s="10" t="str">
        <f>IF(A229&lt;&gt;"",IF(AND(#REF!&lt;&gt;"",#REF!&lt;&gt;"",#REF!&lt;&gt;0),#REF!/#REF!*100,"NA"),"")</f>
        <v/>
      </c>
      <c r="AE229" s="10" t="str">
        <f>IF(A229&lt;&gt;"",IF(AND(#REF!&lt;&gt;"",#REF!&lt;&gt;"",#REF!&lt;&gt;0),#REF!/#REF!*100,"NA"),"")</f>
        <v/>
      </c>
      <c r="AF229" s="57" t="str">
        <f t="shared" si="34"/>
        <v/>
      </c>
      <c r="AG229" s="57" t="str">
        <f t="shared" si="35"/>
        <v/>
      </c>
      <c r="AH229" s="58" t="str">
        <f t="shared" si="36"/>
        <v/>
      </c>
      <c r="AV229" s="22" t="str">
        <f>IF(A229&lt;&gt;"",A229 &amp; "-" &amp;#REF! &amp; ROW(),"")</f>
        <v/>
      </c>
    </row>
    <row r="230" spans="11:48" x14ac:dyDescent="0.2">
      <c r="K230" s="11" t="str">
        <f>IF(AND(COUNTA(B230:C230)&gt;1,COUNTA(F230:G230)&gt;1,O230="Completed"),(G230-C230)/(C230-#REF!+1)%,"")</f>
        <v/>
      </c>
      <c r="L230" s="11" t="str">
        <f>IF(AND(COUNT(D230:E230)&gt;0,COUNTA(F230:G230)&gt;1,O230="Completed"),(G230-AG230)/(AG230-#REF!+1)%,"")</f>
        <v/>
      </c>
      <c r="M230" s="11" t="str">
        <f t="shared" si="31"/>
        <v/>
      </c>
      <c r="N230" s="11" t="str">
        <f t="shared" si="32"/>
        <v/>
      </c>
      <c r="O230" s="12"/>
      <c r="P230" s="12"/>
      <c r="R230" s="10" t="str">
        <f>IF(H230&lt;&gt;"",SUMIF(H$3:H230,"&lt;&gt;" &amp; "",H$3:H230),"")</f>
        <v/>
      </c>
      <c r="S230" s="10" t="str">
        <f t="array" ref="S230">IF(O230="Completed",SUMIF(W$3:W230,"&lt;&gt;" &amp; "",W$3:W230),"")</f>
        <v/>
      </c>
      <c r="T230" s="10" t="str">
        <f t="array" ref="T230">IF(AND(J230&lt;&gt;"",O230="Completed"),SUM(IF(O$3:O230="Completed",J$3:J230,0)),"")</f>
        <v/>
      </c>
      <c r="U230" s="10" t="str">
        <f t="shared" si="30"/>
        <v/>
      </c>
      <c r="V230" s="10">
        <f>ROW()</f>
        <v>230</v>
      </c>
      <c r="W230" s="10" t="str">
        <f t="shared" si="33"/>
        <v/>
      </c>
      <c r="Z230" s="10" t="str">
        <f>IF(A230&lt;&gt;"",'Metrics planning and tracking'!$K$4,"")</f>
        <v/>
      </c>
      <c r="AA230" s="10" t="str">
        <f>IF(A230&lt;&gt;"",'Metrics planning and tracking'!$K$5,"")</f>
        <v/>
      </c>
      <c r="AB230" s="10" t="str">
        <f>IF(A230&lt;&gt;"",'Metrics planning and tracking'!$K$2,"")</f>
        <v/>
      </c>
      <c r="AC230" s="10" t="str">
        <f>IF(A230&lt;&gt;"",'Metrics planning and tracking'!$K$3,"")</f>
        <v/>
      </c>
      <c r="AD230" s="10" t="str">
        <f>IF(A230&lt;&gt;"",IF(AND(#REF!&lt;&gt;"",#REF!&lt;&gt;"",#REF!&lt;&gt;0),#REF!/#REF!*100,"NA"),"")</f>
        <v/>
      </c>
      <c r="AE230" s="10" t="str">
        <f>IF(A230&lt;&gt;"",IF(AND(#REF!&lt;&gt;"",#REF!&lt;&gt;"",#REF!&lt;&gt;0),#REF!/#REF!*100,"NA"),"")</f>
        <v/>
      </c>
      <c r="AF230" s="57" t="str">
        <f t="shared" si="34"/>
        <v/>
      </c>
      <c r="AG230" s="57" t="str">
        <f t="shared" si="35"/>
        <v/>
      </c>
      <c r="AH230" s="58" t="str">
        <f t="shared" si="36"/>
        <v/>
      </c>
      <c r="AV230" s="22" t="str">
        <f>IF(A230&lt;&gt;"",A230 &amp; "-" &amp;#REF! &amp; ROW(),"")</f>
        <v/>
      </c>
    </row>
    <row r="231" spans="11:48" x14ac:dyDescent="0.2">
      <c r="K231" s="11" t="str">
        <f>IF(AND(COUNTA(B231:C231)&gt;1,COUNTA(F231:G231)&gt;1,O231="Completed"),(G231-C231)/(C231-#REF!+1)%,"")</f>
        <v/>
      </c>
      <c r="L231" s="11" t="str">
        <f>IF(AND(COUNT(D231:E231)&gt;0,COUNTA(F231:G231)&gt;1,O231="Completed"),(G231-AG231)/(AG231-#REF!+1)%,"")</f>
        <v/>
      </c>
      <c r="M231" s="11" t="str">
        <f t="shared" si="31"/>
        <v/>
      </c>
      <c r="N231" s="11" t="str">
        <f t="shared" si="32"/>
        <v/>
      </c>
      <c r="O231" s="12"/>
      <c r="P231" s="12"/>
      <c r="R231" s="10" t="str">
        <f>IF(H231&lt;&gt;"",SUMIF(H$3:H231,"&lt;&gt;" &amp; "",H$3:H231),"")</f>
        <v/>
      </c>
      <c r="S231" s="10" t="str">
        <f t="array" ref="S231">IF(O231="Completed",SUMIF(W$3:W231,"&lt;&gt;" &amp; "",W$3:W231),"")</f>
        <v/>
      </c>
      <c r="T231" s="10" t="str">
        <f t="array" ref="T231">IF(AND(J231&lt;&gt;"",O231="Completed"),SUM(IF(O$3:O231="Completed",J$3:J231,0)),"")</f>
        <v/>
      </c>
      <c r="U231" s="10" t="str">
        <f t="shared" si="30"/>
        <v/>
      </c>
      <c r="V231" s="10">
        <f>ROW()</f>
        <v>231</v>
      </c>
      <c r="W231" s="10" t="str">
        <f t="shared" si="33"/>
        <v/>
      </c>
      <c r="Z231" s="10" t="str">
        <f>IF(A231&lt;&gt;"",'Metrics planning and tracking'!$K$4,"")</f>
        <v/>
      </c>
      <c r="AA231" s="10" t="str">
        <f>IF(A231&lt;&gt;"",'Metrics planning and tracking'!$K$5,"")</f>
        <v/>
      </c>
      <c r="AB231" s="10" t="str">
        <f>IF(A231&lt;&gt;"",'Metrics planning and tracking'!$K$2,"")</f>
        <v/>
      </c>
      <c r="AC231" s="10" t="str">
        <f>IF(A231&lt;&gt;"",'Metrics planning and tracking'!$K$3,"")</f>
        <v/>
      </c>
      <c r="AD231" s="10" t="str">
        <f>IF(A231&lt;&gt;"",IF(AND(#REF!&lt;&gt;"",#REF!&lt;&gt;"",#REF!&lt;&gt;0),#REF!/#REF!*100,"NA"),"")</f>
        <v/>
      </c>
      <c r="AE231" s="10" t="str">
        <f>IF(A231&lt;&gt;"",IF(AND(#REF!&lt;&gt;"",#REF!&lt;&gt;"",#REF!&lt;&gt;0),#REF!/#REF!*100,"NA"),"")</f>
        <v/>
      </c>
      <c r="AF231" s="57" t="str">
        <f t="shared" si="34"/>
        <v/>
      </c>
      <c r="AG231" s="57" t="str">
        <f t="shared" si="35"/>
        <v/>
      </c>
      <c r="AH231" s="58" t="str">
        <f t="shared" si="36"/>
        <v/>
      </c>
      <c r="AV231" s="22" t="str">
        <f>IF(A231&lt;&gt;"",A231 &amp; "-" &amp;#REF! &amp; ROW(),"")</f>
        <v/>
      </c>
    </row>
    <row r="232" spans="11:48" x14ac:dyDescent="0.2">
      <c r="K232" s="11" t="str">
        <f>IF(AND(COUNTA(B232:C232)&gt;1,COUNTA(F232:G232)&gt;1,O232="Completed"),(G232-C232)/(C232-#REF!+1)%,"")</f>
        <v/>
      </c>
      <c r="L232" s="11" t="str">
        <f>IF(AND(COUNT(D232:E232)&gt;0,COUNTA(F232:G232)&gt;1,O232="Completed"),(G232-AG232)/(AG232-#REF!+1)%,"")</f>
        <v/>
      </c>
      <c r="M232" s="11" t="str">
        <f t="shared" si="31"/>
        <v/>
      </c>
      <c r="N232" s="11" t="str">
        <f t="shared" si="32"/>
        <v/>
      </c>
      <c r="O232" s="12"/>
      <c r="P232" s="12"/>
      <c r="R232" s="10" t="str">
        <f>IF(H232&lt;&gt;"",SUMIF(H$3:H232,"&lt;&gt;" &amp; "",H$3:H232),"")</f>
        <v/>
      </c>
      <c r="S232" s="10" t="str">
        <f t="array" ref="S232">IF(O232="Completed",SUMIF(W$3:W232,"&lt;&gt;" &amp; "",W$3:W232),"")</f>
        <v/>
      </c>
      <c r="T232" s="10" t="str">
        <f t="array" ref="T232">IF(AND(J232&lt;&gt;"",O232="Completed"),SUM(IF(O$3:O232="Completed",J$3:J232,0)),"")</f>
        <v/>
      </c>
      <c r="U232" s="10" t="str">
        <f t="shared" si="30"/>
        <v/>
      </c>
      <c r="V232" s="10">
        <f>ROW()</f>
        <v>232</v>
      </c>
      <c r="W232" s="10" t="str">
        <f t="shared" si="33"/>
        <v/>
      </c>
      <c r="Z232" s="10" t="str">
        <f>IF(A232&lt;&gt;"",'Metrics planning and tracking'!$K$4,"")</f>
        <v/>
      </c>
      <c r="AA232" s="10" t="str">
        <f>IF(A232&lt;&gt;"",'Metrics planning and tracking'!$K$5,"")</f>
        <v/>
      </c>
      <c r="AB232" s="10" t="str">
        <f>IF(A232&lt;&gt;"",'Metrics planning and tracking'!$K$2,"")</f>
        <v/>
      </c>
      <c r="AC232" s="10" t="str">
        <f>IF(A232&lt;&gt;"",'Metrics planning and tracking'!$K$3,"")</f>
        <v/>
      </c>
      <c r="AD232" s="10" t="str">
        <f>IF(A232&lt;&gt;"",IF(AND(#REF!&lt;&gt;"",#REF!&lt;&gt;"",#REF!&lt;&gt;0),#REF!/#REF!*100,"NA"),"")</f>
        <v/>
      </c>
      <c r="AE232" s="10" t="str">
        <f>IF(A232&lt;&gt;"",IF(AND(#REF!&lt;&gt;"",#REF!&lt;&gt;"",#REF!&lt;&gt;0),#REF!/#REF!*100,"NA"),"")</f>
        <v/>
      </c>
      <c r="AF232" s="57" t="str">
        <f t="shared" si="34"/>
        <v/>
      </c>
      <c r="AG232" s="57" t="str">
        <f t="shared" si="35"/>
        <v/>
      </c>
      <c r="AH232" s="58" t="str">
        <f t="shared" si="36"/>
        <v/>
      </c>
      <c r="AV232" s="22" t="str">
        <f>IF(A232&lt;&gt;"",A232 &amp; "-" &amp;#REF! &amp; ROW(),"")</f>
        <v/>
      </c>
    </row>
    <row r="233" spans="11:48" x14ac:dyDescent="0.2">
      <c r="K233" s="11" t="str">
        <f>IF(AND(COUNTA(B233:C233)&gt;1,COUNTA(F233:G233)&gt;1,O233="Completed"),(G233-C233)/(C233-#REF!+1)%,"")</f>
        <v/>
      </c>
      <c r="L233" s="11" t="str">
        <f>IF(AND(COUNT(D233:E233)&gt;0,COUNTA(F233:G233)&gt;1,O233="Completed"),(G233-AG233)/(AG233-#REF!+1)%,"")</f>
        <v/>
      </c>
      <c r="M233" s="11" t="str">
        <f t="shared" si="31"/>
        <v/>
      </c>
      <c r="N233" s="11" t="str">
        <f t="shared" si="32"/>
        <v/>
      </c>
      <c r="O233" s="12"/>
      <c r="P233" s="12"/>
      <c r="R233" s="10" t="str">
        <f>IF(H233&lt;&gt;"",SUMIF(H$3:H233,"&lt;&gt;" &amp; "",H$3:H233),"")</f>
        <v/>
      </c>
      <c r="S233" s="10" t="str">
        <f t="array" ref="S233">IF(O233="Completed",SUMIF(W$3:W233,"&lt;&gt;" &amp; "",W$3:W233),"")</f>
        <v/>
      </c>
      <c r="T233" s="10" t="str">
        <f t="array" ref="T233">IF(AND(J233&lt;&gt;"",O233="Completed"),SUM(IF(O$3:O233="Completed",J$3:J233,0)),"")</f>
        <v/>
      </c>
      <c r="U233" s="10" t="str">
        <f t="shared" si="30"/>
        <v/>
      </c>
      <c r="V233" s="10">
        <f>ROW()</f>
        <v>233</v>
      </c>
      <c r="W233" s="10" t="str">
        <f t="shared" si="33"/>
        <v/>
      </c>
      <c r="Z233" s="10" t="str">
        <f>IF(A233&lt;&gt;"",'Metrics planning and tracking'!$K$4,"")</f>
        <v/>
      </c>
      <c r="AA233" s="10" t="str">
        <f>IF(A233&lt;&gt;"",'Metrics planning and tracking'!$K$5,"")</f>
        <v/>
      </c>
      <c r="AB233" s="10" t="str">
        <f>IF(A233&lt;&gt;"",'Metrics planning and tracking'!$K$2,"")</f>
        <v/>
      </c>
      <c r="AC233" s="10" t="str">
        <f>IF(A233&lt;&gt;"",'Metrics planning and tracking'!$K$3,"")</f>
        <v/>
      </c>
      <c r="AD233" s="10" t="str">
        <f>IF(A233&lt;&gt;"",IF(AND(#REF!&lt;&gt;"",#REF!&lt;&gt;"",#REF!&lt;&gt;0),#REF!/#REF!*100,"NA"),"")</f>
        <v/>
      </c>
      <c r="AE233" s="10" t="str">
        <f>IF(A233&lt;&gt;"",IF(AND(#REF!&lt;&gt;"",#REF!&lt;&gt;"",#REF!&lt;&gt;0),#REF!/#REF!*100,"NA"),"")</f>
        <v/>
      </c>
      <c r="AF233" s="57" t="str">
        <f t="shared" si="34"/>
        <v/>
      </c>
      <c r="AG233" s="57" t="str">
        <f t="shared" si="35"/>
        <v/>
      </c>
      <c r="AH233" s="58" t="str">
        <f t="shared" si="36"/>
        <v/>
      </c>
      <c r="AV233" s="22" t="str">
        <f>IF(A233&lt;&gt;"",A233 &amp; "-" &amp;#REF! &amp; ROW(),"")</f>
        <v/>
      </c>
    </row>
    <row r="234" spans="11:48" x14ac:dyDescent="0.2">
      <c r="K234" s="11" t="str">
        <f>IF(AND(COUNTA(B234:C234)&gt;1,COUNTA(F234:G234)&gt;1,O234="Completed"),(G234-C234)/(C234-#REF!+1)%,"")</f>
        <v/>
      </c>
      <c r="L234" s="11" t="str">
        <f>IF(AND(COUNT(D234:E234)&gt;0,COUNTA(F234:G234)&gt;1,O234="Completed"),(G234-AG234)/(AG234-#REF!+1)%,"")</f>
        <v/>
      </c>
      <c r="M234" s="11" t="str">
        <f t="shared" si="31"/>
        <v/>
      </c>
      <c r="N234" s="11" t="str">
        <f t="shared" si="32"/>
        <v/>
      </c>
      <c r="O234" s="12"/>
      <c r="P234" s="12"/>
      <c r="R234" s="10" t="str">
        <f>IF(H234&lt;&gt;"",SUMIF(H$3:H234,"&lt;&gt;" &amp; "",H$3:H234),"")</f>
        <v/>
      </c>
      <c r="S234" s="10" t="str">
        <f t="array" ref="S234">IF(O234="Completed",SUMIF(W$3:W234,"&lt;&gt;" &amp; "",W$3:W234),"")</f>
        <v/>
      </c>
      <c r="T234" s="10" t="str">
        <f t="array" ref="T234">IF(AND(J234&lt;&gt;"",O234="Completed"),SUM(IF(O$3:O234="Completed",J$3:J234,0)),"")</f>
        <v/>
      </c>
      <c r="U234" s="10" t="str">
        <f t="shared" si="30"/>
        <v/>
      </c>
      <c r="V234" s="10">
        <f>ROW()</f>
        <v>234</v>
      </c>
      <c r="W234" s="10" t="str">
        <f t="shared" si="33"/>
        <v/>
      </c>
      <c r="Z234" s="10" t="str">
        <f>IF(A234&lt;&gt;"",'Metrics planning and tracking'!$K$4,"")</f>
        <v/>
      </c>
      <c r="AA234" s="10" t="str">
        <f>IF(A234&lt;&gt;"",'Metrics planning and tracking'!$K$5,"")</f>
        <v/>
      </c>
      <c r="AB234" s="10" t="str">
        <f>IF(A234&lt;&gt;"",'Metrics planning and tracking'!$K$2,"")</f>
        <v/>
      </c>
      <c r="AC234" s="10" t="str">
        <f>IF(A234&lt;&gt;"",'Metrics planning and tracking'!$K$3,"")</f>
        <v/>
      </c>
      <c r="AD234" s="10" t="str">
        <f>IF(A234&lt;&gt;"",IF(AND(#REF!&lt;&gt;"",#REF!&lt;&gt;"",#REF!&lt;&gt;0),#REF!/#REF!*100,"NA"),"")</f>
        <v/>
      </c>
      <c r="AE234" s="10" t="str">
        <f>IF(A234&lt;&gt;"",IF(AND(#REF!&lt;&gt;"",#REF!&lt;&gt;"",#REF!&lt;&gt;0),#REF!/#REF!*100,"NA"),"")</f>
        <v/>
      </c>
      <c r="AF234" s="57" t="str">
        <f t="shared" si="34"/>
        <v/>
      </c>
      <c r="AG234" s="57" t="str">
        <f t="shared" si="35"/>
        <v/>
      </c>
      <c r="AH234" s="58" t="str">
        <f t="shared" si="36"/>
        <v/>
      </c>
      <c r="AV234" s="22" t="str">
        <f>IF(A234&lt;&gt;"",A234 &amp; "-" &amp;#REF! &amp; ROW(),"")</f>
        <v/>
      </c>
    </row>
    <row r="235" spans="11:48" x14ac:dyDescent="0.2">
      <c r="K235" s="11" t="str">
        <f>IF(AND(COUNTA(B235:C235)&gt;1,COUNTA(F235:G235)&gt;1,O235="Completed"),(G235-C235)/(C235-#REF!+1)%,"")</f>
        <v/>
      </c>
      <c r="L235" s="11" t="str">
        <f>IF(AND(COUNT(D235:E235)&gt;0,COUNTA(F235:G235)&gt;1,O235="Completed"),(G235-AG235)/(AG235-#REF!+1)%,"")</f>
        <v/>
      </c>
      <c r="M235" s="11" t="str">
        <f t="shared" si="31"/>
        <v/>
      </c>
      <c r="N235" s="11" t="str">
        <f t="shared" si="32"/>
        <v/>
      </c>
      <c r="O235" s="12"/>
      <c r="P235" s="12"/>
      <c r="R235" s="10" t="str">
        <f>IF(H235&lt;&gt;"",SUMIF(H$3:H235,"&lt;&gt;" &amp; "",H$3:H235),"")</f>
        <v/>
      </c>
      <c r="S235" s="10" t="str">
        <f t="array" ref="S235">IF(O235="Completed",SUMIF(W$3:W235,"&lt;&gt;" &amp; "",W$3:W235),"")</f>
        <v/>
      </c>
      <c r="T235" s="10" t="str">
        <f t="array" ref="T235">IF(AND(J235&lt;&gt;"",O235="Completed"),SUM(IF(O$3:O235="Completed",J$3:J235,0)),"")</f>
        <v/>
      </c>
      <c r="U235" s="10" t="str">
        <f t="shared" si="30"/>
        <v/>
      </c>
      <c r="V235" s="10">
        <f>ROW()</f>
        <v>235</v>
      </c>
      <c r="W235" s="10" t="str">
        <f t="shared" si="33"/>
        <v/>
      </c>
      <c r="Z235" s="10" t="str">
        <f>IF(A235&lt;&gt;"",'Metrics planning and tracking'!$K$4,"")</f>
        <v/>
      </c>
      <c r="AA235" s="10" t="str">
        <f>IF(A235&lt;&gt;"",'Metrics planning and tracking'!$K$5,"")</f>
        <v/>
      </c>
      <c r="AB235" s="10" t="str">
        <f>IF(A235&lt;&gt;"",'Metrics planning and tracking'!$K$2,"")</f>
        <v/>
      </c>
      <c r="AC235" s="10" t="str">
        <f>IF(A235&lt;&gt;"",'Metrics planning and tracking'!$K$3,"")</f>
        <v/>
      </c>
      <c r="AD235" s="10" t="str">
        <f>IF(A235&lt;&gt;"",IF(AND(#REF!&lt;&gt;"",#REF!&lt;&gt;"",#REF!&lt;&gt;0),#REF!/#REF!*100,"NA"),"")</f>
        <v/>
      </c>
      <c r="AE235" s="10" t="str">
        <f>IF(A235&lt;&gt;"",IF(AND(#REF!&lt;&gt;"",#REF!&lt;&gt;"",#REF!&lt;&gt;0),#REF!/#REF!*100,"NA"),"")</f>
        <v/>
      </c>
      <c r="AF235" s="57" t="str">
        <f t="shared" si="34"/>
        <v/>
      </c>
      <c r="AG235" s="57" t="str">
        <f t="shared" si="35"/>
        <v/>
      </c>
      <c r="AH235" s="58" t="str">
        <f t="shared" si="36"/>
        <v/>
      </c>
      <c r="AV235" s="22" t="str">
        <f>IF(A235&lt;&gt;"",A235 &amp; "-" &amp;#REF! &amp; ROW(),"")</f>
        <v/>
      </c>
    </row>
    <row r="236" spans="11:48" x14ac:dyDescent="0.2">
      <c r="K236" s="11" t="str">
        <f>IF(AND(COUNTA(B236:C236)&gt;1,COUNTA(F236:G236)&gt;1,O236="Completed"),(G236-C236)/(C236-#REF!+1)%,"")</f>
        <v/>
      </c>
      <c r="L236" s="11" t="str">
        <f>IF(AND(COUNT(D236:E236)&gt;0,COUNTA(F236:G236)&gt;1,O236="Completed"),(G236-AG236)/(AG236-#REF!+1)%,"")</f>
        <v/>
      </c>
      <c r="M236" s="11" t="str">
        <f t="shared" si="31"/>
        <v/>
      </c>
      <c r="N236" s="11" t="str">
        <f t="shared" si="32"/>
        <v/>
      </c>
      <c r="O236" s="12"/>
      <c r="P236" s="12"/>
      <c r="R236" s="10" t="str">
        <f>IF(H236&lt;&gt;"",SUMIF(H$3:H236,"&lt;&gt;" &amp; "",H$3:H236),"")</f>
        <v/>
      </c>
      <c r="S236" s="10" t="str">
        <f t="array" ref="S236">IF(O236="Completed",SUMIF(W$3:W236,"&lt;&gt;" &amp; "",W$3:W236),"")</f>
        <v/>
      </c>
      <c r="T236" s="10" t="str">
        <f t="array" ref="T236">IF(AND(J236&lt;&gt;"",O236="Completed"),SUM(IF(O$3:O236="Completed",J$3:J236,0)),"")</f>
        <v/>
      </c>
      <c r="U236" s="10" t="str">
        <f t="shared" si="30"/>
        <v/>
      </c>
      <c r="V236" s="10">
        <f>ROW()</f>
        <v>236</v>
      </c>
      <c r="W236" s="10" t="str">
        <f t="shared" si="33"/>
        <v/>
      </c>
      <c r="Z236" s="10" t="str">
        <f>IF(A236&lt;&gt;"",'Metrics planning and tracking'!$K$4,"")</f>
        <v/>
      </c>
      <c r="AA236" s="10" t="str">
        <f>IF(A236&lt;&gt;"",'Metrics planning and tracking'!$K$5,"")</f>
        <v/>
      </c>
      <c r="AB236" s="10" t="str">
        <f>IF(A236&lt;&gt;"",'Metrics planning and tracking'!$K$2,"")</f>
        <v/>
      </c>
      <c r="AC236" s="10" t="str">
        <f>IF(A236&lt;&gt;"",'Metrics planning and tracking'!$K$3,"")</f>
        <v/>
      </c>
      <c r="AD236" s="10" t="str">
        <f>IF(A236&lt;&gt;"",IF(AND(#REF!&lt;&gt;"",#REF!&lt;&gt;"",#REF!&lt;&gt;0),#REF!/#REF!*100,"NA"),"")</f>
        <v/>
      </c>
      <c r="AE236" s="10" t="str">
        <f>IF(A236&lt;&gt;"",IF(AND(#REF!&lt;&gt;"",#REF!&lt;&gt;"",#REF!&lt;&gt;0),#REF!/#REF!*100,"NA"),"")</f>
        <v/>
      </c>
      <c r="AF236" s="57" t="str">
        <f t="shared" si="34"/>
        <v/>
      </c>
      <c r="AG236" s="57" t="str">
        <f t="shared" si="35"/>
        <v/>
      </c>
      <c r="AH236" s="58" t="str">
        <f t="shared" si="36"/>
        <v/>
      </c>
      <c r="AV236" s="22" t="str">
        <f>IF(A236&lt;&gt;"",A236 &amp; "-" &amp;#REF! &amp; ROW(),"")</f>
        <v/>
      </c>
    </row>
    <row r="237" spans="11:48" x14ac:dyDescent="0.2">
      <c r="K237" s="11" t="str">
        <f>IF(AND(COUNTA(B237:C237)&gt;1,COUNTA(F237:G237)&gt;1,O237="Completed"),(G237-C237)/(C237-#REF!+1)%,"")</f>
        <v/>
      </c>
      <c r="L237" s="11" t="str">
        <f>IF(AND(COUNT(D237:E237)&gt;0,COUNTA(F237:G237)&gt;1,O237="Completed"),(G237-AG237)/(AG237-#REF!+1)%,"")</f>
        <v/>
      </c>
      <c r="M237" s="11" t="str">
        <f t="shared" si="31"/>
        <v/>
      </c>
      <c r="N237" s="11" t="str">
        <f t="shared" si="32"/>
        <v/>
      </c>
      <c r="O237" s="12"/>
      <c r="P237" s="12"/>
      <c r="R237" s="10" t="str">
        <f>IF(H237&lt;&gt;"",SUMIF(H$3:H237,"&lt;&gt;" &amp; "",H$3:H237),"")</f>
        <v/>
      </c>
      <c r="S237" s="10" t="str">
        <f t="array" ref="S237">IF(O237="Completed",SUMIF(W$3:W237,"&lt;&gt;" &amp; "",W$3:W237),"")</f>
        <v/>
      </c>
      <c r="T237" s="10" t="str">
        <f t="array" ref="T237">IF(AND(J237&lt;&gt;"",O237="Completed"),SUM(IF(O$3:O237="Completed",J$3:J237,0)),"")</f>
        <v/>
      </c>
      <c r="U237" s="10" t="str">
        <f t="shared" si="30"/>
        <v/>
      </c>
      <c r="V237" s="10">
        <f>ROW()</f>
        <v>237</v>
      </c>
      <c r="W237" s="10" t="str">
        <f t="shared" si="33"/>
        <v/>
      </c>
      <c r="Z237" s="10" t="str">
        <f>IF(A237&lt;&gt;"",'Metrics planning and tracking'!$K$4,"")</f>
        <v/>
      </c>
      <c r="AA237" s="10" t="str">
        <f>IF(A237&lt;&gt;"",'Metrics planning and tracking'!$K$5,"")</f>
        <v/>
      </c>
      <c r="AB237" s="10" t="str">
        <f>IF(A237&lt;&gt;"",'Metrics planning and tracking'!$K$2,"")</f>
        <v/>
      </c>
      <c r="AC237" s="10" t="str">
        <f>IF(A237&lt;&gt;"",'Metrics planning and tracking'!$K$3,"")</f>
        <v/>
      </c>
      <c r="AD237" s="10" t="str">
        <f>IF(A237&lt;&gt;"",IF(AND(#REF!&lt;&gt;"",#REF!&lt;&gt;"",#REF!&lt;&gt;0),#REF!/#REF!*100,"NA"),"")</f>
        <v/>
      </c>
      <c r="AE237" s="10" t="str">
        <f>IF(A237&lt;&gt;"",IF(AND(#REF!&lt;&gt;"",#REF!&lt;&gt;"",#REF!&lt;&gt;0),#REF!/#REF!*100,"NA"),"")</f>
        <v/>
      </c>
      <c r="AF237" s="57" t="str">
        <f t="shared" si="34"/>
        <v/>
      </c>
      <c r="AG237" s="57" t="str">
        <f t="shared" si="35"/>
        <v/>
      </c>
      <c r="AH237" s="58" t="str">
        <f t="shared" si="36"/>
        <v/>
      </c>
      <c r="AV237" s="22" t="str">
        <f>IF(A237&lt;&gt;"",A237 &amp; "-" &amp;#REF! &amp; ROW(),"")</f>
        <v/>
      </c>
    </row>
    <row r="238" spans="11:48" x14ac:dyDescent="0.2">
      <c r="K238" s="11" t="str">
        <f>IF(AND(COUNTA(B238:C238)&gt;1,COUNTA(F238:G238)&gt;1,O238="Completed"),(G238-C238)/(C238-#REF!+1)%,"")</f>
        <v/>
      </c>
      <c r="L238" s="11" t="str">
        <f>IF(AND(COUNT(D238:E238)&gt;0,COUNTA(F238:G238)&gt;1,O238="Completed"),(G238-AG238)/(AG238-#REF!+1)%,"")</f>
        <v/>
      </c>
      <c r="M238" s="11" t="str">
        <f t="shared" si="31"/>
        <v/>
      </c>
      <c r="N238" s="11" t="str">
        <f t="shared" si="32"/>
        <v/>
      </c>
      <c r="O238" s="12"/>
      <c r="P238" s="12"/>
      <c r="R238" s="10" t="str">
        <f>IF(H238&lt;&gt;"",SUMIF(H$3:H238,"&lt;&gt;" &amp; "",H$3:H238),"")</f>
        <v/>
      </c>
      <c r="S238" s="10" t="str">
        <f t="array" ref="S238">IF(O238="Completed",SUMIF(W$3:W238,"&lt;&gt;" &amp; "",W$3:W238),"")</f>
        <v/>
      </c>
      <c r="T238" s="10" t="str">
        <f t="array" ref="T238">IF(AND(J238&lt;&gt;"",O238="Completed"),SUM(IF(O$3:O238="Completed",J$3:J238,0)),"")</f>
        <v/>
      </c>
      <c r="U238" s="10" t="str">
        <f t="shared" si="30"/>
        <v/>
      </c>
      <c r="V238" s="10">
        <f>ROW()</f>
        <v>238</v>
      </c>
      <c r="W238" s="10" t="str">
        <f t="shared" si="33"/>
        <v/>
      </c>
      <c r="Z238" s="10" t="str">
        <f>IF(A238&lt;&gt;"",'Metrics planning and tracking'!$K$4,"")</f>
        <v/>
      </c>
      <c r="AA238" s="10" t="str">
        <f>IF(A238&lt;&gt;"",'Metrics planning and tracking'!$K$5,"")</f>
        <v/>
      </c>
      <c r="AB238" s="10" t="str">
        <f>IF(A238&lt;&gt;"",'Metrics planning and tracking'!$K$2,"")</f>
        <v/>
      </c>
      <c r="AC238" s="10" t="str">
        <f>IF(A238&lt;&gt;"",'Metrics planning and tracking'!$K$3,"")</f>
        <v/>
      </c>
      <c r="AD238" s="10" t="str">
        <f>IF(A238&lt;&gt;"",IF(AND(#REF!&lt;&gt;"",#REF!&lt;&gt;"",#REF!&lt;&gt;0),#REF!/#REF!*100,"NA"),"")</f>
        <v/>
      </c>
      <c r="AE238" s="10" t="str">
        <f>IF(A238&lt;&gt;"",IF(AND(#REF!&lt;&gt;"",#REF!&lt;&gt;"",#REF!&lt;&gt;0),#REF!/#REF!*100,"NA"),"")</f>
        <v/>
      </c>
      <c r="AF238" s="57" t="str">
        <f t="shared" si="34"/>
        <v/>
      </c>
      <c r="AG238" s="57" t="str">
        <f t="shared" si="35"/>
        <v/>
      </c>
      <c r="AH238" s="58" t="str">
        <f t="shared" si="36"/>
        <v/>
      </c>
      <c r="AV238" s="22" t="str">
        <f>IF(A238&lt;&gt;"",A238 &amp; "-" &amp;#REF! &amp; ROW(),"")</f>
        <v/>
      </c>
    </row>
    <row r="239" spans="11:48" x14ac:dyDescent="0.2">
      <c r="K239" s="11" t="str">
        <f>IF(AND(COUNTA(B239:C239)&gt;1,COUNTA(F239:G239)&gt;1,O239="Completed"),(G239-C239)/(C239-#REF!+1)%,"")</f>
        <v/>
      </c>
      <c r="L239" s="11" t="str">
        <f>IF(AND(COUNT(D239:E239)&gt;0,COUNTA(F239:G239)&gt;1,O239="Completed"),(G239-AG239)/(AG239-#REF!+1)%,"")</f>
        <v/>
      </c>
      <c r="M239" s="11" t="str">
        <f t="shared" si="31"/>
        <v/>
      </c>
      <c r="N239" s="11" t="str">
        <f t="shared" si="32"/>
        <v/>
      </c>
      <c r="O239" s="12"/>
      <c r="P239" s="12"/>
      <c r="R239" s="10" t="str">
        <f>IF(H239&lt;&gt;"",SUMIF(H$3:H239,"&lt;&gt;" &amp; "",H$3:H239),"")</f>
        <v/>
      </c>
      <c r="S239" s="10" t="str">
        <f t="array" ref="S239">IF(O239="Completed",SUMIF(W$3:W239,"&lt;&gt;" &amp; "",W$3:W239),"")</f>
        <v/>
      </c>
      <c r="T239" s="10" t="str">
        <f t="array" ref="T239">IF(AND(J239&lt;&gt;"",O239="Completed"),SUM(IF(O$3:O239="Completed",J$3:J239,0)),"")</f>
        <v/>
      </c>
      <c r="U239" s="10" t="str">
        <f t="shared" si="30"/>
        <v/>
      </c>
      <c r="V239" s="10">
        <f>ROW()</f>
        <v>239</v>
      </c>
      <c r="W239" s="10" t="str">
        <f t="shared" si="33"/>
        <v/>
      </c>
      <c r="Z239" s="10" t="str">
        <f>IF(A239&lt;&gt;"",'Metrics planning and tracking'!$K$4,"")</f>
        <v/>
      </c>
      <c r="AA239" s="10" t="str">
        <f>IF(A239&lt;&gt;"",'Metrics planning and tracking'!$K$5,"")</f>
        <v/>
      </c>
      <c r="AB239" s="10" t="str">
        <f>IF(A239&lt;&gt;"",'Metrics planning and tracking'!$K$2,"")</f>
        <v/>
      </c>
      <c r="AC239" s="10" t="str">
        <f>IF(A239&lt;&gt;"",'Metrics planning and tracking'!$K$3,"")</f>
        <v/>
      </c>
      <c r="AD239" s="10" t="str">
        <f>IF(A239&lt;&gt;"",IF(AND(#REF!&lt;&gt;"",#REF!&lt;&gt;"",#REF!&lt;&gt;0),#REF!/#REF!*100,"NA"),"")</f>
        <v/>
      </c>
      <c r="AE239" s="10" t="str">
        <f>IF(A239&lt;&gt;"",IF(AND(#REF!&lt;&gt;"",#REF!&lt;&gt;"",#REF!&lt;&gt;0),#REF!/#REF!*100,"NA"),"")</f>
        <v/>
      </c>
      <c r="AF239" s="57" t="str">
        <f t="shared" si="34"/>
        <v/>
      </c>
      <c r="AG239" s="57" t="str">
        <f t="shared" si="35"/>
        <v/>
      </c>
      <c r="AH239" s="58" t="str">
        <f t="shared" si="36"/>
        <v/>
      </c>
      <c r="AV239" s="22" t="str">
        <f>IF(A239&lt;&gt;"",A239 &amp; "-" &amp;#REF! &amp; ROW(),"")</f>
        <v/>
      </c>
    </row>
    <row r="240" spans="11:48" x14ac:dyDescent="0.2">
      <c r="K240" s="11" t="str">
        <f>IF(AND(COUNTA(B240:C240)&gt;1,COUNTA(F240:G240)&gt;1,O240="Completed"),(G240-C240)/(C240-#REF!+1)%,"")</f>
        <v/>
      </c>
      <c r="L240" s="11" t="str">
        <f>IF(AND(COUNT(D240:E240)&gt;0,COUNTA(F240:G240)&gt;1,O240="Completed"),(G240-AG240)/(AG240-#REF!+1)%,"")</f>
        <v/>
      </c>
      <c r="M240" s="11" t="str">
        <f t="shared" si="31"/>
        <v/>
      </c>
      <c r="N240" s="11" t="str">
        <f t="shared" si="32"/>
        <v/>
      </c>
      <c r="O240" s="12"/>
      <c r="P240" s="12"/>
      <c r="R240" s="10" t="str">
        <f>IF(H240&lt;&gt;"",SUMIF(H$3:H240,"&lt;&gt;" &amp; "",H$3:H240),"")</f>
        <v/>
      </c>
      <c r="S240" s="10" t="str">
        <f t="array" ref="S240">IF(O240="Completed",SUMIF(W$3:W240,"&lt;&gt;" &amp; "",W$3:W240),"")</f>
        <v/>
      </c>
      <c r="T240" s="10" t="str">
        <f t="array" ref="T240">IF(AND(J240&lt;&gt;"",O240="Completed"),SUM(IF(O$3:O240="Completed",J$3:J240,0)),"")</f>
        <v/>
      </c>
      <c r="U240" s="10" t="str">
        <f t="shared" si="30"/>
        <v/>
      </c>
      <c r="V240" s="10">
        <f>ROW()</f>
        <v>240</v>
      </c>
      <c r="W240" s="10" t="str">
        <f t="shared" si="33"/>
        <v/>
      </c>
      <c r="Z240" s="10" t="str">
        <f>IF(A240&lt;&gt;"",'Metrics planning and tracking'!$K$4,"")</f>
        <v/>
      </c>
      <c r="AA240" s="10" t="str">
        <f>IF(A240&lt;&gt;"",'Metrics planning and tracking'!$K$5,"")</f>
        <v/>
      </c>
      <c r="AB240" s="10" t="str">
        <f>IF(A240&lt;&gt;"",'Metrics planning and tracking'!$K$2,"")</f>
        <v/>
      </c>
      <c r="AC240" s="10" t="str">
        <f>IF(A240&lt;&gt;"",'Metrics planning and tracking'!$K$3,"")</f>
        <v/>
      </c>
      <c r="AD240" s="10" t="str">
        <f>IF(A240&lt;&gt;"",IF(AND(#REF!&lt;&gt;"",#REF!&lt;&gt;"",#REF!&lt;&gt;0),#REF!/#REF!*100,"NA"),"")</f>
        <v/>
      </c>
      <c r="AE240" s="10" t="str">
        <f>IF(A240&lt;&gt;"",IF(AND(#REF!&lt;&gt;"",#REF!&lt;&gt;"",#REF!&lt;&gt;0),#REF!/#REF!*100,"NA"),"")</f>
        <v/>
      </c>
      <c r="AF240" s="57" t="str">
        <f t="shared" si="34"/>
        <v/>
      </c>
      <c r="AG240" s="57" t="str">
        <f t="shared" si="35"/>
        <v/>
      </c>
      <c r="AH240" s="58" t="str">
        <f t="shared" si="36"/>
        <v/>
      </c>
      <c r="AV240" s="22" t="str">
        <f>IF(A240&lt;&gt;"",A240 &amp; "-" &amp;#REF! &amp; ROW(),"")</f>
        <v/>
      </c>
    </row>
    <row r="241" spans="11:48" x14ac:dyDescent="0.2">
      <c r="K241" s="11" t="str">
        <f>IF(AND(COUNTA(B241:C241)&gt;1,COUNTA(F241:G241)&gt;1,O241="Completed"),(G241-C241)/(C241-#REF!+1)%,"")</f>
        <v/>
      </c>
      <c r="L241" s="11" t="str">
        <f>IF(AND(COUNT(D241:E241)&gt;0,COUNTA(F241:G241)&gt;1,O241="Completed"),(G241-AG241)/(AG241-#REF!+1)%,"")</f>
        <v/>
      </c>
      <c r="M241" s="11" t="str">
        <f t="shared" si="31"/>
        <v/>
      </c>
      <c r="N241" s="11" t="str">
        <f t="shared" si="32"/>
        <v/>
      </c>
      <c r="O241" s="12"/>
      <c r="P241" s="12"/>
      <c r="R241" s="10" t="str">
        <f>IF(H241&lt;&gt;"",SUMIF(H$3:H241,"&lt;&gt;" &amp; "",H$3:H241),"")</f>
        <v/>
      </c>
      <c r="S241" s="10" t="str">
        <f t="array" ref="S241">IF(O241="Completed",SUMIF(W$3:W241,"&lt;&gt;" &amp; "",W$3:W241),"")</f>
        <v/>
      </c>
      <c r="T241" s="10" t="str">
        <f t="array" ref="T241">IF(AND(J241&lt;&gt;"",O241="Completed"),SUM(IF(O$3:O241="Completed",J$3:J241,0)),"")</f>
        <v/>
      </c>
      <c r="U241" s="10" t="str">
        <f t="shared" si="30"/>
        <v/>
      </c>
      <c r="V241" s="10">
        <f>ROW()</f>
        <v>241</v>
      </c>
      <c r="W241" s="10" t="str">
        <f t="shared" si="33"/>
        <v/>
      </c>
      <c r="Z241" s="10" t="str">
        <f>IF(A241&lt;&gt;"",'Metrics planning and tracking'!$K$4,"")</f>
        <v/>
      </c>
      <c r="AA241" s="10" t="str">
        <f>IF(A241&lt;&gt;"",'Metrics planning and tracking'!$K$5,"")</f>
        <v/>
      </c>
      <c r="AB241" s="10" t="str">
        <f>IF(A241&lt;&gt;"",'Metrics planning and tracking'!$K$2,"")</f>
        <v/>
      </c>
      <c r="AC241" s="10" t="str">
        <f>IF(A241&lt;&gt;"",'Metrics planning and tracking'!$K$3,"")</f>
        <v/>
      </c>
      <c r="AD241" s="10" t="str">
        <f>IF(A241&lt;&gt;"",IF(AND(#REF!&lt;&gt;"",#REF!&lt;&gt;"",#REF!&lt;&gt;0),#REF!/#REF!*100,"NA"),"")</f>
        <v/>
      </c>
      <c r="AE241" s="10" t="str">
        <f>IF(A241&lt;&gt;"",IF(AND(#REF!&lt;&gt;"",#REF!&lt;&gt;"",#REF!&lt;&gt;0),#REF!/#REF!*100,"NA"),"")</f>
        <v/>
      </c>
      <c r="AF241" s="57" t="str">
        <f t="shared" si="34"/>
        <v/>
      </c>
      <c r="AG241" s="57" t="str">
        <f t="shared" si="35"/>
        <v/>
      </c>
      <c r="AH241" s="58" t="str">
        <f t="shared" si="36"/>
        <v/>
      </c>
      <c r="AV241" s="22" t="str">
        <f>IF(A241&lt;&gt;"",A241 &amp; "-" &amp;#REF! &amp; ROW(),"")</f>
        <v/>
      </c>
    </row>
    <row r="242" spans="11:48" x14ac:dyDescent="0.2">
      <c r="K242" s="11" t="str">
        <f>IF(AND(COUNTA(B242:C242)&gt;1,COUNTA(F242:G242)&gt;1,O242="Completed"),(G242-C242)/(C242-#REF!+1)%,"")</f>
        <v/>
      </c>
      <c r="L242" s="11" t="str">
        <f>IF(AND(COUNT(D242:E242)&gt;0,COUNTA(F242:G242)&gt;1,O242="Completed"),(G242-AG242)/(AG242-#REF!+1)%,"")</f>
        <v/>
      </c>
      <c r="M242" s="11" t="str">
        <f t="shared" si="31"/>
        <v/>
      </c>
      <c r="N242" s="11" t="str">
        <f t="shared" si="32"/>
        <v/>
      </c>
      <c r="O242" s="12"/>
      <c r="P242" s="12"/>
      <c r="R242" s="10" t="str">
        <f>IF(H242&lt;&gt;"",SUMIF(H$3:H242,"&lt;&gt;" &amp; "",H$3:H242),"")</f>
        <v/>
      </c>
      <c r="S242" s="10" t="str">
        <f t="array" ref="S242">IF(O242="Completed",SUMIF(W$3:W242,"&lt;&gt;" &amp; "",W$3:W242),"")</f>
        <v/>
      </c>
      <c r="T242" s="10" t="str">
        <f t="array" ref="T242">IF(AND(J242&lt;&gt;"",O242="Completed"),SUM(IF(O$3:O242="Completed",J$3:J242,0)),"")</f>
        <v/>
      </c>
      <c r="U242" s="10" t="str">
        <f t="shared" si="30"/>
        <v/>
      </c>
      <c r="V242" s="10">
        <f>ROW()</f>
        <v>242</v>
      </c>
      <c r="W242" s="10" t="str">
        <f t="shared" si="33"/>
        <v/>
      </c>
      <c r="Z242" s="10" t="str">
        <f>IF(A242&lt;&gt;"",'Metrics planning and tracking'!$K$4,"")</f>
        <v/>
      </c>
      <c r="AA242" s="10" t="str">
        <f>IF(A242&lt;&gt;"",'Metrics planning and tracking'!$K$5,"")</f>
        <v/>
      </c>
      <c r="AB242" s="10" t="str">
        <f>IF(A242&lt;&gt;"",'Metrics planning and tracking'!$K$2,"")</f>
        <v/>
      </c>
      <c r="AC242" s="10" t="str">
        <f>IF(A242&lt;&gt;"",'Metrics planning and tracking'!$K$3,"")</f>
        <v/>
      </c>
      <c r="AD242" s="10" t="str">
        <f>IF(A242&lt;&gt;"",IF(AND(#REF!&lt;&gt;"",#REF!&lt;&gt;"",#REF!&lt;&gt;0),#REF!/#REF!*100,"NA"),"")</f>
        <v/>
      </c>
      <c r="AE242" s="10" t="str">
        <f>IF(A242&lt;&gt;"",IF(AND(#REF!&lt;&gt;"",#REF!&lt;&gt;"",#REF!&lt;&gt;0),#REF!/#REF!*100,"NA"),"")</f>
        <v/>
      </c>
      <c r="AF242" s="57" t="str">
        <f t="shared" si="34"/>
        <v/>
      </c>
      <c r="AG242" s="57" t="str">
        <f t="shared" si="35"/>
        <v/>
      </c>
      <c r="AH242" s="58" t="str">
        <f t="shared" si="36"/>
        <v/>
      </c>
      <c r="AV242" s="22" t="str">
        <f>IF(A242&lt;&gt;"",A242 &amp; "-" &amp;#REF! &amp; ROW(),"")</f>
        <v/>
      </c>
    </row>
    <row r="243" spans="11:48" x14ac:dyDescent="0.2">
      <c r="K243" s="11" t="str">
        <f>IF(AND(COUNTA(B243:C243)&gt;1,COUNTA(F243:G243)&gt;1,O243="Completed"),(G243-C243)/(C243-#REF!+1)%,"")</f>
        <v/>
      </c>
      <c r="L243" s="11" t="str">
        <f>IF(AND(COUNT(D243:E243)&gt;0,COUNTA(F243:G243)&gt;1,O243="Completed"),(G243-AG243)/(AG243-#REF!+1)%,"")</f>
        <v/>
      </c>
      <c r="M243" s="11" t="str">
        <f t="shared" si="31"/>
        <v/>
      </c>
      <c r="N243" s="11" t="str">
        <f t="shared" si="32"/>
        <v/>
      </c>
      <c r="O243" s="12"/>
      <c r="P243" s="12"/>
      <c r="R243" s="10" t="str">
        <f>IF(H243&lt;&gt;"",SUMIF(H$3:H243,"&lt;&gt;" &amp; "",H$3:H243),"")</f>
        <v/>
      </c>
      <c r="S243" s="10" t="str">
        <f t="array" ref="S243">IF(O243="Completed",SUMIF(W$3:W243,"&lt;&gt;" &amp; "",W$3:W243),"")</f>
        <v/>
      </c>
      <c r="T243" s="10" t="str">
        <f t="array" ref="T243">IF(AND(J243&lt;&gt;"",O243="Completed"),SUM(IF(O$3:O243="Completed",J$3:J243,0)),"")</f>
        <v/>
      </c>
      <c r="U243" s="10" t="str">
        <f t="shared" si="30"/>
        <v/>
      </c>
      <c r="V243" s="10">
        <f>ROW()</f>
        <v>243</v>
      </c>
      <c r="W243" s="10" t="str">
        <f t="shared" si="33"/>
        <v/>
      </c>
      <c r="Z243" s="10" t="str">
        <f>IF(A243&lt;&gt;"",'Metrics planning and tracking'!$K$4,"")</f>
        <v/>
      </c>
      <c r="AA243" s="10" t="str">
        <f>IF(A243&lt;&gt;"",'Metrics planning and tracking'!$K$5,"")</f>
        <v/>
      </c>
      <c r="AB243" s="10" t="str">
        <f>IF(A243&lt;&gt;"",'Metrics planning and tracking'!$K$2,"")</f>
        <v/>
      </c>
      <c r="AC243" s="10" t="str">
        <f>IF(A243&lt;&gt;"",'Metrics planning and tracking'!$K$3,"")</f>
        <v/>
      </c>
      <c r="AD243" s="10" t="str">
        <f>IF(A243&lt;&gt;"",IF(AND(#REF!&lt;&gt;"",#REF!&lt;&gt;"",#REF!&lt;&gt;0),#REF!/#REF!*100,"NA"),"")</f>
        <v/>
      </c>
      <c r="AE243" s="10" t="str">
        <f>IF(A243&lt;&gt;"",IF(AND(#REF!&lt;&gt;"",#REF!&lt;&gt;"",#REF!&lt;&gt;0),#REF!/#REF!*100,"NA"),"")</f>
        <v/>
      </c>
      <c r="AF243" s="57" t="str">
        <f t="shared" si="34"/>
        <v/>
      </c>
      <c r="AG243" s="57" t="str">
        <f t="shared" si="35"/>
        <v/>
      </c>
      <c r="AH243" s="58" t="str">
        <f t="shared" si="36"/>
        <v/>
      </c>
      <c r="AV243" s="22" t="str">
        <f>IF(A243&lt;&gt;"",A243 &amp; "-" &amp;#REF! &amp; ROW(),"")</f>
        <v/>
      </c>
    </row>
    <row r="244" spans="11:48" x14ac:dyDescent="0.2">
      <c r="K244" s="11" t="str">
        <f>IF(AND(COUNTA(B244:C244)&gt;1,COUNTA(F244:G244)&gt;1,O244="Completed"),(G244-C244)/(C244-#REF!+1)%,"")</f>
        <v/>
      </c>
      <c r="L244" s="11" t="str">
        <f>IF(AND(COUNT(D244:E244)&gt;0,COUNTA(F244:G244)&gt;1,O244="Completed"),(G244-AG244)/(AG244-#REF!+1)%,"")</f>
        <v/>
      </c>
      <c r="M244" s="11" t="str">
        <f t="shared" si="31"/>
        <v/>
      </c>
      <c r="N244" s="11" t="str">
        <f t="shared" si="32"/>
        <v/>
      </c>
      <c r="O244" s="12"/>
      <c r="P244" s="12"/>
      <c r="R244" s="10" t="str">
        <f>IF(H244&lt;&gt;"",SUMIF(H$3:H244,"&lt;&gt;" &amp; "",H$3:H244),"")</f>
        <v/>
      </c>
      <c r="S244" s="10" t="str">
        <f t="array" ref="S244">IF(O244="Completed",SUMIF(W$3:W244,"&lt;&gt;" &amp; "",W$3:W244),"")</f>
        <v/>
      </c>
      <c r="T244" s="10" t="str">
        <f t="array" ref="T244">IF(AND(J244&lt;&gt;"",O244="Completed"),SUM(IF(O$3:O244="Completed",J$3:J244,0)),"")</f>
        <v/>
      </c>
      <c r="U244" s="10" t="str">
        <f t="shared" si="30"/>
        <v/>
      </c>
      <c r="V244" s="10">
        <f>ROW()</f>
        <v>244</v>
      </c>
      <c r="W244" s="10" t="str">
        <f t="shared" si="33"/>
        <v/>
      </c>
      <c r="Z244" s="10" t="str">
        <f>IF(A244&lt;&gt;"",'Metrics planning and tracking'!$K$4,"")</f>
        <v/>
      </c>
      <c r="AA244" s="10" t="str">
        <f>IF(A244&lt;&gt;"",'Metrics planning and tracking'!$K$5,"")</f>
        <v/>
      </c>
      <c r="AB244" s="10" t="str">
        <f>IF(A244&lt;&gt;"",'Metrics planning and tracking'!$K$2,"")</f>
        <v/>
      </c>
      <c r="AC244" s="10" t="str">
        <f>IF(A244&lt;&gt;"",'Metrics planning and tracking'!$K$3,"")</f>
        <v/>
      </c>
      <c r="AD244" s="10" t="str">
        <f>IF(A244&lt;&gt;"",IF(AND(#REF!&lt;&gt;"",#REF!&lt;&gt;"",#REF!&lt;&gt;0),#REF!/#REF!*100,"NA"),"")</f>
        <v/>
      </c>
      <c r="AE244" s="10" t="str">
        <f>IF(A244&lt;&gt;"",IF(AND(#REF!&lt;&gt;"",#REF!&lt;&gt;"",#REF!&lt;&gt;0),#REF!/#REF!*100,"NA"),"")</f>
        <v/>
      </c>
      <c r="AF244" s="57" t="str">
        <f t="shared" si="34"/>
        <v/>
      </c>
      <c r="AG244" s="57" t="str">
        <f t="shared" si="35"/>
        <v/>
      </c>
      <c r="AH244" s="58" t="str">
        <f t="shared" si="36"/>
        <v/>
      </c>
      <c r="AV244" s="22" t="str">
        <f>IF(A244&lt;&gt;"",A244 &amp; "-" &amp;#REF! &amp; ROW(),"")</f>
        <v/>
      </c>
    </row>
    <row r="245" spans="11:48" x14ac:dyDescent="0.2">
      <c r="K245" s="11" t="str">
        <f>IF(AND(COUNTA(B245:C245)&gt;1,COUNTA(F245:G245)&gt;1,O245="Completed"),(G245-C245)/(C245-#REF!+1)%,"")</f>
        <v/>
      </c>
      <c r="L245" s="11" t="str">
        <f>IF(AND(COUNT(D245:E245)&gt;0,COUNTA(F245:G245)&gt;1,O245="Completed"),(G245-AG245)/(AG245-#REF!+1)%,"")</f>
        <v/>
      </c>
      <c r="M245" s="11" t="str">
        <f t="shared" si="31"/>
        <v/>
      </c>
      <c r="N245" s="11" t="str">
        <f t="shared" si="32"/>
        <v/>
      </c>
      <c r="O245" s="12"/>
      <c r="P245" s="12"/>
      <c r="R245" s="10" t="str">
        <f>IF(H245&lt;&gt;"",SUMIF(H$3:H245,"&lt;&gt;" &amp; "",H$3:H245),"")</f>
        <v/>
      </c>
      <c r="S245" s="10" t="str">
        <f t="array" ref="S245">IF(O245="Completed",SUMIF(W$3:W245,"&lt;&gt;" &amp; "",W$3:W245),"")</f>
        <v/>
      </c>
      <c r="T245" s="10" t="str">
        <f t="array" ref="T245">IF(AND(J245&lt;&gt;"",O245="Completed"),SUM(IF(O$3:O245="Completed",J$3:J245,0)),"")</f>
        <v/>
      </c>
      <c r="U245" s="10" t="str">
        <f t="shared" si="30"/>
        <v/>
      </c>
      <c r="V245" s="10">
        <f>ROW()</f>
        <v>245</v>
      </c>
      <c r="W245" s="10" t="str">
        <f t="shared" si="33"/>
        <v/>
      </c>
      <c r="Z245" s="10" t="str">
        <f>IF(A245&lt;&gt;"",'Metrics planning and tracking'!$K$4,"")</f>
        <v/>
      </c>
      <c r="AA245" s="10" t="str">
        <f>IF(A245&lt;&gt;"",'Metrics planning and tracking'!$K$5,"")</f>
        <v/>
      </c>
      <c r="AB245" s="10" t="str">
        <f>IF(A245&lt;&gt;"",'Metrics planning and tracking'!$K$2,"")</f>
        <v/>
      </c>
      <c r="AC245" s="10" t="str">
        <f>IF(A245&lt;&gt;"",'Metrics planning and tracking'!$K$3,"")</f>
        <v/>
      </c>
      <c r="AD245" s="10" t="str">
        <f>IF(A245&lt;&gt;"",IF(AND(#REF!&lt;&gt;"",#REF!&lt;&gt;"",#REF!&lt;&gt;0),#REF!/#REF!*100,"NA"),"")</f>
        <v/>
      </c>
      <c r="AE245" s="10" t="str">
        <f>IF(A245&lt;&gt;"",IF(AND(#REF!&lt;&gt;"",#REF!&lt;&gt;"",#REF!&lt;&gt;0),#REF!/#REF!*100,"NA"),"")</f>
        <v/>
      </c>
      <c r="AF245" s="57" t="str">
        <f t="shared" si="34"/>
        <v/>
      </c>
      <c r="AG245" s="57" t="str">
        <f t="shared" si="35"/>
        <v/>
      </c>
      <c r="AH245" s="58" t="str">
        <f t="shared" si="36"/>
        <v/>
      </c>
      <c r="AV245" s="22" t="str">
        <f>IF(A245&lt;&gt;"",A245 &amp; "-" &amp;#REF! &amp; ROW(),"")</f>
        <v/>
      </c>
    </row>
    <row r="246" spans="11:48" x14ac:dyDescent="0.2">
      <c r="K246" s="11" t="str">
        <f>IF(AND(COUNTA(B246:C246)&gt;1,COUNTA(F246:G246)&gt;1,O246="Completed"),(G246-C246)/(C246-#REF!+1)%,"")</f>
        <v/>
      </c>
      <c r="L246" s="11" t="str">
        <f>IF(AND(COUNT(D246:E246)&gt;0,COUNTA(F246:G246)&gt;1,O246="Completed"),(G246-AG246)/(AG246-#REF!+1)%,"")</f>
        <v/>
      </c>
      <c r="M246" s="11" t="str">
        <f t="shared" si="31"/>
        <v/>
      </c>
      <c r="N246" s="11" t="str">
        <f t="shared" si="32"/>
        <v/>
      </c>
      <c r="O246" s="12"/>
      <c r="P246" s="12"/>
      <c r="R246" s="10" t="str">
        <f>IF(H246&lt;&gt;"",SUMIF(H$3:H246,"&lt;&gt;" &amp; "",H$3:H246),"")</f>
        <v/>
      </c>
      <c r="S246" s="10" t="str">
        <f t="array" ref="S246">IF(O246="Completed",SUMIF(W$3:W246,"&lt;&gt;" &amp; "",W$3:W246),"")</f>
        <v/>
      </c>
      <c r="T246" s="10" t="str">
        <f t="array" ref="T246">IF(AND(J246&lt;&gt;"",O246="Completed"),SUM(IF(O$3:O246="Completed",J$3:J246,0)),"")</f>
        <v/>
      </c>
      <c r="U246" s="10" t="str">
        <f t="shared" si="30"/>
        <v/>
      </c>
      <c r="V246" s="10">
        <f>ROW()</f>
        <v>246</v>
      </c>
      <c r="W246" s="10" t="str">
        <f t="shared" si="33"/>
        <v/>
      </c>
      <c r="Z246" s="10" t="str">
        <f>IF(A246&lt;&gt;"",'Metrics planning and tracking'!$K$4,"")</f>
        <v/>
      </c>
      <c r="AA246" s="10" t="str">
        <f>IF(A246&lt;&gt;"",'Metrics planning and tracking'!$K$5,"")</f>
        <v/>
      </c>
      <c r="AB246" s="10" t="str">
        <f>IF(A246&lt;&gt;"",'Metrics planning and tracking'!$K$2,"")</f>
        <v/>
      </c>
      <c r="AC246" s="10" t="str">
        <f>IF(A246&lt;&gt;"",'Metrics planning and tracking'!$K$3,"")</f>
        <v/>
      </c>
      <c r="AD246" s="10" t="str">
        <f>IF(A246&lt;&gt;"",IF(AND(#REF!&lt;&gt;"",#REF!&lt;&gt;"",#REF!&lt;&gt;0),#REF!/#REF!*100,"NA"),"")</f>
        <v/>
      </c>
      <c r="AE246" s="10" t="str">
        <f>IF(A246&lt;&gt;"",IF(AND(#REF!&lt;&gt;"",#REF!&lt;&gt;"",#REF!&lt;&gt;0),#REF!/#REF!*100,"NA"),"")</f>
        <v/>
      </c>
      <c r="AF246" s="57" t="str">
        <f t="shared" si="34"/>
        <v/>
      </c>
      <c r="AG246" s="57" t="str">
        <f t="shared" si="35"/>
        <v/>
      </c>
      <c r="AH246" s="58" t="str">
        <f t="shared" si="36"/>
        <v/>
      </c>
      <c r="AV246" s="22" t="str">
        <f>IF(A246&lt;&gt;"",A246 &amp; "-" &amp;#REF! &amp; ROW(),"")</f>
        <v/>
      </c>
    </row>
    <row r="247" spans="11:48" x14ac:dyDescent="0.2">
      <c r="K247" s="11" t="str">
        <f>IF(AND(COUNTA(B247:C247)&gt;1,COUNTA(F247:G247)&gt;1,O247="Completed"),(G247-C247)/(C247-#REF!+1)%,"")</f>
        <v/>
      </c>
      <c r="L247" s="11" t="str">
        <f>IF(AND(COUNT(D247:E247)&gt;0,COUNTA(F247:G247)&gt;1,O247="Completed"),(G247-AG247)/(AG247-#REF!+1)%,"")</f>
        <v/>
      </c>
      <c r="M247" s="11" t="str">
        <f t="shared" si="31"/>
        <v/>
      </c>
      <c r="N247" s="11" t="str">
        <f t="shared" si="32"/>
        <v/>
      </c>
      <c r="O247" s="12"/>
      <c r="P247" s="12"/>
      <c r="R247" s="10" t="str">
        <f>IF(H247&lt;&gt;"",SUMIF(H$3:H247,"&lt;&gt;" &amp; "",H$3:H247),"")</f>
        <v/>
      </c>
      <c r="S247" s="10" t="str">
        <f t="array" ref="S247">IF(O247="Completed",SUMIF(W$3:W247,"&lt;&gt;" &amp; "",W$3:W247),"")</f>
        <v/>
      </c>
      <c r="T247" s="10" t="str">
        <f t="array" ref="T247">IF(AND(J247&lt;&gt;"",O247="Completed"),SUM(IF(O$3:O247="Completed",J$3:J247,0)),"")</f>
        <v/>
      </c>
      <c r="U247" s="10" t="str">
        <f t="shared" si="30"/>
        <v/>
      </c>
      <c r="V247" s="10">
        <f>ROW()</f>
        <v>247</v>
      </c>
      <c r="W247" s="10" t="str">
        <f t="shared" si="33"/>
        <v/>
      </c>
      <c r="Z247" s="10" t="str">
        <f>IF(A247&lt;&gt;"",'Metrics planning and tracking'!$K$4,"")</f>
        <v/>
      </c>
      <c r="AA247" s="10" t="str">
        <f>IF(A247&lt;&gt;"",'Metrics planning and tracking'!$K$5,"")</f>
        <v/>
      </c>
      <c r="AB247" s="10" t="str">
        <f>IF(A247&lt;&gt;"",'Metrics planning and tracking'!$K$2,"")</f>
        <v/>
      </c>
      <c r="AC247" s="10" t="str">
        <f>IF(A247&lt;&gt;"",'Metrics planning and tracking'!$K$3,"")</f>
        <v/>
      </c>
      <c r="AD247" s="10" t="str">
        <f>IF(A247&lt;&gt;"",IF(AND(#REF!&lt;&gt;"",#REF!&lt;&gt;"",#REF!&lt;&gt;0),#REF!/#REF!*100,"NA"),"")</f>
        <v/>
      </c>
      <c r="AE247" s="10" t="str">
        <f>IF(A247&lt;&gt;"",IF(AND(#REF!&lt;&gt;"",#REF!&lt;&gt;"",#REF!&lt;&gt;0),#REF!/#REF!*100,"NA"),"")</f>
        <v/>
      </c>
      <c r="AF247" s="57" t="str">
        <f t="shared" si="34"/>
        <v/>
      </c>
      <c r="AG247" s="57" t="str">
        <f t="shared" si="35"/>
        <v/>
      </c>
      <c r="AH247" s="58" t="str">
        <f t="shared" si="36"/>
        <v/>
      </c>
      <c r="AV247" s="22" t="str">
        <f>IF(A247&lt;&gt;"",A247 &amp; "-" &amp;#REF! &amp; ROW(),"")</f>
        <v/>
      </c>
    </row>
    <row r="248" spans="11:48" x14ac:dyDescent="0.2">
      <c r="K248" s="11" t="str">
        <f>IF(AND(COUNTA(B248:C248)&gt;1,COUNTA(F248:G248)&gt;1,O248="Completed"),(G248-C248)/(C248-#REF!+1)%,"")</f>
        <v/>
      </c>
      <c r="L248" s="11" t="str">
        <f>IF(AND(COUNT(D248:E248)&gt;0,COUNTA(F248:G248)&gt;1,O248="Completed"),(G248-AG248)/(AG248-#REF!+1)%,"")</f>
        <v/>
      </c>
      <c r="M248" s="11" t="str">
        <f t="shared" si="31"/>
        <v/>
      </c>
      <c r="N248" s="11" t="str">
        <f t="shared" si="32"/>
        <v/>
      </c>
      <c r="O248" s="12"/>
      <c r="P248" s="12"/>
      <c r="R248" s="10" t="str">
        <f>IF(H248&lt;&gt;"",SUMIF(H$3:H248,"&lt;&gt;" &amp; "",H$3:H248),"")</f>
        <v/>
      </c>
      <c r="S248" s="10" t="str">
        <f t="array" ref="S248">IF(O248="Completed",SUMIF(W$3:W248,"&lt;&gt;" &amp; "",W$3:W248),"")</f>
        <v/>
      </c>
      <c r="T248" s="10" t="str">
        <f t="array" ref="T248">IF(AND(J248&lt;&gt;"",O248="Completed"),SUM(IF(O$3:O248="Completed",J$3:J248,0)),"")</f>
        <v/>
      </c>
      <c r="U248" s="10" t="str">
        <f t="shared" si="30"/>
        <v/>
      </c>
      <c r="V248" s="10">
        <f>ROW()</f>
        <v>248</v>
      </c>
      <c r="W248" s="10" t="str">
        <f t="shared" si="33"/>
        <v/>
      </c>
      <c r="Z248" s="10" t="str">
        <f>IF(A248&lt;&gt;"",'Metrics planning and tracking'!$K$4,"")</f>
        <v/>
      </c>
      <c r="AA248" s="10" t="str">
        <f>IF(A248&lt;&gt;"",'Metrics planning and tracking'!$K$5,"")</f>
        <v/>
      </c>
      <c r="AB248" s="10" t="str">
        <f>IF(A248&lt;&gt;"",'Metrics planning and tracking'!$K$2,"")</f>
        <v/>
      </c>
      <c r="AC248" s="10" t="str">
        <f>IF(A248&lt;&gt;"",'Metrics planning and tracking'!$K$3,"")</f>
        <v/>
      </c>
      <c r="AD248" s="10" t="str">
        <f>IF(A248&lt;&gt;"",IF(AND(#REF!&lt;&gt;"",#REF!&lt;&gt;"",#REF!&lt;&gt;0),#REF!/#REF!*100,"NA"),"")</f>
        <v/>
      </c>
      <c r="AE248" s="10" t="str">
        <f>IF(A248&lt;&gt;"",IF(AND(#REF!&lt;&gt;"",#REF!&lt;&gt;"",#REF!&lt;&gt;0),#REF!/#REF!*100,"NA"),"")</f>
        <v/>
      </c>
      <c r="AF248" s="57" t="str">
        <f t="shared" si="34"/>
        <v/>
      </c>
      <c r="AG248" s="57" t="str">
        <f t="shared" si="35"/>
        <v/>
      </c>
      <c r="AH248" s="58" t="str">
        <f t="shared" si="36"/>
        <v/>
      </c>
      <c r="AV248" s="22" t="str">
        <f>IF(A248&lt;&gt;"",A248 &amp; "-" &amp;#REF! &amp; ROW(),"")</f>
        <v/>
      </c>
    </row>
    <row r="249" spans="11:48" x14ac:dyDescent="0.2">
      <c r="K249" s="11" t="str">
        <f>IF(AND(COUNTA(B249:C249)&gt;1,COUNTA(F249:G249)&gt;1,O249="Completed"),(G249-C249)/(C249-#REF!+1)%,"")</f>
        <v/>
      </c>
      <c r="L249" s="11" t="str">
        <f>IF(AND(COUNT(D249:E249)&gt;0,COUNTA(F249:G249)&gt;1,O249="Completed"),(G249-AG249)/(AG249-#REF!+1)%,"")</f>
        <v/>
      </c>
      <c r="M249" s="11" t="str">
        <f t="shared" si="31"/>
        <v/>
      </c>
      <c r="N249" s="11" t="str">
        <f t="shared" si="32"/>
        <v/>
      </c>
      <c r="O249" s="12"/>
      <c r="P249" s="12"/>
      <c r="R249" s="10" t="str">
        <f>IF(H249&lt;&gt;"",SUMIF(H$3:H249,"&lt;&gt;" &amp; "",H$3:H249),"")</f>
        <v/>
      </c>
      <c r="S249" s="10" t="str">
        <f t="array" ref="S249">IF(O249="Completed",SUMIF(W$3:W249,"&lt;&gt;" &amp; "",W$3:W249),"")</f>
        <v/>
      </c>
      <c r="T249" s="10" t="str">
        <f t="array" ref="T249">IF(AND(J249&lt;&gt;"",O249="Completed"),SUM(IF(O$3:O249="Completed",J$3:J249,0)),"")</f>
        <v/>
      </c>
      <c r="U249" s="10" t="str">
        <f t="shared" si="30"/>
        <v/>
      </c>
      <c r="V249" s="10">
        <f>ROW()</f>
        <v>249</v>
      </c>
      <c r="W249" s="10" t="str">
        <f t="shared" si="33"/>
        <v/>
      </c>
      <c r="Z249" s="10" t="str">
        <f>IF(A249&lt;&gt;"",'Metrics planning and tracking'!$K$4,"")</f>
        <v/>
      </c>
      <c r="AA249" s="10" t="str">
        <f>IF(A249&lt;&gt;"",'Metrics planning and tracking'!$K$5,"")</f>
        <v/>
      </c>
      <c r="AB249" s="10" t="str">
        <f>IF(A249&lt;&gt;"",'Metrics planning and tracking'!$K$2,"")</f>
        <v/>
      </c>
      <c r="AC249" s="10" t="str">
        <f>IF(A249&lt;&gt;"",'Metrics planning and tracking'!$K$3,"")</f>
        <v/>
      </c>
      <c r="AD249" s="10" t="str">
        <f>IF(A249&lt;&gt;"",IF(AND(#REF!&lt;&gt;"",#REF!&lt;&gt;"",#REF!&lt;&gt;0),#REF!/#REF!*100,"NA"),"")</f>
        <v/>
      </c>
      <c r="AE249" s="10" t="str">
        <f>IF(A249&lt;&gt;"",IF(AND(#REF!&lt;&gt;"",#REF!&lt;&gt;"",#REF!&lt;&gt;0),#REF!/#REF!*100,"NA"),"")</f>
        <v/>
      </c>
      <c r="AF249" s="57" t="str">
        <f t="shared" si="34"/>
        <v/>
      </c>
      <c r="AG249" s="57" t="str">
        <f t="shared" si="35"/>
        <v/>
      </c>
      <c r="AH249" s="58" t="str">
        <f t="shared" si="36"/>
        <v/>
      </c>
      <c r="AV249" s="22" t="str">
        <f>IF(A249&lt;&gt;"",A249 &amp; "-" &amp;#REF! &amp; ROW(),"")</f>
        <v/>
      </c>
    </row>
    <row r="250" spans="11:48" x14ac:dyDescent="0.2">
      <c r="K250" s="11" t="str">
        <f>IF(AND(COUNTA(B250:C250)&gt;1,COUNTA(F250:G250)&gt;1,O250="Completed"),(G250-C250)/(C250-#REF!+1)%,"")</f>
        <v/>
      </c>
      <c r="L250" s="11" t="str">
        <f>IF(AND(COUNT(D250:E250)&gt;0,COUNTA(F250:G250)&gt;1,O250="Completed"),(G250-AG250)/(AG250-#REF!+1)%,"")</f>
        <v/>
      </c>
      <c r="M250" s="11" t="str">
        <f t="shared" si="31"/>
        <v/>
      </c>
      <c r="N250" s="11" t="str">
        <f t="shared" si="32"/>
        <v/>
      </c>
      <c r="O250" s="12"/>
      <c r="P250" s="12"/>
      <c r="R250" s="10" t="str">
        <f>IF(H250&lt;&gt;"",SUMIF(H$3:H250,"&lt;&gt;" &amp; "",H$3:H250),"")</f>
        <v/>
      </c>
      <c r="S250" s="10" t="str">
        <f t="array" ref="S250">IF(O250="Completed",SUMIF(W$3:W250,"&lt;&gt;" &amp; "",W$3:W250),"")</f>
        <v/>
      </c>
      <c r="T250" s="10" t="str">
        <f t="array" ref="T250">IF(AND(J250&lt;&gt;"",O250="Completed"),SUM(IF(O$3:O250="Completed",J$3:J250,0)),"")</f>
        <v/>
      </c>
      <c r="U250" s="10" t="str">
        <f t="shared" si="30"/>
        <v/>
      </c>
      <c r="V250" s="10">
        <f>ROW()</f>
        <v>250</v>
      </c>
      <c r="W250" s="10" t="str">
        <f t="shared" si="33"/>
        <v/>
      </c>
      <c r="Z250" s="10" t="str">
        <f>IF(A250&lt;&gt;"",'Metrics planning and tracking'!$K$4,"")</f>
        <v/>
      </c>
      <c r="AA250" s="10" t="str">
        <f>IF(A250&lt;&gt;"",'Metrics planning and tracking'!$K$5,"")</f>
        <v/>
      </c>
      <c r="AB250" s="10" t="str">
        <f>IF(A250&lt;&gt;"",'Metrics planning and tracking'!$K$2,"")</f>
        <v/>
      </c>
      <c r="AC250" s="10" t="str">
        <f>IF(A250&lt;&gt;"",'Metrics planning and tracking'!$K$3,"")</f>
        <v/>
      </c>
      <c r="AD250" s="10" t="str">
        <f>IF(A250&lt;&gt;"",IF(AND(#REF!&lt;&gt;"",#REF!&lt;&gt;"",#REF!&lt;&gt;0),#REF!/#REF!*100,"NA"),"")</f>
        <v/>
      </c>
      <c r="AE250" s="10" t="str">
        <f>IF(A250&lt;&gt;"",IF(AND(#REF!&lt;&gt;"",#REF!&lt;&gt;"",#REF!&lt;&gt;0),#REF!/#REF!*100,"NA"),"")</f>
        <v/>
      </c>
      <c r="AF250" s="57" t="str">
        <f t="shared" si="34"/>
        <v/>
      </c>
      <c r="AG250" s="57" t="str">
        <f t="shared" si="35"/>
        <v/>
      </c>
      <c r="AH250" s="58" t="str">
        <f t="shared" si="36"/>
        <v/>
      </c>
      <c r="AV250" s="22" t="str">
        <f>IF(A250&lt;&gt;"",A250 &amp; "-" &amp;#REF! &amp; ROW(),"")</f>
        <v/>
      </c>
    </row>
    <row r="251" spans="11:48" x14ac:dyDescent="0.2">
      <c r="K251" s="11" t="str">
        <f>IF(AND(COUNTA(B251:C251)&gt;1,COUNTA(F251:G251)&gt;1,O251="Completed"),(G251-C251)/(C251-#REF!+1)%,"")</f>
        <v/>
      </c>
      <c r="L251" s="11" t="str">
        <f>IF(AND(COUNT(D251:E251)&gt;0,COUNTA(F251:G251)&gt;1,O251="Completed"),(G251-AG251)/(AG251-#REF!+1)%,"")</f>
        <v/>
      </c>
      <c r="M251" s="11" t="str">
        <f t="shared" si="31"/>
        <v/>
      </c>
      <c r="N251" s="11" t="str">
        <f t="shared" si="32"/>
        <v/>
      </c>
      <c r="O251" s="12"/>
      <c r="P251" s="12"/>
      <c r="R251" s="10" t="str">
        <f>IF(H251&lt;&gt;"",SUMIF(H$3:H251,"&lt;&gt;" &amp; "",H$3:H251),"")</f>
        <v/>
      </c>
      <c r="S251" s="10" t="str">
        <f t="array" ref="S251">IF(O251="Completed",SUMIF(W$3:W251,"&lt;&gt;" &amp; "",W$3:W251),"")</f>
        <v/>
      </c>
      <c r="T251" s="10" t="str">
        <f t="array" ref="T251">IF(AND(J251&lt;&gt;"",O251="Completed"),SUM(IF(O$3:O251="Completed",J$3:J251,0)),"")</f>
        <v/>
      </c>
      <c r="U251" s="10" t="str">
        <f t="shared" si="30"/>
        <v/>
      </c>
      <c r="V251" s="10">
        <f>ROW()</f>
        <v>251</v>
      </c>
      <c r="W251" s="10" t="str">
        <f t="shared" si="33"/>
        <v/>
      </c>
      <c r="Z251" s="10" t="str">
        <f>IF(A251&lt;&gt;"",'Metrics planning and tracking'!$K$4,"")</f>
        <v/>
      </c>
      <c r="AA251" s="10" t="str">
        <f>IF(A251&lt;&gt;"",'Metrics planning and tracking'!$K$5,"")</f>
        <v/>
      </c>
      <c r="AB251" s="10" t="str">
        <f>IF(A251&lt;&gt;"",'Metrics planning and tracking'!$K$2,"")</f>
        <v/>
      </c>
      <c r="AC251" s="10" t="str">
        <f>IF(A251&lt;&gt;"",'Metrics planning and tracking'!$K$3,"")</f>
        <v/>
      </c>
      <c r="AD251" s="10" t="str">
        <f>IF(A251&lt;&gt;"",IF(AND(#REF!&lt;&gt;"",#REF!&lt;&gt;"",#REF!&lt;&gt;0),#REF!/#REF!*100,"NA"),"")</f>
        <v/>
      </c>
      <c r="AE251" s="10" t="str">
        <f>IF(A251&lt;&gt;"",IF(AND(#REF!&lt;&gt;"",#REF!&lt;&gt;"",#REF!&lt;&gt;0),#REF!/#REF!*100,"NA"),"")</f>
        <v/>
      </c>
      <c r="AF251" s="57" t="str">
        <f t="shared" si="34"/>
        <v/>
      </c>
      <c r="AG251" s="57" t="str">
        <f t="shared" si="35"/>
        <v/>
      </c>
      <c r="AH251" s="58" t="str">
        <f t="shared" si="36"/>
        <v/>
      </c>
      <c r="AV251" s="22" t="str">
        <f>IF(A251&lt;&gt;"",A251 &amp; "-" &amp;#REF! &amp; ROW(),"")</f>
        <v/>
      </c>
    </row>
    <row r="252" spans="11:48" x14ac:dyDescent="0.2">
      <c r="K252" s="11" t="str">
        <f>IF(AND(COUNTA(B252:C252)&gt;1,COUNTA(F252:G252)&gt;1,O252="Completed"),(G252-C252)/(C252-#REF!+1)%,"")</f>
        <v/>
      </c>
      <c r="L252" s="11" t="str">
        <f>IF(AND(COUNT(D252:E252)&gt;0,COUNTA(F252:G252)&gt;1,O252="Completed"),(G252-AG252)/(AG252-#REF!+1)%,"")</f>
        <v/>
      </c>
      <c r="M252" s="11" t="str">
        <f t="shared" si="31"/>
        <v/>
      </c>
      <c r="N252" s="11" t="str">
        <f t="shared" si="32"/>
        <v/>
      </c>
      <c r="O252" s="12"/>
      <c r="P252" s="12"/>
      <c r="R252" s="10" t="str">
        <f>IF(H252&lt;&gt;"",SUMIF(H$3:H252,"&lt;&gt;" &amp; "",H$3:H252),"")</f>
        <v/>
      </c>
      <c r="S252" s="10" t="str">
        <f t="array" ref="S252">IF(O252="Completed",SUMIF(W$3:W252,"&lt;&gt;" &amp; "",W$3:W252),"")</f>
        <v/>
      </c>
      <c r="T252" s="10" t="str">
        <f t="array" ref="T252">IF(AND(J252&lt;&gt;"",O252="Completed"),SUM(IF(O$3:O252="Completed",J$3:J252,0)),"")</f>
        <v/>
      </c>
      <c r="U252" s="10" t="str">
        <f t="shared" si="30"/>
        <v/>
      </c>
      <c r="V252" s="10">
        <f>ROW()</f>
        <v>252</v>
      </c>
      <c r="W252" s="10" t="str">
        <f t="shared" si="33"/>
        <v/>
      </c>
      <c r="Z252" s="10" t="str">
        <f>IF(A252&lt;&gt;"",'Metrics planning and tracking'!$K$4,"")</f>
        <v/>
      </c>
      <c r="AA252" s="10" t="str">
        <f>IF(A252&lt;&gt;"",'Metrics planning and tracking'!$K$5,"")</f>
        <v/>
      </c>
      <c r="AB252" s="10" t="str">
        <f>IF(A252&lt;&gt;"",'Metrics planning and tracking'!$K$2,"")</f>
        <v/>
      </c>
      <c r="AC252" s="10" t="str">
        <f>IF(A252&lt;&gt;"",'Metrics planning and tracking'!$K$3,"")</f>
        <v/>
      </c>
      <c r="AD252" s="10" t="str">
        <f>IF(A252&lt;&gt;"",IF(AND(#REF!&lt;&gt;"",#REF!&lt;&gt;"",#REF!&lt;&gt;0),#REF!/#REF!*100,"NA"),"")</f>
        <v/>
      </c>
      <c r="AE252" s="10" t="str">
        <f>IF(A252&lt;&gt;"",IF(AND(#REF!&lt;&gt;"",#REF!&lt;&gt;"",#REF!&lt;&gt;0),#REF!/#REF!*100,"NA"),"")</f>
        <v/>
      </c>
      <c r="AF252" s="57" t="str">
        <f t="shared" si="34"/>
        <v/>
      </c>
      <c r="AG252" s="57" t="str">
        <f t="shared" si="35"/>
        <v/>
      </c>
      <c r="AH252" s="58" t="str">
        <f t="shared" si="36"/>
        <v/>
      </c>
      <c r="AV252" s="22" t="str">
        <f>IF(A252&lt;&gt;"",A252 &amp; "-" &amp;#REF! &amp; ROW(),"")</f>
        <v/>
      </c>
    </row>
    <row r="253" spans="11:48" x14ac:dyDescent="0.2">
      <c r="K253" s="11" t="str">
        <f>IF(AND(COUNTA(B253:C253)&gt;1,COUNTA(F253:G253)&gt;1,O253="Completed"),(G253-C253)/(C253-#REF!+1)%,"")</f>
        <v/>
      </c>
      <c r="L253" s="11" t="str">
        <f>IF(AND(COUNT(D253:E253)&gt;0,COUNTA(F253:G253)&gt;1,O253="Completed"),(G253-AG253)/(AG253-#REF!+1)%,"")</f>
        <v/>
      </c>
      <c r="M253" s="11" t="str">
        <f t="shared" si="31"/>
        <v/>
      </c>
      <c r="N253" s="11" t="str">
        <f t="shared" si="32"/>
        <v/>
      </c>
      <c r="O253" s="12"/>
      <c r="P253" s="12"/>
      <c r="R253" s="10" t="str">
        <f>IF(H253&lt;&gt;"",SUMIF(H$3:H253,"&lt;&gt;" &amp; "",H$3:H253),"")</f>
        <v/>
      </c>
      <c r="S253" s="10" t="str">
        <f t="array" ref="S253">IF(O253="Completed",SUMIF(W$3:W253,"&lt;&gt;" &amp; "",W$3:W253),"")</f>
        <v/>
      </c>
      <c r="T253" s="10" t="str">
        <f t="array" ref="T253">IF(AND(J253&lt;&gt;"",O253="Completed"),SUM(IF(O$3:O253="Completed",J$3:J253,0)),"")</f>
        <v/>
      </c>
      <c r="U253" s="10" t="str">
        <f t="shared" si="30"/>
        <v/>
      </c>
      <c r="V253" s="10">
        <f>ROW()</f>
        <v>253</v>
      </c>
      <c r="W253" s="10" t="str">
        <f t="shared" si="33"/>
        <v/>
      </c>
      <c r="Z253" s="10" t="str">
        <f>IF(A253&lt;&gt;"",'Metrics planning and tracking'!$K$4,"")</f>
        <v/>
      </c>
      <c r="AA253" s="10" t="str">
        <f>IF(A253&lt;&gt;"",'Metrics planning and tracking'!$K$5,"")</f>
        <v/>
      </c>
      <c r="AB253" s="10" t="str">
        <f>IF(A253&lt;&gt;"",'Metrics planning and tracking'!$K$2,"")</f>
        <v/>
      </c>
      <c r="AC253" s="10" t="str">
        <f>IF(A253&lt;&gt;"",'Metrics planning and tracking'!$K$3,"")</f>
        <v/>
      </c>
      <c r="AD253" s="10" t="str">
        <f>IF(A253&lt;&gt;"",IF(AND(#REF!&lt;&gt;"",#REF!&lt;&gt;"",#REF!&lt;&gt;0),#REF!/#REF!*100,"NA"),"")</f>
        <v/>
      </c>
      <c r="AE253" s="10" t="str">
        <f>IF(A253&lt;&gt;"",IF(AND(#REF!&lt;&gt;"",#REF!&lt;&gt;"",#REF!&lt;&gt;0),#REF!/#REF!*100,"NA"),"")</f>
        <v/>
      </c>
      <c r="AF253" s="57" t="str">
        <f t="shared" si="34"/>
        <v/>
      </c>
      <c r="AG253" s="57" t="str">
        <f t="shared" si="35"/>
        <v/>
      </c>
      <c r="AH253" s="58" t="str">
        <f t="shared" si="36"/>
        <v/>
      </c>
      <c r="AV253" s="22" t="str">
        <f>IF(A253&lt;&gt;"",A253 &amp; "-" &amp;#REF! &amp; ROW(),"")</f>
        <v/>
      </c>
    </row>
    <row r="254" spans="11:48" x14ac:dyDescent="0.2">
      <c r="K254" s="11" t="str">
        <f>IF(AND(COUNTA(B254:C254)&gt;1,COUNTA(F254:G254)&gt;1,O254="Completed"),(G254-C254)/(C254-#REF!+1)%,"")</f>
        <v/>
      </c>
      <c r="L254" s="11" t="str">
        <f>IF(AND(COUNT(D254:E254)&gt;0,COUNTA(F254:G254)&gt;1,O254="Completed"),(G254-AG254)/(AG254-#REF!+1)%,"")</f>
        <v/>
      </c>
      <c r="M254" s="11" t="str">
        <f t="shared" si="31"/>
        <v/>
      </c>
      <c r="N254" s="11" t="str">
        <f t="shared" si="32"/>
        <v/>
      </c>
      <c r="O254" s="12"/>
      <c r="P254" s="12"/>
      <c r="R254" s="10" t="str">
        <f>IF(H254&lt;&gt;"",SUMIF(H$3:H254,"&lt;&gt;" &amp; "",H$3:H254),"")</f>
        <v/>
      </c>
      <c r="S254" s="10" t="str">
        <f t="array" ref="S254">IF(O254="Completed",SUMIF(W$3:W254,"&lt;&gt;" &amp; "",W$3:W254),"")</f>
        <v/>
      </c>
      <c r="T254" s="10" t="str">
        <f t="array" ref="T254">IF(AND(J254&lt;&gt;"",O254="Completed"),SUM(IF(O$3:O254="Completed",J$3:J254,0)),"")</f>
        <v/>
      </c>
      <c r="U254" s="10" t="str">
        <f t="shared" si="30"/>
        <v/>
      </c>
      <c r="V254" s="10">
        <f>ROW()</f>
        <v>254</v>
      </c>
      <c r="W254" s="10" t="str">
        <f t="shared" si="33"/>
        <v/>
      </c>
      <c r="Z254" s="10" t="str">
        <f>IF(A254&lt;&gt;"",'Metrics planning and tracking'!$K$4,"")</f>
        <v/>
      </c>
      <c r="AA254" s="10" t="str">
        <f>IF(A254&lt;&gt;"",'Metrics planning and tracking'!$K$5,"")</f>
        <v/>
      </c>
      <c r="AB254" s="10" t="str">
        <f>IF(A254&lt;&gt;"",'Metrics planning and tracking'!$K$2,"")</f>
        <v/>
      </c>
      <c r="AC254" s="10" t="str">
        <f>IF(A254&lt;&gt;"",'Metrics planning and tracking'!$K$3,"")</f>
        <v/>
      </c>
      <c r="AD254" s="10" t="str">
        <f>IF(A254&lt;&gt;"",IF(AND(#REF!&lt;&gt;"",#REF!&lt;&gt;"",#REF!&lt;&gt;0),#REF!/#REF!*100,"NA"),"")</f>
        <v/>
      </c>
      <c r="AE254" s="10" t="str">
        <f>IF(A254&lt;&gt;"",IF(AND(#REF!&lt;&gt;"",#REF!&lt;&gt;"",#REF!&lt;&gt;0),#REF!/#REF!*100,"NA"),"")</f>
        <v/>
      </c>
      <c r="AF254" s="57" t="str">
        <f t="shared" si="34"/>
        <v/>
      </c>
      <c r="AG254" s="57" t="str">
        <f t="shared" si="35"/>
        <v/>
      </c>
      <c r="AH254" s="58" t="str">
        <f t="shared" si="36"/>
        <v/>
      </c>
      <c r="AV254" s="22" t="str">
        <f>IF(A254&lt;&gt;"",A254 &amp; "-" &amp;#REF! &amp; ROW(),"")</f>
        <v/>
      </c>
    </row>
    <row r="255" spans="11:48" x14ac:dyDescent="0.2">
      <c r="K255" s="11" t="str">
        <f>IF(AND(COUNTA(B255:C255)&gt;1,COUNTA(F255:G255)&gt;1,O255="Completed"),(G255-C255)/(C255-#REF!+1)%,"")</f>
        <v/>
      </c>
      <c r="L255" s="11" t="str">
        <f>IF(AND(COUNT(D255:E255)&gt;0,COUNTA(F255:G255)&gt;1,O255="Completed"),(G255-AG255)/(AG255-#REF!+1)%,"")</f>
        <v/>
      </c>
      <c r="M255" s="11" t="str">
        <f t="shared" si="31"/>
        <v/>
      </c>
      <c r="N255" s="11" t="str">
        <f t="shared" si="32"/>
        <v/>
      </c>
      <c r="O255" s="12"/>
      <c r="P255" s="12"/>
      <c r="R255" s="10" t="str">
        <f>IF(H255&lt;&gt;"",SUMIF(H$3:H255,"&lt;&gt;" &amp; "",H$3:H255),"")</f>
        <v/>
      </c>
      <c r="S255" s="10" t="str">
        <f t="array" ref="S255">IF(O255="Completed",SUMIF(W$3:W255,"&lt;&gt;" &amp; "",W$3:W255),"")</f>
        <v/>
      </c>
      <c r="T255" s="10" t="str">
        <f t="array" ref="T255">IF(AND(J255&lt;&gt;"",O255="Completed"),SUM(IF(O$3:O255="Completed",J$3:J255,0)),"")</f>
        <v/>
      </c>
      <c r="U255" s="10" t="str">
        <f t="shared" si="30"/>
        <v/>
      </c>
      <c r="V255" s="10">
        <f>ROW()</f>
        <v>255</v>
      </c>
      <c r="W255" s="10" t="str">
        <f t="shared" si="33"/>
        <v/>
      </c>
      <c r="Z255" s="10" t="str">
        <f>IF(A255&lt;&gt;"",'Metrics planning and tracking'!$K$4,"")</f>
        <v/>
      </c>
      <c r="AA255" s="10" t="str">
        <f>IF(A255&lt;&gt;"",'Metrics planning and tracking'!$K$5,"")</f>
        <v/>
      </c>
      <c r="AB255" s="10" t="str">
        <f>IF(A255&lt;&gt;"",'Metrics planning and tracking'!$K$2,"")</f>
        <v/>
      </c>
      <c r="AC255" s="10" t="str">
        <f>IF(A255&lt;&gt;"",'Metrics planning and tracking'!$K$3,"")</f>
        <v/>
      </c>
      <c r="AD255" s="10" t="str">
        <f>IF(A255&lt;&gt;"",IF(AND(#REF!&lt;&gt;"",#REF!&lt;&gt;"",#REF!&lt;&gt;0),#REF!/#REF!*100,"NA"),"")</f>
        <v/>
      </c>
      <c r="AE255" s="10" t="str">
        <f>IF(A255&lt;&gt;"",IF(AND(#REF!&lt;&gt;"",#REF!&lt;&gt;"",#REF!&lt;&gt;0),#REF!/#REF!*100,"NA"),"")</f>
        <v/>
      </c>
      <c r="AF255" s="57" t="str">
        <f t="shared" si="34"/>
        <v/>
      </c>
      <c r="AG255" s="57" t="str">
        <f t="shared" si="35"/>
        <v/>
      </c>
      <c r="AH255" s="58" t="str">
        <f t="shared" si="36"/>
        <v/>
      </c>
      <c r="AV255" s="22" t="str">
        <f>IF(A255&lt;&gt;"",A255 &amp; "-" &amp;#REF! &amp; ROW(),"")</f>
        <v/>
      </c>
    </row>
    <row r="256" spans="11:48" x14ac:dyDescent="0.2">
      <c r="K256" s="11" t="str">
        <f>IF(AND(COUNTA(B256:C256)&gt;1,COUNTA(F256:G256)&gt;1,O256="Completed"),(G256-C256)/(C256-#REF!+1)%,"")</f>
        <v/>
      </c>
      <c r="L256" s="11" t="str">
        <f>IF(AND(COUNT(D256:E256)&gt;0,COUNTA(F256:G256)&gt;1,O256="Completed"),(G256-AG256)/(AG256-#REF!+1)%,"")</f>
        <v/>
      </c>
      <c r="M256" s="11" t="str">
        <f t="shared" si="31"/>
        <v/>
      </c>
      <c r="N256" s="11" t="str">
        <f t="shared" si="32"/>
        <v/>
      </c>
      <c r="O256" s="12"/>
      <c r="P256" s="12"/>
      <c r="R256" s="10" t="str">
        <f>IF(H256&lt;&gt;"",SUMIF(H$3:H256,"&lt;&gt;" &amp; "",H$3:H256),"")</f>
        <v/>
      </c>
      <c r="S256" s="10" t="str">
        <f t="array" ref="S256">IF(O256="Completed",SUMIF(W$3:W256,"&lt;&gt;" &amp; "",W$3:W256),"")</f>
        <v/>
      </c>
      <c r="T256" s="10" t="str">
        <f t="array" ref="T256">IF(AND(J256&lt;&gt;"",O256="Completed"),SUM(IF(O$3:O256="Completed",J$3:J256,0)),"")</f>
        <v/>
      </c>
      <c r="U256" s="10" t="str">
        <f t="shared" si="30"/>
        <v/>
      </c>
      <c r="V256" s="10">
        <f>ROW()</f>
        <v>256</v>
      </c>
      <c r="W256" s="10" t="str">
        <f t="shared" si="33"/>
        <v/>
      </c>
      <c r="Z256" s="10" t="str">
        <f>IF(A256&lt;&gt;"",'Metrics planning and tracking'!$K$4,"")</f>
        <v/>
      </c>
      <c r="AA256" s="10" t="str">
        <f>IF(A256&lt;&gt;"",'Metrics planning and tracking'!$K$5,"")</f>
        <v/>
      </c>
      <c r="AB256" s="10" t="str">
        <f>IF(A256&lt;&gt;"",'Metrics planning and tracking'!$K$2,"")</f>
        <v/>
      </c>
      <c r="AC256" s="10" t="str">
        <f>IF(A256&lt;&gt;"",'Metrics planning and tracking'!$K$3,"")</f>
        <v/>
      </c>
      <c r="AD256" s="10" t="str">
        <f>IF(A256&lt;&gt;"",IF(AND(#REF!&lt;&gt;"",#REF!&lt;&gt;"",#REF!&lt;&gt;0),#REF!/#REF!*100,"NA"),"")</f>
        <v/>
      </c>
      <c r="AE256" s="10" t="str">
        <f>IF(A256&lt;&gt;"",IF(AND(#REF!&lt;&gt;"",#REF!&lt;&gt;"",#REF!&lt;&gt;0),#REF!/#REF!*100,"NA"),"")</f>
        <v/>
      </c>
      <c r="AF256" s="57" t="str">
        <f t="shared" si="34"/>
        <v/>
      </c>
      <c r="AG256" s="57" t="str">
        <f t="shared" si="35"/>
        <v/>
      </c>
      <c r="AH256" s="58" t="str">
        <f t="shared" si="36"/>
        <v/>
      </c>
      <c r="AV256" s="22" t="str">
        <f>IF(A256&lt;&gt;"",A256 &amp; "-" &amp;#REF! &amp; ROW(),"")</f>
        <v/>
      </c>
    </row>
    <row r="257" spans="11:48" x14ac:dyDescent="0.2">
      <c r="K257" s="11" t="str">
        <f>IF(AND(COUNTA(B257:C257)&gt;1,COUNTA(F257:G257)&gt;1,O257="Completed"),(G257-C257)/(C257-#REF!+1)%,"")</f>
        <v/>
      </c>
      <c r="L257" s="11" t="str">
        <f>IF(AND(COUNT(D257:E257)&gt;0,COUNTA(F257:G257)&gt;1,O257="Completed"),(G257-AG257)/(AG257-#REF!+1)%,"")</f>
        <v/>
      </c>
      <c r="M257" s="11" t="str">
        <f t="shared" si="31"/>
        <v/>
      </c>
      <c r="N257" s="11" t="str">
        <f t="shared" si="32"/>
        <v/>
      </c>
      <c r="O257" s="12"/>
      <c r="P257" s="12"/>
      <c r="R257" s="10" t="str">
        <f>IF(H257&lt;&gt;"",SUMIF(H$3:H257,"&lt;&gt;" &amp; "",H$3:H257),"")</f>
        <v/>
      </c>
      <c r="S257" s="10" t="str">
        <f t="array" ref="S257">IF(O257="Completed",SUMIF(W$3:W257,"&lt;&gt;" &amp; "",W$3:W257),"")</f>
        <v/>
      </c>
      <c r="T257" s="10" t="str">
        <f t="array" ref="T257">IF(AND(J257&lt;&gt;"",O257="Completed"),SUM(IF(O$3:O257="Completed",J$3:J257,0)),"")</f>
        <v/>
      </c>
      <c r="U257" s="10" t="str">
        <f t="shared" si="30"/>
        <v/>
      </c>
      <c r="V257" s="10">
        <f>ROW()</f>
        <v>257</v>
      </c>
      <c r="W257" s="10" t="str">
        <f t="shared" si="33"/>
        <v/>
      </c>
      <c r="Z257" s="10" t="str">
        <f>IF(A257&lt;&gt;"",'Metrics planning and tracking'!$K$4,"")</f>
        <v/>
      </c>
      <c r="AA257" s="10" t="str">
        <f>IF(A257&lt;&gt;"",'Metrics planning and tracking'!$K$5,"")</f>
        <v/>
      </c>
      <c r="AB257" s="10" t="str">
        <f>IF(A257&lt;&gt;"",'Metrics planning and tracking'!$K$2,"")</f>
        <v/>
      </c>
      <c r="AC257" s="10" t="str">
        <f>IF(A257&lt;&gt;"",'Metrics planning and tracking'!$K$3,"")</f>
        <v/>
      </c>
      <c r="AD257" s="10" t="str">
        <f>IF(A257&lt;&gt;"",IF(AND(#REF!&lt;&gt;"",#REF!&lt;&gt;"",#REF!&lt;&gt;0),#REF!/#REF!*100,"NA"),"")</f>
        <v/>
      </c>
      <c r="AE257" s="10" t="str">
        <f>IF(A257&lt;&gt;"",IF(AND(#REF!&lt;&gt;"",#REF!&lt;&gt;"",#REF!&lt;&gt;0),#REF!/#REF!*100,"NA"),"")</f>
        <v/>
      </c>
      <c r="AF257" s="57" t="str">
        <f t="shared" si="34"/>
        <v/>
      </c>
      <c r="AG257" s="57" t="str">
        <f t="shared" si="35"/>
        <v/>
      </c>
      <c r="AH257" s="58" t="str">
        <f t="shared" si="36"/>
        <v/>
      </c>
      <c r="AV257" s="22" t="str">
        <f>IF(A257&lt;&gt;"",A257 &amp; "-" &amp;#REF! &amp; ROW(),"")</f>
        <v/>
      </c>
    </row>
    <row r="258" spans="11:48" x14ac:dyDescent="0.2">
      <c r="K258" s="11" t="str">
        <f>IF(AND(COUNTA(B258:C258)&gt;1,COUNTA(F258:G258)&gt;1,O258="Completed"),(G258-C258)/(C258-#REF!+1)%,"")</f>
        <v/>
      </c>
      <c r="L258" s="11" t="str">
        <f>IF(AND(COUNT(D258:E258)&gt;0,COUNTA(F258:G258)&gt;1,O258="Completed"),(G258-AG258)/(AG258-#REF!+1)%,"")</f>
        <v/>
      </c>
      <c r="M258" s="11" t="str">
        <f t="shared" si="31"/>
        <v/>
      </c>
      <c r="N258" s="11" t="str">
        <f t="shared" si="32"/>
        <v/>
      </c>
      <c r="O258" s="12"/>
      <c r="P258" s="12"/>
      <c r="R258" s="10" t="str">
        <f>IF(H258&lt;&gt;"",SUMIF(H$3:H258,"&lt;&gt;" &amp; "",H$3:H258),"")</f>
        <v/>
      </c>
      <c r="S258" s="10" t="str">
        <f t="array" ref="S258">IF(O258="Completed",SUMIF(W$3:W258,"&lt;&gt;" &amp; "",W$3:W258),"")</f>
        <v/>
      </c>
      <c r="T258" s="10" t="str">
        <f t="array" ref="T258">IF(AND(J258&lt;&gt;"",O258="Completed"),SUM(IF(O$3:O258="Completed",J$3:J258,0)),"")</f>
        <v/>
      </c>
      <c r="U258" s="10" t="str">
        <f t="shared" si="30"/>
        <v/>
      </c>
      <c r="V258" s="10">
        <f>ROW()</f>
        <v>258</v>
      </c>
      <c r="W258" s="10" t="str">
        <f t="shared" si="33"/>
        <v/>
      </c>
      <c r="Z258" s="10" t="str">
        <f>IF(A258&lt;&gt;"",'Metrics planning and tracking'!$K$4,"")</f>
        <v/>
      </c>
      <c r="AA258" s="10" t="str">
        <f>IF(A258&lt;&gt;"",'Metrics planning and tracking'!$K$5,"")</f>
        <v/>
      </c>
      <c r="AB258" s="10" t="str">
        <f>IF(A258&lt;&gt;"",'Metrics planning and tracking'!$K$2,"")</f>
        <v/>
      </c>
      <c r="AC258" s="10" t="str">
        <f>IF(A258&lt;&gt;"",'Metrics planning and tracking'!$K$3,"")</f>
        <v/>
      </c>
      <c r="AD258" s="10" t="str">
        <f>IF(A258&lt;&gt;"",IF(AND(#REF!&lt;&gt;"",#REF!&lt;&gt;"",#REF!&lt;&gt;0),#REF!/#REF!*100,"NA"),"")</f>
        <v/>
      </c>
      <c r="AE258" s="10" t="str">
        <f>IF(A258&lt;&gt;"",IF(AND(#REF!&lt;&gt;"",#REF!&lt;&gt;"",#REF!&lt;&gt;0),#REF!/#REF!*100,"NA"),"")</f>
        <v/>
      </c>
      <c r="AF258" s="57" t="str">
        <f t="shared" si="34"/>
        <v/>
      </c>
      <c r="AG258" s="57" t="str">
        <f t="shared" si="35"/>
        <v/>
      </c>
      <c r="AH258" s="58" t="str">
        <f t="shared" si="36"/>
        <v/>
      </c>
      <c r="AV258" s="22" t="str">
        <f>IF(A258&lt;&gt;"",A258 &amp; "-" &amp;#REF! &amp; ROW(),"")</f>
        <v/>
      </c>
    </row>
    <row r="259" spans="11:48" x14ac:dyDescent="0.2">
      <c r="K259" s="11" t="str">
        <f>IF(AND(COUNTA(B259:C259)&gt;1,COUNTA(F259:G259)&gt;1,O259="Completed"),(G259-C259)/(C259-#REF!+1)%,"")</f>
        <v/>
      </c>
      <c r="L259" s="11" t="str">
        <f>IF(AND(COUNT(D259:E259)&gt;0,COUNTA(F259:G259)&gt;1,O259="Completed"),(G259-AG259)/(AG259-#REF!+1)%,"")</f>
        <v/>
      </c>
      <c r="M259" s="11" t="str">
        <f t="shared" si="31"/>
        <v/>
      </c>
      <c r="N259" s="11" t="str">
        <f t="shared" si="32"/>
        <v/>
      </c>
      <c r="O259" s="12"/>
      <c r="P259" s="12"/>
      <c r="R259" s="10" t="str">
        <f>IF(H259&lt;&gt;"",SUMIF(H$3:H259,"&lt;&gt;" &amp; "",H$3:H259),"")</f>
        <v/>
      </c>
      <c r="S259" s="10" t="str">
        <f t="array" ref="S259">IF(O259="Completed",SUMIF(W$3:W259,"&lt;&gt;" &amp; "",W$3:W259),"")</f>
        <v/>
      </c>
      <c r="T259" s="10" t="str">
        <f t="array" ref="T259">IF(AND(J259&lt;&gt;"",O259="Completed"),SUM(IF(O$3:O259="Completed",J$3:J259,0)),"")</f>
        <v/>
      </c>
      <c r="U259" s="10" t="str">
        <f t="shared" ref="U259:U322" si="37">IF(AND(A259&lt;&gt;"",P259="Yes"),ROW(),"")</f>
        <v/>
      </c>
      <c r="V259" s="10">
        <f>ROW()</f>
        <v>259</v>
      </c>
      <c r="W259" s="10" t="str">
        <f t="shared" si="33"/>
        <v/>
      </c>
      <c r="Z259" s="10" t="str">
        <f>IF(A259&lt;&gt;"",'Metrics planning and tracking'!$K$4,"")</f>
        <v/>
      </c>
      <c r="AA259" s="10" t="str">
        <f>IF(A259&lt;&gt;"",'Metrics planning and tracking'!$K$5,"")</f>
        <v/>
      </c>
      <c r="AB259" s="10" t="str">
        <f>IF(A259&lt;&gt;"",'Metrics planning and tracking'!$K$2,"")</f>
        <v/>
      </c>
      <c r="AC259" s="10" t="str">
        <f>IF(A259&lt;&gt;"",'Metrics planning and tracking'!$K$3,"")</f>
        <v/>
      </c>
      <c r="AD259" s="10" t="str">
        <f>IF(A259&lt;&gt;"",IF(AND(#REF!&lt;&gt;"",#REF!&lt;&gt;"",#REF!&lt;&gt;0),#REF!/#REF!*100,"NA"),"")</f>
        <v/>
      </c>
      <c r="AE259" s="10" t="str">
        <f>IF(A259&lt;&gt;"",IF(AND(#REF!&lt;&gt;"",#REF!&lt;&gt;"",#REF!&lt;&gt;0),#REF!/#REF!*100,"NA"),"")</f>
        <v/>
      </c>
      <c r="AF259" s="57" t="str">
        <f t="shared" si="34"/>
        <v/>
      </c>
      <c r="AG259" s="57" t="str">
        <f t="shared" si="35"/>
        <v/>
      </c>
      <c r="AH259" s="58" t="str">
        <f t="shared" si="36"/>
        <v/>
      </c>
      <c r="AV259" s="22" t="str">
        <f>IF(A259&lt;&gt;"",A259 &amp; "-" &amp;#REF! &amp; ROW(),"")</f>
        <v/>
      </c>
    </row>
    <row r="260" spans="11:48" x14ac:dyDescent="0.2">
      <c r="K260" s="11" t="str">
        <f>IF(AND(COUNTA(B260:C260)&gt;1,COUNTA(F260:G260)&gt;1,O260="Completed"),(G260-C260)/(C260-#REF!+1)%,"")</f>
        <v/>
      </c>
      <c r="L260" s="11" t="str">
        <f>IF(AND(COUNT(D260:E260)&gt;0,COUNTA(F260:G260)&gt;1,O260="Completed"),(G260-AG260)/(AG260-#REF!+1)%,"")</f>
        <v/>
      </c>
      <c r="M260" s="11" t="str">
        <f t="shared" si="31"/>
        <v/>
      </c>
      <c r="N260" s="11" t="str">
        <f t="shared" si="32"/>
        <v/>
      </c>
      <c r="O260" s="12"/>
      <c r="P260" s="12"/>
      <c r="R260" s="10" t="str">
        <f>IF(H260&lt;&gt;"",SUMIF(H$3:H260,"&lt;&gt;" &amp; "",H$3:H260),"")</f>
        <v/>
      </c>
      <c r="S260" s="10" t="str">
        <f t="array" ref="S260">IF(O260="Completed",SUMIF(W$3:W260,"&lt;&gt;" &amp; "",W$3:W260),"")</f>
        <v/>
      </c>
      <c r="T260" s="10" t="str">
        <f t="array" ref="T260">IF(AND(J260&lt;&gt;"",O260="Completed"),SUM(IF(O$3:O260="Completed",J$3:J260,0)),"")</f>
        <v/>
      </c>
      <c r="U260" s="10" t="str">
        <f t="shared" si="37"/>
        <v/>
      </c>
      <c r="V260" s="10">
        <f>ROW()</f>
        <v>260</v>
      </c>
      <c r="W260" s="10" t="str">
        <f t="shared" si="33"/>
        <v/>
      </c>
      <c r="Z260" s="10" t="str">
        <f>IF(A260&lt;&gt;"",'Metrics planning and tracking'!$K$4,"")</f>
        <v/>
      </c>
      <c r="AA260" s="10" t="str">
        <f>IF(A260&lt;&gt;"",'Metrics planning and tracking'!$K$5,"")</f>
        <v/>
      </c>
      <c r="AB260" s="10" t="str">
        <f>IF(A260&lt;&gt;"",'Metrics planning and tracking'!$K$2,"")</f>
        <v/>
      </c>
      <c r="AC260" s="10" t="str">
        <f>IF(A260&lt;&gt;"",'Metrics planning and tracking'!$K$3,"")</f>
        <v/>
      </c>
      <c r="AD260" s="10" t="str">
        <f>IF(A260&lt;&gt;"",IF(AND(#REF!&lt;&gt;"",#REF!&lt;&gt;"",#REF!&lt;&gt;0),#REF!/#REF!*100,"NA"),"")</f>
        <v/>
      </c>
      <c r="AE260" s="10" t="str">
        <f>IF(A260&lt;&gt;"",IF(AND(#REF!&lt;&gt;"",#REF!&lt;&gt;"",#REF!&lt;&gt;0),#REF!/#REF!*100,"NA"),"")</f>
        <v/>
      </c>
      <c r="AF260" s="57" t="str">
        <f t="shared" si="34"/>
        <v/>
      </c>
      <c r="AG260" s="57" t="str">
        <f t="shared" si="35"/>
        <v/>
      </c>
      <c r="AH260" s="58" t="str">
        <f t="shared" si="36"/>
        <v/>
      </c>
      <c r="AV260" s="22" t="str">
        <f>IF(A260&lt;&gt;"",A260 &amp; "-" &amp;#REF! &amp; ROW(),"")</f>
        <v/>
      </c>
    </row>
    <row r="261" spans="11:48" x14ac:dyDescent="0.2">
      <c r="K261" s="11" t="str">
        <f>IF(AND(COUNTA(B261:C261)&gt;1,COUNTA(F261:G261)&gt;1,O261="Completed"),(G261-C261)/(C261-#REF!+1)%,"")</f>
        <v/>
      </c>
      <c r="L261" s="11" t="str">
        <f>IF(AND(COUNT(D261:E261)&gt;0,COUNTA(F261:G261)&gt;1,O261="Completed"),(G261-AG261)/(AG261-#REF!+1)%,"")</f>
        <v/>
      </c>
      <c r="M261" s="11" t="str">
        <f t="shared" si="31"/>
        <v/>
      </c>
      <c r="N261" s="11" t="str">
        <f t="shared" si="32"/>
        <v/>
      </c>
      <c r="O261" s="12"/>
      <c r="P261" s="12"/>
      <c r="R261" s="10" t="str">
        <f>IF(H261&lt;&gt;"",SUMIF(H$3:H261,"&lt;&gt;" &amp; "",H$3:H261),"")</f>
        <v/>
      </c>
      <c r="S261" s="10" t="str">
        <f t="array" ref="S261">IF(O261="Completed",SUMIF(W$3:W261,"&lt;&gt;" &amp; "",W$3:W261),"")</f>
        <v/>
      </c>
      <c r="T261" s="10" t="str">
        <f t="array" ref="T261">IF(AND(J261&lt;&gt;"",O261="Completed"),SUM(IF(O$3:O261="Completed",J$3:J261,0)),"")</f>
        <v/>
      </c>
      <c r="U261" s="10" t="str">
        <f t="shared" si="37"/>
        <v/>
      </c>
      <c r="V261" s="10">
        <f>ROW()</f>
        <v>261</v>
      </c>
      <c r="W261" s="10" t="str">
        <f t="shared" si="33"/>
        <v/>
      </c>
      <c r="Z261" s="10" t="str">
        <f>IF(A261&lt;&gt;"",'Metrics planning and tracking'!$K$4,"")</f>
        <v/>
      </c>
      <c r="AA261" s="10" t="str">
        <f>IF(A261&lt;&gt;"",'Metrics planning and tracking'!$K$5,"")</f>
        <v/>
      </c>
      <c r="AB261" s="10" t="str">
        <f>IF(A261&lt;&gt;"",'Metrics planning and tracking'!$K$2,"")</f>
        <v/>
      </c>
      <c r="AC261" s="10" t="str">
        <f>IF(A261&lt;&gt;"",'Metrics planning and tracking'!$K$3,"")</f>
        <v/>
      </c>
      <c r="AD261" s="10" t="str">
        <f>IF(A261&lt;&gt;"",IF(AND(#REF!&lt;&gt;"",#REF!&lt;&gt;"",#REF!&lt;&gt;0),#REF!/#REF!*100,"NA"),"")</f>
        <v/>
      </c>
      <c r="AE261" s="10" t="str">
        <f>IF(A261&lt;&gt;"",IF(AND(#REF!&lt;&gt;"",#REF!&lt;&gt;"",#REF!&lt;&gt;0),#REF!/#REF!*100,"NA"),"")</f>
        <v/>
      </c>
      <c r="AF261" s="57" t="str">
        <f t="shared" si="34"/>
        <v/>
      </c>
      <c r="AG261" s="57" t="str">
        <f t="shared" si="35"/>
        <v/>
      </c>
      <c r="AH261" s="58" t="str">
        <f t="shared" si="36"/>
        <v/>
      </c>
      <c r="AV261" s="22" t="str">
        <f>IF(A261&lt;&gt;"",A261 &amp; "-" &amp;#REF! &amp; ROW(),"")</f>
        <v/>
      </c>
    </row>
    <row r="262" spans="11:48" x14ac:dyDescent="0.2">
      <c r="K262" s="11" t="str">
        <f>IF(AND(COUNTA(B262:C262)&gt;1,COUNTA(F262:G262)&gt;1,O262="Completed"),(G262-C262)/(C262-#REF!+1)%,"")</f>
        <v/>
      </c>
      <c r="L262" s="11" t="str">
        <f>IF(AND(COUNT(D262:E262)&gt;0,COUNTA(F262:G262)&gt;1,O262="Completed"),(G262-AG262)/(AG262-#REF!+1)%,"")</f>
        <v/>
      </c>
      <c r="M262" s="11" t="str">
        <f t="shared" si="31"/>
        <v/>
      </c>
      <c r="N262" s="11" t="str">
        <f t="shared" si="32"/>
        <v/>
      </c>
      <c r="O262" s="12"/>
      <c r="P262" s="12"/>
      <c r="R262" s="10" t="str">
        <f>IF(H262&lt;&gt;"",SUMIF(H$3:H262,"&lt;&gt;" &amp; "",H$3:H262),"")</f>
        <v/>
      </c>
      <c r="S262" s="10" t="str">
        <f t="array" ref="S262">IF(O262="Completed",SUMIF(W$3:W262,"&lt;&gt;" &amp; "",W$3:W262),"")</f>
        <v/>
      </c>
      <c r="T262" s="10" t="str">
        <f t="array" ref="T262">IF(AND(J262&lt;&gt;"",O262="Completed"),SUM(IF(O$3:O262="Completed",J$3:J262,0)),"")</f>
        <v/>
      </c>
      <c r="U262" s="10" t="str">
        <f t="shared" si="37"/>
        <v/>
      </c>
      <c r="V262" s="10">
        <f>ROW()</f>
        <v>262</v>
      </c>
      <c r="W262" s="10" t="str">
        <f t="shared" si="33"/>
        <v/>
      </c>
      <c r="Z262" s="10" t="str">
        <f>IF(A262&lt;&gt;"",'Metrics planning and tracking'!$K$4,"")</f>
        <v/>
      </c>
      <c r="AA262" s="10" t="str">
        <f>IF(A262&lt;&gt;"",'Metrics planning and tracking'!$K$5,"")</f>
        <v/>
      </c>
      <c r="AB262" s="10" t="str">
        <f>IF(A262&lt;&gt;"",'Metrics planning and tracking'!$K$2,"")</f>
        <v/>
      </c>
      <c r="AC262" s="10" t="str">
        <f>IF(A262&lt;&gt;"",'Metrics planning and tracking'!$K$3,"")</f>
        <v/>
      </c>
      <c r="AD262" s="10" t="str">
        <f>IF(A262&lt;&gt;"",IF(AND(#REF!&lt;&gt;"",#REF!&lt;&gt;"",#REF!&lt;&gt;0),#REF!/#REF!*100,"NA"),"")</f>
        <v/>
      </c>
      <c r="AE262" s="10" t="str">
        <f>IF(A262&lt;&gt;"",IF(AND(#REF!&lt;&gt;"",#REF!&lt;&gt;"",#REF!&lt;&gt;0),#REF!/#REF!*100,"NA"),"")</f>
        <v/>
      </c>
      <c r="AF262" s="57" t="str">
        <f t="shared" si="34"/>
        <v/>
      </c>
      <c r="AG262" s="57" t="str">
        <f t="shared" si="35"/>
        <v/>
      </c>
      <c r="AH262" s="58" t="str">
        <f t="shared" si="36"/>
        <v/>
      </c>
      <c r="AV262" s="22" t="str">
        <f>IF(A262&lt;&gt;"",A262 &amp; "-" &amp;#REF! &amp; ROW(),"")</f>
        <v/>
      </c>
    </row>
    <row r="263" spans="11:48" x14ac:dyDescent="0.2">
      <c r="K263" s="11" t="str">
        <f>IF(AND(COUNTA(B263:C263)&gt;1,COUNTA(F263:G263)&gt;1,O263="Completed"),(G263-C263)/(C263-#REF!+1)%,"")</f>
        <v/>
      </c>
      <c r="L263" s="11" t="str">
        <f>IF(AND(COUNT(D263:E263)&gt;0,COUNTA(F263:G263)&gt;1,O263="Completed"),(G263-AG263)/(AG263-#REF!+1)%,"")</f>
        <v/>
      </c>
      <c r="M263" s="11" t="str">
        <f t="shared" si="31"/>
        <v/>
      </c>
      <c r="N263" s="11" t="str">
        <f t="shared" si="32"/>
        <v/>
      </c>
      <c r="O263" s="12"/>
      <c r="P263" s="12"/>
      <c r="R263" s="10" t="str">
        <f>IF(H263&lt;&gt;"",SUMIF(H$3:H263,"&lt;&gt;" &amp; "",H$3:H263),"")</f>
        <v/>
      </c>
      <c r="S263" s="10" t="str">
        <f t="array" ref="S263">IF(O263="Completed",SUMIF(W$3:W263,"&lt;&gt;" &amp; "",W$3:W263),"")</f>
        <v/>
      </c>
      <c r="T263" s="10" t="str">
        <f t="array" ref="T263">IF(AND(J263&lt;&gt;"",O263="Completed"),SUM(IF(O$3:O263="Completed",J$3:J263,0)),"")</f>
        <v/>
      </c>
      <c r="U263" s="10" t="str">
        <f t="shared" si="37"/>
        <v/>
      </c>
      <c r="V263" s="10">
        <f>ROW()</f>
        <v>263</v>
      </c>
      <c r="W263" s="10" t="str">
        <f t="shared" si="33"/>
        <v/>
      </c>
      <c r="Z263" s="10" t="str">
        <f>IF(A263&lt;&gt;"",'Metrics planning and tracking'!$K$4,"")</f>
        <v/>
      </c>
      <c r="AA263" s="10" t="str">
        <f>IF(A263&lt;&gt;"",'Metrics planning and tracking'!$K$5,"")</f>
        <v/>
      </c>
      <c r="AB263" s="10" t="str">
        <f>IF(A263&lt;&gt;"",'Metrics planning and tracking'!$K$2,"")</f>
        <v/>
      </c>
      <c r="AC263" s="10" t="str">
        <f>IF(A263&lt;&gt;"",'Metrics planning and tracking'!$K$3,"")</f>
        <v/>
      </c>
      <c r="AD263" s="10" t="str">
        <f>IF(A263&lt;&gt;"",IF(AND(#REF!&lt;&gt;"",#REF!&lt;&gt;"",#REF!&lt;&gt;0),#REF!/#REF!*100,"NA"),"")</f>
        <v/>
      </c>
      <c r="AE263" s="10" t="str">
        <f>IF(A263&lt;&gt;"",IF(AND(#REF!&lt;&gt;"",#REF!&lt;&gt;"",#REF!&lt;&gt;0),#REF!/#REF!*100,"NA"),"")</f>
        <v/>
      </c>
      <c r="AF263" s="57" t="str">
        <f t="shared" si="34"/>
        <v/>
      </c>
      <c r="AG263" s="57" t="str">
        <f t="shared" si="35"/>
        <v/>
      </c>
      <c r="AH263" s="58" t="str">
        <f t="shared" si="36"/>
        <v/>
      </c>
      <c r="AV263" s="22" t="str">
        <f>IF(A263&lt;&gt;"",A263 &amp; "-" &amp;#REF! &amp; ROW(),"")</f>
        <v/>
      </c>
    </row>
    <row r="264" spans="11:48" x14ac:dyDescent="0.2">
      <c r="K264" s="11" t="str">
        <f>IF(AND(COUNTA(B264:C264)&gt;1,COUNTA(F264:G264)&gt;1,O264="Completed"),(G264-C264)/(C264-#REF!+1)%,"")</f>
        <v/>
      </c>
      <c r="L264" s="11" t="str">
        <f>IF(AND(COUNT(D264:E264)&gt;0,COUNTA(F264:G264)&gt;1,O264="Completed"),(G264-AG264)/(AG264-#REF!+1)%,"")</f>
        <v/>
      </c>
      <c r="M264" s="11" t="str">
        <f t="shared" si="31"/>
        <v/>
      </c>
      <c r="N264" s="11" t="str">
        <f t="shared" si="32"/>
        <v/>
      </c>
      <c r="O264" s="12"/>
      <c r="P264" s="12"/>
      <c r="R264" s="10" t="str">
        <f>IF(H264&lt;&gt;"",SUMIF(H$3:H264,"&lt;&gt;" &amp; "",H$3:H264),"")</f>
        <v/>
      </c>
      <c r="S264" s="10" t="str">
        <f t="array" ref="S264">IF(O264="Completed",SUMIF(W$3:W264,"&lt;&gt;" &amp; "",W$3:W264),"")</f>
        <v/>
      </c>
      <c r="T264" s="10" t="str">
        <f t="array" ref="T264">IF(AND(J264&lt;&gt;"",O264="Completed"),SUM(IF(O$3:O264="Completed",J$3:J264,0)),"")</f>
        <v/>
      </c>
      <c r="U264" s="10" t="str">
        <f t="shared" si="37"/>
        <v/>
      </c>
      <c r="V264" s="10">
        <f>ROW()</f>
        <v>264</v>
      </c>
      <c r="W264" s="10" t="str">
        <f t="shared" si="33"/>
        <v/>
      </c>
      <c r="Z264" s="10" t="str">
        <f>IF(A264&lt;&gt;"",'Metrics planning and tracking'!$K$4,"")</f>
        <v/>
      </c>
      <c r="AA264" s="10" t="str">
        <f>IF(A264&lt;&gt;"",'Metrics planning and tracking'!$K$5,"")</f>
        <v/>
      </c>
      <c r="AB264" s="10" t="str">
        <f>IF(A264&lt;&gt;"",'Metrics planning and tracking'!$K$2,"")</f>
        <v/>
      </c>
      <c r="AC264" s="10" t="str">
        <f>IF(A264&lt;&gt;"",'Metrics planning and tracking'!$K$3,"")</f>
        <v/>
      </c>
      <c r="AD264" s="10" t="str">
        <f>IF(A264&lt;&gt;"",IF(AND(#REF!&lt;&gt;"",#REF!&lt;&gt;"",#REF!&lt;&gt;0),#REF!/#REF!*100,"NA"),"")</f>
        <v/>
      </c>
      <c r="AE264" s="10" t="str">
        <f>IF(A264&lt;&gt;"",IF(AND(#REF!&lt;&gt;"",#REF!&lt;&gt;"",#REF!&lt;&gt;0),#REF!/#REF!*100,"NA"),"")</f>
        <v/>
      </c>
      <c r="AF264" s="57" t="str">
        <f t="shared" si="34"/>
        <v/>
      </c>
      <c r="AG264" s="57" t="str">
        <f t="shared" si="35"/>
        <v/>
      </c>
      <c r="AH264" s="58" t="str">
        <f t="shared" si="36"/>
        <v/>
      </c>
      <c r="AV264" s="22" t="str">
        <f>IF(A264&lt;&gt;"",A264 &amp; "-" &amp;#REF! &amp; ROW(),"")</f>
        <v/>
      </c>
    </row>
    <row r="265" spans="11:48" x14ac:dyDescent="0.2">
      <c r="K265" s="11" t="str">
        <f>IF(AND(COUNTA(B265:C265)&gt;1,COUNTA(F265:G265)&gt;1,O265="Completed"),(G265-C265)/(C265-#REF!+1)%,"")</f>
        <v/>
      </c>
      <c r="L265" s="11" t="str">
        <f>IF(AND(COUNT(D265:E265)&gt;0,COUNTA(F265:G265)&gt;1,O265="Completed"),(G265-AG265)/(AG265-#REF!+1)%,"")</f>
        <v/>
      </c>
      <c r="M265" s="11" t="str">
        <f t="shared" si="31"/>
        <v/>
      </c>
      <c r="N265" s="11" t="str">
        <f t="shared" si="32"/>
        <v/>
      </c>
      <c r="O265" s="12"/>
      <c r="P265" s="12"/>
      <c r="R265" s="10" t="str">
        <f>IF(H265&lt;&gt;"",SUMIF(H$3:H265,"&lt;&gt;" &amp; "",H$3:H265),"")</f>
        <v/>
      </c>
      <c r="S265" s="10" t="str">
        <f t="array" ref="S265">IF(O265="Completed",SUMIF(W$3:W265,"&lt;&gt;" &amp; "",W$3:W265),"")</f>
        <v/>
      </c>
      <c r="T265" s="10" t="str">
        <f t="array" ref="T265">IF(AND(J265&lt;&gt;"",O265="Completed"),SUM(IF(O$3:O265="Completed",J$3:J265,0)),"")</f>
        <v/>
      </c>
      <c r="U265" s="10" t="str">
        <f t="shared" si="37"/>
        <v/>
      </c>
      <c r="V265" s="10">
        <f>ROW()</f>
        <v>265</v>
      </c>
      <c r="W265" s="10" t="str">
        <f t="shared" si="33"/>
        <v/>
      </c>
      <c r="Z265" s="10" t="str">
        <f>IF(A265&lt;&gt;"",'Metrics planning and tracking'!$K$4,"")</f>
        <v/>
      </c>
      <c r="AA265" s="10" t="str">
        <f>IF(A265&lt;&gt;"",'Metrics planning and tracking'!$K$5,"")</f>
        <v/>
      </c>
      <c r="AB265" s="10" t="str">
        <f>IF(A265&lt;&gt;"",'Metrics planning and tracking'!$K$2,"")</f>
        <v/>
      </c>
      <c r="AC265" s="10" t="str">
        <f>IF(A265&lt;&gt;"",'Metrics planning and tracking'!$K$3,"")</f>
        <v/>
      </c>
      <c r="AD265" s="10" t="str">
        <f>IF(A265&lt;&gt;"",IF(AND(#REF!&lt;&gt;"",#REF!&lt;&gt;"",#REF!&lt;&gt;0),#REF!/#REF!*100,"NA"),"")</f>
        <v/>
      </c>
      <c r="AE265" s="10" t="str">
        <f>IF(A265&lt;&gt;"",IF(AND(#REF!&lt;&gt;"",#REF!&lt;&gt;"",#REF!&lt;&gt;0),#REF!/#REF!*100,"NA"),"")</f>
        <v/>
      </c>
      <c r="AF265" s="57" t="str">
        <f t="shared" si="34"/>
        <v/>
      </c>
      <c r="AG265" s="57" t="str">
        <f t="shared" si="35"/>
        <v/>
      </c>
      <c r="AH265" s="58" t="str">
        <f t="shared" si="36"/>
        <v/>
      </c>
      <c r="AV265" s="22" t="str">
        <f>IF(A265&lt;&gt;"",A265 &amp; "-" &amp;#REF! &amp; ROW(),"")</f>
        <v/>
      </c>
    </row>
    <row r="266" spans="11:48" x14ac:dyDescent="0.2">
      <c r="K266" s="11" t="str">
        <f>IF(AND(COUNTA(B266:C266)&gt;1,COUNTA(F266:G266)&gt;1,O266="Completed"),(G266-C266)/(C266-#REF!+1)%,"")</f>
        <v/>
      </c>
      <c r="L266" s="11" t="str">
        <f>IF(AND(COUNT(D266:E266)&gt;0,COUNTA(F266:G266)&gt;1,O266="Completed"),(G266-AG266)/(AG266-#REF!+1)%,"")</f>
        <v/>
      </c>
      <c r="M266" s="11" t="str">
        <f t="shared" si="31"/>
        <v/>
      </c>
      <c r="N266" s="11" t="str">
        <f t="shared" si="32"/>
        <v/>
      </c>
      <c r="O266" s="12"/>
      <c r="P266" s="12"/>
      <c r="R266" s="10" t="str">
        <f>IF(H266&lt;&gt;"",SUMIF(H$3:H266,"&lt;&gt;" &amp; "",H$3:H266),"")</f>
        <v/>
      </c>
      <c r="S266" s="10" t="str">
        <f t="array" ref="S266">IF(O266="Completed",SUMIF(W$3:W266,"&lt;&gt;" &amp; "",W$3:W266),"")</f>
        <v/>
      </c>
      <c r="T266" s="10" t="str">
        <f t="array" ref="T266">IF(AND(J266&lt;&gt;"",O266="Completed"),SUM(IF(O$3:O266="Completed",J$3:J266,0)),"")</f>
        <v/>
      </c>
      <c r="U266" s="10" t="str">
        <f t="shared" si="37"/>
        <v/>
      </c>
      <c r="V266" s="10">
        <f>ROW()</f>
        <v>266</v>
      </c>
      <c r="W266" s="10" t="str">
        <f t="shared" si="33"/>
        <v/>
      </c>
      <c r="Z266" s="10" t="str">
        <f>IF(A266&lt;&gt;"",'Metrics planning and tracking'!$K$4,"")</f>
        <v/>
      </c>
      <c r="AA266" s="10" t="str">
        <f>IF(A266&lt;&gt;"",'Metrics planning and tracking'!$K$5,"")</f>
        <v/>
      </c>
      <c r="AB266" s="10" t="str">
        <f>IF(A266&lt;&gt;"",'Metrics planning and tracking'!$K$2,"")</f>
        <v/>
      </c>
      <c r="AC266" s="10" t="str">
        <f>IF(A266&lt;&gt;"",'Metrics planning and tracking'!$K$3,"")</f>
        <v/>
      </c>
      <c r="AD266" s="10" t="str">
        <f>IF(A266&lt;&gt;"",IF(AND(#REF!&lt;&gt;"",#REF!&lt;&gt;"",#REF!&lt;&gt;0),#REF!/#REF!*100,"NA"),"")</f>
        <v/>
      </c>
      <c r="AE266" s="10" t="str">
        <f>IF(A266&lt;&gt;"",IF(AND(#REF!&lt;&gt;"",#REF!&lt;&gt;"",#REF!&lt;&gt;0),#REF!/#REF!*100,"NA"),"")</f>
        <v/>
      </c>
      <c r="AF266" s="57" t="str">
        <f t="shared" si="34"/>
        <v/>
      </c>
      <c r="AG266" s="57" t="str">
        <f t="shared" si="35"/>
        <v/>
      </c>
      <c r="AH266" s="58" t="str">
        <f t="shared" si="36"/>
        <v/>
      </c>
      <c r="AV266" s="22" t="str">
        <f>IF(A266&lt;&gt;"",A266 &amp; "-" &amp;#REF! &amp; ROW(),"")</f>
        <v/>
      </c>
    </row>
    <row r="267" spans="11:48" x14ac:dyDescent="0.2">
      <c r="K267" s="11" t="str">
        <f>IF(AND(COUNTA(B267:C267)&gt;1,COUNTA(F267:G267)&gt;1,O267="Completed"),(G267-C267)/(C267-#REF!+1)%,"")</f>
        <v/>
      </c>
      <c r="L267" s="11" t="str">
        <f>IF(AND(COUNT(D267:E267)&gt;0,COUNTA(F267:G267)&gt;1,O267="Completed"),(G267-AG267)/(AG267-#REF!+1)%,"")</f>
        <v/>
      </c>
      <c r="M267" s="11" t="str">
        <f t="shared" si="31"/>
        <v/>
      </c>
      <c r="N267" s="11" t="str">
        <f t="shared" si="32"/>
        <v/>
      </c>
      <c r="O267" s="12"/>
      <c r="P267" s="12"/>
      <c r="R267" s="10" t="str">
        <f>IF(H267&lt;&gt;"",SUMIF(H$3:H267,"&lt;&gt;" &amp; "",H$3:H267),"")</f>
        <v/>
      </c>
      <c r="S267" s="10" t="str">
        <f t="array" ref="S267">IF(O267="Completed",SUMIF(W$3:W267,"&lt;&gt;" &amp; "",W$3:W267),"")</f>
        <v/>
      </c>
      <c r="T267" s="10" t="str">
        <f t="array" ref="T267">IF(AND(J267&lt;&gt;"",O267="Completed"),SUM(IF(O$3:O267="Completed",J$3:J267,0)),"")</f>
        <v/>
      </c>
      <c r="U267" s="10" t="str">
        <f t="shared" si="37"/>
        <v/>
      </c>
      <c r="V267" s="10">
        <f>ROW()</f>
        <v>267</v>
      </c>
      <c r="W267" s="10" t="str">
        <f t="shared" si="33"/>
        <v/>
      </c>
      <c r="Z267" s="10" t="str">
        <f>IF(A267&lt;&gt;"",'Metrics planning and tracking'!$K$4,"")</f>
        <v/>
      </c>
      <c r="AA267" s="10" t="str">
        <f>IF(A267&lt;&gt;"",'Metrics planning and tracking'!$K$5,"")</f>
        <v/>
      </c>
      <c r="AB267" s="10" t="str">
        <f>IF(A267&lt;&gt;"",'Metrics planning and tracking'!$K$2,"")</f>
        <v/>
      </c>
      <c r="AC267" s="10" t="str">
        <f>IF(A267&lt;&gt;"",'Metrics planning and tracking'!$K$3,"")</f>
        <v/>
      </c>
      <c r="AD267" s="10" t="str">
        <f>IF(A267&lt;&gt;"",IF(AND(#REF!&lt;&gt;"",#REF!&lt;&gt;"",#REF!&lt;&gt;0),#REF!/#REF!*100,"NA"),"")</f>
        <v/>
      </c>
      <c r="AE267" s="10" t="str">
        <f>IF(A267&lt;&gt;"",IF(AND(#REF!&lt;&gt;"",#REF!&lt;&gt;"",#REF!&lt;&gt;0),#REF!/#REF!*100,"NA"),"")</f>
        <v/>
      </c>
      <c r="AF267" s="57" t="str">
        <f t="shared" si="34"/>
        <v/>
      </c>
      <c r="AG267" s="57" t="str">
        <f t="shared" si="35"/>
        <v/>
      </c>
      <c r="AH267" s="58" t="str">
        <f t="shared" si="36"/>
        <v/>
      </c>
      <c r="AV267" s="22" t="str">
        <f>IF(A267&lt;&gt;"",A267 &amp; "-" &amp;#REF! &amp; ROW(),"")</f>
        <v/>
      </c>
    </row>
    <row r="268" spans="11:48" x14ac:dyDescent="0.2">
      <c r="K268" s="11" t="str">
        <f>IF(AND(COUNTA(B268:C268)&gt;1,COUNTA(F268:G268)&gt;1,O268="Completed"),(G268-C268)/(C268-#REF!+1)%,"")</f>
        <v/>
      </c>
      <c r="L268" s="11" t="str">
        <f>IF(AND(COUNT(D268:E268)&gt;0,COUNTA(F268:G268)&gt;1,O268="Completed"),(G268-AG268)/(AG268-#REF!+1)%,"")</f>
        <v/>
      </c>
      <c r="M268" s="11" t="str">
        <f t="shared" si="31"/>
        <v/>
      </c>
      <c r="N268" s="11" t="str">
        <f t="shared" si="32"/>
        <v/>
      </c>
      <c r="O268" s="12"/>
      <c r="P268" s="12"/>
      <c r="R268" s="10" t="str">
        <f>IF(H268&lt;&gt;"",SUMIF(H$3:H268,"&lt;&gt;" &amp; "",H$3:H268),"")</f>
        <v/>
      </c>
      <c r="S268" s="10" t="str">
        <f t="array" ref="S268">IF(O268="Completed",SUMIF(W$3:W268,"&lt;&gt;" &amp; "",W$3:W268),"")</f>
        <v/>
      </c>
      <c r="T268" s="10" t="str">
        <f t="array" ref="T268">IF(AND(J268&lt;&gt;"",O268="Completed"),SUM(IF(O$3:O268="Completed",J$3:J268,0)),"")</f>
        <v/>
      </c>
      <c r="U268" s="10" t="str">
        <f t="shared" si="37"/>
        <v/>
      </c>
      <c r="V268" s="10">
        <f>ROW()</f>
        <v>268</v>
      </c>
      <c r="W268" s="10" t="str">
        <f t="shared" si="33"/>
        <v/>
      </c>
      <c r="Z268" s="10" t="str">
        <f>IF(A268&lt;&gt;"",'Metrics planning and tracking'!$K$4,"")</f>
        <v/>
      </c>
      <c r="AA268" s="10" t="str">
        <f>IF(A268&lt;&gt;"",'Metrics planning and tracking'!$K$5,"")</f>
        <v/>
      </c>
      <c r="AB268" s="10" t="str">
        <f>IF(A268&lt;&gt;"",'Metrics planning and tracking'!$K$2,"")</f>
        <v/>
      </c>
      <c r="AC268" s="10" t="str">
        <f>IF(A268&lt;&gt;"",'Metrics planning and tracking'!$K$3,"")</f>
        <v/>
      </c>
      <c r="AD268" s="10" t="str">
        <f>IF(A268&lt;&gt;"",IF(AND(#REF!&lt;&gt;"",#REF!&lt;&gt;"",#REF!&lt;&gt;0),#REF!/#REF!*100,"NA"),"")</f>
        <v/>
      </c>
      <c r="AE268" s="10" t="str">
        <f>IF(A268&lt;&gt;"",IF(AND(#REF!&lt;&gt;"",#REF!&lt;&gt;"",#REF!&lt;&gt;0),#REF!/#REF!*100,"NA"),"")</f>
        <v/>
      </c>
      <c r="AF268" s="57" t="str">
        <f t="shared" si="34"/>
        <v/>
      </c>
      <c r="AG268" s="57" t="str">
        <f t="shared" si="35"/>
        <v/>
      </c>
      <c r="AH268" s="58" t="str">
        <f t="shared" si="36"/>
        <v/>
      </c>
      <c r="AV268" s="22" t="str">
        <f>IF(A268&lt;&gt;"",A268 &amp; "-" &amp;#REF! &amp; ROW(),"")</f>
        <v/>
      </c>
    </row>
    <row r="269" spans="11:48" x14ac:dyDescent="0.2">
      <c r="K269" s="11" t="str">
        <f>IF(AND(COUNTA(B269:C269)&gt;1,COUNTA(F269:G269)&gt;1,O269="Completed"),(G269-C269)/(C269-#REF!+1)%,"")</f>
        <v/>
      </c>
      <c r="L269" s="11" t="str">
        <f>IF(AND(COUNT(D269:E269)&gt;0,COUNTA(F269:G269)&gt;1,O269="Completed"),(G269-AG269)/(AG269-#REF!+1)%,"")</f>
        <v/>
      </c>
      <c r="M269" s="11" t="str">
        <f t="shared" si="31"/>
        <v/>
      </c>
      <c r="N269" s="11" t="str">
        <f t="shared" si="32"/>
        <v/>
      </c>
      <c r="O269" s="12"/>
      <c r="P269" s="12"/>
      <c r="R269" s="10" t="str">
        <f>IF(H269&lt;&gt;"",SUMIF(H$3:H269,"&lt;&gt;" &amp; "",H$3:H269),"")</f>
        <v/>
      </c>
      <c r="S269" s="10" t="str">
        <f t="array" ref="S269">IF(O269="Completed",SUMIF(W$3:W269,"&lt;&gt;" &amp; "",W$3:W269),"")</f>
        <v/>
      </c>
      <c r="T269" s="10" t="str">
        <f t="array" ref="T269">IF(AND(J269&lt;&gt;"",O269="Completed"),SUM(IF(O$3:O269="Completed",J$3:J269,0)),"")</f>
        <v/>
      </c>
      <c r="U269" s="10" t="str">
        <f t="shared" si="37"/>
        <v/>
      </c>
      <c r="V269" s="10">
        <f>ROW()</f>
        <v>269</v>
      </c>
      <c r="W269" s="10" t="str">
        <f t="shared" si="33"/>
        <v/>
      </c>
      <c r="Z269" s="10" t="str">
        <f>IF(A269&lt;&gt;"",'Metrics planning and tracking'!$K$4,"")</f>
        <v/>
      </c>
      <c r="AA269" s="10" t="str">
        <f>IF(A269&lt;&gt;"",'Metrics planning and tracking'!$K$5,"")</f>
        <v/>
      </c>
      <c r="AB269" s="10" t="str">
        <f>IF(A269&lt;&gt;"",'Metrics planning and tracking'!$K$2,"")</f>
        <v/>
      </c>
      <c r="AC269" s="10" t="str">
        <f>IF(A269&lt;&gt;"",'Metrics planning and tracking'!$K$3,"")</f>
        <v/>
      </c>
      <c r="AD269" s="10" t="str">
        <f>IF(A269&lt;&gt;"",IF(AND(#REF!&lt;&gt;"",#REF!&lt;&gt;"",#REF!&lt;&gt;0),#REF!/#REF!*100,"NA"),"")</f>
        <v/>
      </c>
      <c r="AE269" s="10" t="str">
        <f>IF(A269&lt;&gt;"",IF(AND(#REF!&lt;&gt;"",#REF!&lt;&gt;"",#REF!&lt;&gt;0),#REF!/#REF!*100,"NA"),"")</f>
        <v/>
      </c>
      <c r="AF269" s="57" t="str">
        <f t="shared" si="34"/>
        <v/>
      </c>
      <c r="AG269" s="57" t="str">
        <f t="shared" si="35"/>
        <v/>
      </c>
      <c r="AH269" s="58" t="str">
        <f t="shared" si="36"/>
        <v/>
      </c>
      <c r="AV269" s="22" t="str">
        <f>IF(A269&lt;&gt;"",A269 &amp; "-" &amp;#REF! &amp; ROW(),"")</f>
        <v/>
      </c>
    </row>
    <row r="270" spans="11:48" x14ac:dyDescent="0.2">
      <c r="K270" s="11" t="str">
        <f>IF(AND(COUNTA(B270:C270)&gt;1,COUNTA(F270:G270)&gt;1,O270="Completed"),(G270-C270)/(C270-#REF!+1)%,"")</f>
        <v/>
      </c>
      <c r="L270" s="11" t="str">
        <f>IF(AND(COUNT(D270:E270)&gt;0,COUNTA(F270:G270)&gt;1,O270="Completed"),(G270-AG270)/(AG270-#REF!+1)%,"")</f>
        <v/>
      </c>
      <c r="M270" s="11" t="str">
        <f t="shared" si="31"/>
        <v/>
      </c>
      <c r="N270" s="11" t="str">
        <f t="shared" si="32"/>
        <v/>
      </c>
      <c r="O270" s="12"/>
      <c r="P270" s="12"/>
      <c r="R270" s="10" t="str">
        <f>IF(H270&lt;&gt;"",SUMIF(H$3:H270,"&lt;&gt;" &amp; "",H$3:H270),"")</f>
        <v/>
      </c>
      <c r="S270" s="10" t="str">
        <f t="array" ref="S270">IF(O270="Completed",SUMIF(W$3:W270,"&lt;&gt;" &amp; "",W$3:W270),"")</f>
        <v/>
      </c>
      <c r="T270" s="10" t="str">
        <f t="array" ref="T270">IF(AND(J270&lt;&gt;"",O270="Completed"),SUM(IF(O$3:O270="Completed",J$3:J270,0)),"")</f>
        <v/>
      </c>
      <c r="U270" s="10" t="str">
        <f t="shared" si="37"/>
        <v/>
      </c>
      <c r="V270" s="10">
        <f>ROW()</f>
        <v>270</v>
      </c>
      <c r="W270" s="10" t="str">
        <f t="shared" si="33"/>
        <v/>
      </c>
      <c r="Z270" s="10" t="str">
        <f>IF(A270&lt;&gt;"",'Metrics planning and tracking'!$K$4,"")</f>
        <v/>
      </c>
      <c r="AA270" s="10" t="str">
        <f>IF(A270&lt;&gt;"",'Metrics planning and tracking'!$K$5,"")</f>
        <v/>
      </c>
      <c r="AB270" s="10" t="str">
        <f>IF(A270&lt;&gt;"",'Metrics planning and tracking'!$K$2,"")</f>
        <v/>
      </c>
      <c r="AC270" s="10" t="str">
        <f>IF(A270&lt;&gt;"",'Metrics planning and tracking'!$K$3,"")</f>
        <v/>
      </c>
      <c r="AD270" s="10" t="str">
        <f>IF(A270&lt;&gt;"",IF(AND(#REF!&lt;&gt;"",#REF!&lt;&gt;"",#REF!&lt;&gt;0),#REF!/#REF!*100,"NA"),"")</f>
        <v/>
      </c>
      <c r="AE270" s="10" t="str">
        <f>IF(A270&lt;&gt;"",IF(AND(#REF!&lt;&gt;"",#REF!&lt;&gt;"",#REF!&lt;&gt;0),#REF!/#REF!*100,"NA"),"")</f>
        <v/>
      </c>
      <c r="AF270" s="57" t="str">
        <f t="shared" si="34"/>
        <v/>
      </c>
      <c r="AG270" s="57" t="str">
        <f t="shared" si="35"/>
        <v/>
      </c>
      <c r="AH270" s="58" t="str">
        <f t="shared" si="36"/>
        <v/>
      </c>
      <c r="AV270" s="22" t="str">
        <f>IF(A270&lt;&gt;"",A270 &amp; "-" &amp;#REF! &amp; ROW(),"")</f>
        <v/>
      </c>
    </row>
    <row r="271" spans="11:48" x14ac:dyDescent="0.2">
      <c r="K271" s="11" t="str">
        <f>IF(AND(COUNTA(B271:C271)&gt;1,COUNTA(F271:G271)&gt;1,O271="Completed"),(G271-C271)/(C271-#REF!+1)%,"")</f>
        <v/>
      </c>
      <c r="L271" s="11" t="str">
        <f>IF(AND(COUNT(D271:E271)&gt;0,COUNTA(F271:G271)&gt;1,O271="Completed"),(G271-AG271)/(AG271-#REF!+1)%,"")</f>
        <v/>
      </c>
      <c r="M271" s="11" t="str">
        <f t="shared" si="31"/>
        <v/>
      </c>
      <c r="N271" s="11" t="str">
        <f t="shared" si="32"/>
        <v/>
      </c>
      <c r="O271" s="12"/>
      <c r="P271" s="12"/>
      <c r="R271" s="10" t="str">
        <f>IF(H271&lt;&gt;"",SUMIF(H$3:H271,"&lt;&gt;" &amp; "",H$3:H271),"")</f>
        <v/>
      </c>
      <c r="S271" s="10" t="str">
        <f t="array" ref="S271">IF(O271="Completed",SUMIF(W$3:W271,"&lt;&gt;" &amp; "",W$3:W271),"")</f>
        <v/>
      </c>
      <c r="T271" s="10" t="str">
        <f t="array" ref="T271">IF(AND(J271&lt;&gt;"",O271="Completed"),SUM(IF(O$3:O271="Completed",J$3:J271,0)),"")</f>
        <v/>
      </c>
      <c r="U271" s="10" t="str">
        <f t="shared" si="37"/>
        <v/>
      </c>
      <c r="V271" s="10">
        <f>ROW()</f>
        <v>271</v>
      </c>
      <c r="W271" s="10" t="str">
        <f t="shared" si="33"/>
        <v/>
      </c>
      <c r="Z271" s="10" t="str">
        <f>IF(A271&lt;&gt;"",'Metrics planning and tracking'!$K$4,"")</f>
        <v/>
      </c>
      <c r="AA271" s="10" t="str">
        <f>IF(A271&lt;&gt;"",'Metrics planning and tracking'!$K$5,"")</f>
        <v/>
      </c>
      <c r="AB271" s="10" t="str">
        <f>IF(A271&lt;&gt;"",'Metrics planning and tracking'!$K$2,"")</f>
        <v/>
      </c>
      <c r="AC271" s="10" t="str">
        <f>IF(A271&lt;&gt;"",'Metrics planning and tracking'!$K$3,"")</f>
        <v/>
      </c>
      <c r="AD271" s="10" t="str">
        <f>IF(A271&lt;&gt;"",IF(AND(#REF!&lt;&gt;"",#REF!&lt;&gt;"",#REF!&lt;&gt;0),#REF!/#REF!*100,"NA"),"")</f>
        <v/>
      </c>
      <c r="AE271" s="10" t="str">
        <f>IF(A271&lt;&gt;"",IF(AND(#REF!&lt;&gt;"",#REF!&lt;&gt;"",#REF!&lt;&gt;0),#REF!/#REF!*100,"NA"),"")</f>
        <v/>
      </c>
      <c r="AF271" s="57" t="str">
        <f t="shared" si="34"/>
        <v/>
      </c>
      <c r="AG271" s="57" t="str">
        <f t="shared" si="35"/>
        <v/>
      </c>
      <c r="AH271" s="58" t="str">
        <f t="shared" si="36"/>
        <v/>
      </c>
      <c r="AV271" s="22" t="str">
        <f>IF(A271&lt;&gt;"",A271 &amp; "-" &amp;#REF! &amp; ROW(),"")</f>
        <v/>
      </c>
    </row>
    <row r="272" spans="11:48" x14ac:dyDescent="0.2">
      <c r="K272" s="11" t="str">
        <f>IF(AND(COUNTA(B272:C272)&gt;1,COUNTA(F272:G272)&gt;1,O272="Completed"),(G272-C272)/(C272-#REF!+1)%,"")</f>
        <v/>
      </c>
      <c r="L272" s="11" t="str">
        <f>IF(AND(COUNT(D272:E272)&gt;0,COUNTA(F272:G272)&gt;1,O272="Completed"),(G272-AG272)/(AG272-#REF!+1)%,"")</f>
        <v/>
      </c>
      <c r="M272" s="11" t="str">
        <f t="shared" si="31"/>
        <v/>
      </c>
      <c r="N272" s="11" t="str">
        <f t="shared" si="32"/>
        <v/>
      </c>
      <c r="O272" s="12"/>
      <c r="P272" s="12"/>
      <c r="R272" s="10" t="str">
        <f>IF(H272&lt;&gt;"",SUMIF(H$3:H272,"&lt;&gt;" &amp; "",H$3:H272),"")</f>
        <v/>
      </c>
      <c r="S272" s="10" t="str">
        <f t="array" ref="S272">IF(O272="Completed",SUMIF(W$3:W272,"&lt;&gt;" &amp; "",W$3:W272),"")</f>
        <v/>
      </c>
      <c r="T272" s="10" t="str">
        <f t="array" ref="T272">IF(AND(J272&lt;&gt;"",O272="Completed"),SUM(IF(O$3:O272="Completed",J$3:J272,0)),"")</f>
        <v/>
      </c>
      <c r="U272" s="10" t="str">
        <f t="shared" si="37"/>
        <v/>
      </c>
      <c r="V272" s="10">
        <f>ROW()</f>
        <v>272</v>
      </c>
      <c r="W272" s="10" t="str">
        <f t="shared" si="33"/>
        <v/>
      </c>
      <c r="Z272" s="10" t="str">
        <f>IF(A272&lt;&gt;"",'Metrics planning and tracking'!$K$4,"")</f>
        <v/>
      </c>
      <c r="AA272" s="10" t="str">
        <f>IF(A272&lt;&gt;"",'Metrics planning and tracking'!$K$5,"")</f>
        <v/>
      </c>
      <c r="AB272" s="10" t="str">
        <f>IF(A272&lt;&gt;"",'Metrics planning and tracking'!$K$2,"")</f>
        <v/>
      </c>
      <c r="AC272" s="10" t="str">
        <f>IF(A272&lt;&gt;"",'Metrics planning and tracking'!$K$3,"")</f>
        <v/>
      </c>
      <c r="AD272" s="10" t="str">
        <f>IF(A272&lt;&gt;"",IF(AND(#REF!&lt;&gt;"",#REF!&lt;&gt;"",#REF!&lt;&gt;0),#REF!/#REF!*100,"NA"),"")</f>
        <v/>
      </c>
      <c r="AE272" s="10" t="str">
        <f>IF(A272&lt;&gt;"",IF(AND(#REF!&lt;&gt;"",#REF!&lt;&gt;"",#REF!&lt;&gt;0),#REF!/#REF!*100,"NA"),"")</f>
        <v/>
      </c>
      <c r="AF272" s="57" t="str">
        <f t="shared" si="34"/>
        <v/>
      </c>
      <c r="AG272" s="57" t="str">
        <f t="shared" si="35"/>
        <v/>
      </c>
      <c r="AH272" s="58" t="str">
        <f t="shared" si="36"/>
        <v/>
      </c>
      <c r="AV272" s="22" t="str">
        <f>IF(A272&lt;&gt;"",A272 &amp; "-" &amp;#REF! &amp; ROW(),"")</f>
        <v/>
      </c>
    </row>
    <row r="273" spans="11:48" x14ac:dyDescent="0.2">
      <c r="K273" s="11" t="str">
        <f>IF(AND(COUNTA(B273:C273)&gt;1,COUNTA(F273:G273)&gt;1,O273="Completed"),(G273-C273)/(C273-#REF!+1)%,"")</f>
        <v/>
      </c>
      <c r="L273" s="11" t="str">
        <f>IF(AND(COUNT(D273:E273)&gt;0,COUNTA(F273:G273)&gt;1,O273="Completed"),(G273-AG273)/(AG273-#REF!+1)%,"")</f>
        <v/>
      </c>
      <c r="M273" s="11" t="str">
        <f t="shared" si="31"/>
        <v/>
      </c>
      <c r="N273" s="11" t="str">
        <f t="shared" si="32"/>
        <v/>
      </c>
      <c r="O273" s="12"/>
      <c r="P273" s="12"/>
      <c r="R273" s="10" t="str">
        <f>IF(H273&lt;&gt;"",SUMIF(H$3:H273,"&lt;&gt;" &amp; "",H$3:H273),"")</f>
        <v/>
      </c>
      <c r="S273" s="10" t="str">
        <f t="array" ref="S273">IF(O273="Completed",SUMIF(W$3:W273,"&lt;&gt;" &amp; "",W$3:W273),"")</f>
        <v/>
      </c>
      <c r="T273" s="10" t="str">
        <f t="array" ref="T273">IF(AND(J273&lt;&gt;"",O273="Completed"),SUM(IF(O$3:O273="Completed",J$3:J273,0)),"")</f>
        <v/>
      </c>
      <c r="U273" s="10" t="str">
        <f t="shared" si="37"/>
        <v/>
      </c>
      <c r="V273" s="10">
        <f>ROW()</f>
        <v>273</v>
      </c>
      <c r="W273" s="10" t="str">
        <f t="shared" si="33"/>
        <v/>
      </c>
      <c r="Z273" s="10" t="str">
        <f>IF(A273&lt;&gt;"",'Metrics planning and tracking'!$K$4,"")</f>
        <v/>
      </c>
      <c r="AA273" s="10" t="str">
        <f>IF(A273&lt;&gt;"",'Metrics planning and tracking'!$K$5,"")</f>
        <v/>
      </c>
      <c r="AB273" s="10" t="str">
        <f>IF(A273&lt;&gt;"",'Metrics planning and tracking'!$K$2,"")</f>
        <v/>
      </c>
      <c r="AC273" s="10" t="str">
        <f>IF(A273&lt;&gt;"",'Metrics planning and tracking'!$K$3,"")</f>
        <v/>
      </c>
      <c r="AD273" s="10" t="str">
        <f>IF(A273&lt;&gt;"",IF(AND(#REF!&lt;&gt;"",#REF!&lt;&gt;"",#REF!&lt;&gt;0),#REF!/#REF!*100,"NA"),"")</f>
        <v/>
      </c>
      <c r="AE273" s="10" t="str">
        <f>IF(A273&lt;&gt;"",IF(AND(#REF!&lt;&gt;"",#REF!&lt;&gt;"",#REF!&lt;&gt;0),#REF!/#REF!*100,"NA"),"")</f>
        <v/>
      </c>
      <c r="AF273" s="57" t="str">
        <f t="shared" si="34"/>
        <v/>
      </c>
      <c r="AG273" s="57" t="str">
        <f t="shared" si="35"/>
        <v/>
      </c>
      <c r="AH273" s="58" t="str">
        <f t="shared" si="36"/>
        <v/>
      </c>
      <c r="AV273" s="22" t="str">
        <f>IF(A273&lt;&gt;"",A273 &amp; "-" &amp;#REF! &amp; ROW(),"")</f>
        <v/>
      </c>
    </row>
    <row r="274" spans="11:48" x14ac:dyDescent="0.2">
      <c r="K274" s="11" t="str">
        <f>IF(AND(COUNTA(B274:C274)&gt;1,COUNTA(F274:G274)&gt;1,O274="Completed"),(G274-C274)/(C274-#REF!+1)%,"")</f>
        <v/>
      </c>
      <c r="L274" s="11" t="str">
        <f>IF(AND(COUNT(D274:E274)&gt;0,COUNTA(F274:G274)&gt;1,O274="Completed"),(G274-AG274)/(AG274-#REF!+1)%,"")</f>
        <v/>
      </c>
      <c r="M274" s="11" t="str">
        <f t="shared" si="31"/>
        <v/>
      </c>
      <c r="N274" s="11" t="str">
        <f t="shared" si="32"/>
        <v/>
      </c>
      <c r="O274" s="12"/>
      <c r="P274" s="12"/>
      <c r="R274" s="10" t="str">
        <f>IF(H274&lt;&gt;"",SUMIF(H$3:H274,"&lt;&gt;" &amp; "",H$3:H274),"")</f>
        <v/>
      </c>
      <c r="S274" s="10" t="str">
        <f t="array" ref="S274">IF(O274="Completed",SUMIF(W$3:W274,"&lt;&gt;" &amp; "",W$3:W274),"")</f>
        <v/>
      </c>
      <c r="T274" s="10" t="str">
        <f t="array" ref="T274">IF(AND(J274&lt;&gt;"",O274="Completed"),SUM(IF(O$3:O274="Completed",J$3:J274,0)),"")</f>
        <v/>
      </c>
      <c r="U274" s="10" t="str">
        <f t="shared" si="37"/>
        <v/>
      </c>
      <c r="V274" s="10">
        <f>ROW()</f>
        <v>274</v>
      </c>
      <c r="W274" s="10" t="str">
        <f t="shared" si="33"/>
        <v/>
      </c>
      <c r="Z274" s="10" t="str">
        <f>IF(A274&lt;&gt;"",'Metrics planning and tracking'!$K$4,"")</f>
        <v/>
      </c>
      <c r="AA274" s="10" t="str">
        <f>IF(A274&lt;&gt;"",'Metrics planning and tracking'!$K$5,"")</f>
        <v/>
      </c>
      <c r="AB274" s="10" t="str">
        <f>IF(A274&lt;&gt;"",'Metrics planning and tracking'!$K$2,"")</f>
        <v/>
      </c>
      <c r="AC274" s="10" t="str">
        <f>IF(A274&lt;&gt;"",'Metrics planning and tracking'!$K$3,"")</f>
        <v/>
      </c>
      <c r="AD274" s="10" t="str">
        <f>IF(A274&lt;&gt;"",IF(AND(#REF!&lt;&gt;"",#REF!&lt;&gt;"",#REF!&lt;&gt;0),#REF!/#REF!*100,"NA"),"")</f>
        <v/>
      </c>
      <c r="AE274" s="10" t="str">
        <f>IF(A274&lt;&gt;"",IF(AND(#REF!&lt;&gt;"",#REF!&lt;&gt;"",#REF!&lt;&gt;0),#REF!/#REF!*100,"NA"),"")</f>
        <v/>
      </c>
      <c r="AF274" s="57" t="str">
        <f t="shared" si="34"/>
        <v/>
      </c>
      <c r="AG274" s="57" t="str">
        <f t="shared" si="35"/>
        <v/>
      </c>
      <c r="AH274" s="58" t="str">
        <f t="shared" si="36"/>
        <v/>
      </c>
      <c r="AV274" s="22" t="str">
        <f>IF(A274&lt;&gt;"",A274 &amp; "-" &amp;#REF! &amp; ROW(),"")</f>
        <v/>
      </c>
    </row>
    <row r="275" spans="11:48" x14ac:dyDescent="0.2">
      <c r="K275" s="11" t="str">
        <f>IF(AND(COUNTA(B275:C275)&gt;1,COUNTA(F275:G275)&gt;1,O275="Completed"),(G275-C275)/(C275-#REF!+1)%,"")</f>
        <v/>
      </c>
      <c r="L275" s="11" t="str">
        <f>IF(AND(COUNT(D275:E275)&gt;0,COUNTA(F275:G275)&gt;1,O275="Completed"),(G275-AG275)/(AG275-#REF!+1)%,"")</f>
        <v/>
      </c>
      <c r="M275" s="11" t="str">
        <f t="shared" si="31"/>
        <v/>
      </c>
      <c r="N275" s="11" t="str">
        <f t="shared" si="32"/>
        <v/>
      </c>
      <c r="O275" s="12"/>
      <c r="P275" s="12"/>
      <c r="R275" s="10" t="str">
        <f>IF(H275&lt;&gt;"",SUMIF(H$3:H275,"&lt;&gt;" &amp; "",H$3:H275),"")</f>
        <v/>
      </c>
      <c r="S275" s="10" t="str">
        <f t="array" ref="S275">IF(O275="Completed",SUMIF(W$3:W275,"&lt;&gt;" &amp; "",W$3:W275),"")</f>
        <v/>
      </c>
      <c r="T275" s="10" t="str">
        <f t="array" ref="T275">IF(AND(J275&lt;&gt;"",O275="Completed"),SUM(IF(O$3:O275="Completed",J$3:J275,0)),"")</f>
        <v/>
      </c>
      <c r="U275" s="10" t="str">
        <f t="shared" si="37"/>
        <v/>
      </c>
      <c r="V275" s="10">
        <f>ROW()</f>
        <v>275</v>
      </c>
      <c r="W275" s="10" t="str">
        <f t="shared" si="33"/>
        <v/>
      </c>
      <c r="Z275" s="10" t="str">
        <f>IF(A275&lt;&gt;"",'Metrics planning and tracking'!$K$4,"")</f>
        <v/>
      </c>
      <c r="AA275" s="10" t="str">
        <f>IF(A275&lt;&gt;"",'Metrics planning and tracking'!$K$5,"")</f>
        <v/>
      </c>
      <c r="AB275" s="10" t="str">
        <f>IF(A275&lt;&gt;"",'Metrics planning and tracking'!$K$2,"")</f>
        <v/>
      </c>
      <c r="AC275" s="10" t="str">
        <f>IF(A275&lt;&gt;"",'Metrics planning and tracking'!$K$3,"")</f>
        <v/>
      </c>
      <c r="AD275" s="10" t="str">
        <f>IF(A275&lt;&gt;"",IF(AND(#REF!&lt;&gt;"",#REF!&lt;&gt;"",#REF!&lt;&gt;0),#REF!/#REF!*100,"NA"),"")</f>
        <v/>
      </c>
      <c r="AE275" s="10" t="str">
        <f>IF(A275&lt;&gt;"",IF(AND(#REF!&lt;&gt;"",#REF!&lt;&gt;"",#REF!&lt;&gt;0),#REF!/#REF!*100,"NA"),"")</f>
        <v/>
      </c>
      <c r="AF275" s="57" t="str">
        <f t="shared" si="34"/>
        <v/>
      </c>
      <c r="AG275" s="57" t="str">
        <f t="shared" si="35"/>
        <v/>
      </c>
      <c r="AH275" s="58" t="str">
        <f t="shared" si="36"/>
        <v/>
      </c>
      <c r="AV275" s="22" t="str">
        <f>IF(A275&lt;&gt;"",A275 &amp; "-" &amp;#REF! &amp; ROW(),"")</f>
        <v/>
      </c>
    </row>
    <row r="276" spans="11:48" x14ac:dyDescent="0.2">
      <c r="K276" s="11" t="str">
        <f>IF(AND(COUNTA(B276:C276)&gt;1,COUNTA(F276:G276)&gt;1,O276="Completed"),(G276-C276)/(C276-#REF!+1)%,"")</f>
        <v/>
      </c>
      <c r="L276" s="11" t="str">
        <f>IF(AND(COUNT(D276:E276)&gt;0,COUNTA(F276:G276)&gt;1,O276="Completed"),(G276-AG276)/(AG276-#REF!+1)%,"")</f>
        <v/>
      </c>
      <c r="M276" s="11" t="str">
        <f t="shared" si="31"/>
        <v/>
      </c>
      <c r="N276" s="11" t="str">
        <f t="shared" si="32"/>
        <v/>
      </c>
      <c r="O276" s="12"/>
      <c r="P276" s="12"/>
      <c r="R276" s="10" t="str">
        <f>IF(H276&lt;&gt;"",SUMIF(H$3:H276,"&lt;&gt;" &amp; "",H$3:H276),"")</f>
        <v/>
      </c>
      <c r="S276" s="10" t="str">
        <f t="array" ref="S276">IF(O276="Completed",SUMIF(W$3:W276,"&lt;&gt;" &amp; "",W$3:W276),"")</f>
        <v/>
      </c>
      <c r="T276" s="10" t="str">
        <f t="array" ref="T276">IF(AND(J276&lt;&gt;"",O276="Completed"),SUM(IF(O$3:O276="Completed",J$3:J276,0)),"")</f>
        <v/>
      </c>
      <c r="U276" s="10" t="str">
        <f t="shared" si="37"/>
        <v/>
      </c>
      <c r="V276" s="10">
        <f>ROW()</f>
        <v>276</v>
      </c>
      <c r="W276" s="10" t="str">
        <f t="shared" si="33"/>
        <v/>
      </c>
      <c r="Z276" s="10" t="str">
        <f>IF(A276&lt;&gt;"",'Metrics planning and tracking'!$K$4,"")</f>
        <v/>
      </c>
      <c r="AA276" s="10" t="str">
        <f>IF(A276&lt;&gt;"",'Metrics planning and tracking'!$K$5,"")</f>
        <v/>
      </c>
      <c r="AB276" s="10" t="str">
        <f>IF(A276&lt;&gt;"",'Metrics planning and tracking'!$K$2,"")</f>
        <v/>
      </c>
      <c r="AC276" s="10" t="str">
        <f>IF(A276&lt;&gt;"",'Metrics planning and tracking'!$K$3,"")</f>
        <v/>
      </c>
      <c r="AD276" s="10" t="str">
        <f>IF(A276&lt;&gt;"",IF(AND(#REF!&lt;&gt;"",#REF!&lt;&gt;"",#REF!&lt;&gt;0),#REF!/#REF!*100,"NA"),"")</f>
        <v/>
      </c>
      <c r="AE276" s="10" t="str">
        <f>IF(A276&lt;&gt;"",IF(AND(#REF!&lt;&gt;"",#REF!&lt;&gt;"",#REF!&lt;&gt;0),#REF!/#REF!*100,"NA"),"")</f>
        <v/>
      </c>
      <c r="AF276" s="57" t="str">
        <f t="shared" si="34"/>
        <v/>
      </c>
      <c r="AG276" s="57" t="str">
        <f t="shared" si="35"/>
        <v/>
      </c>
      <c r="AH276" s="58" t="str">
        <f t="shared" si="36"/>
        <v/>
      </c>
      <c r="AV276" s="22" t="str">
        <f>IF(A276&lt;&gt;"",A276 &amp; "-" &amp;#REF! &amp; ROW(),"")</f>
        <v/>
      </c>
    </row>
    <row r="277" spans="11:48" x14ac:dyDescent="0.2">
      <c r="K277" s="11" t="str">
        <f>IF(AND(COUNTA(B277:C277)&gt;1,COUNTA(F277:G277)&gt;1,O277="Completed"),(G277-C277)/(C277-#REF!+1)%,"")</f>
        <v/>
      </c>
      <c r="L277" s="11" t="str">
        <f>IF(AND(COUNT(D277:E277)&gt;0,COUNTA(F277:G277)&gt;1,O277="Completed"),(G277-AG277)/(AG277-#REF!+1)%,"")</f>
        <v/>
      </c>
      <c r="M277" s="11" t="str">
        <f t="shared" si="31"/>
        <v/>
      </c>
      <c r="N277" s="11" t="str">
        <f t="shared" si="32"/>
        <v/>
      </c>
      <c r="O277" s="12"/>
      <c r="P277" s="12"/>
      <c r="R277" s="10" t="str">
        <f>IF(H277&lt;&gt;"",SUMIF(H$3:H277,"&lt;&gt;" &amp; "",H$3:H277),"")</f>
        <v/>
      </c>
      <c r="S277" s="10" t="str">
        <f t="array" ref="S277">IF(O277="Completed",SUMIF(W$3:W277,"&lt;&gt;" &amp; "",W$3:W277),"")</f>
        <v/>
      </c>
      <c r="T277" s="10" t="str">
        <f t="array" ref="T277">IF(AND(J277&lt;&gt;"",O277="Completed"),SUM(IF(O$3:O277="Completed",J$3:J277,0)),"")</f>
        <v/>
      </c>
      <c r="U277" s="10" t="str">
        <f t="shared" si="37"/>
        <v/>
      </c>
      <c r="V277" s="10">
        <f>ROW()</f>
        <v>277</v>
      </c>
      <c r="W277" s="10" t="str">
        <f t="shared" si="33"/>
        <v/>
      </c>
      <c r="Z277" s="10" t="str">
        <f>IF(A277&lt;&gt;"",'Metrics planning and tracking'!$K$4,"")</f>
        <v/>
      </c>
      <c r="AA277" s="10" t="str">
        <f>IF(A277&lt;&gt;"",'Metrics planning and tracking'!$K$5,"")</f>
        <v/>
      </c>
      <c r="AB277" s="10" t="str">
        <f>IF(A277&lt;&gt;"",'Metrics planning and tracking'!$K$2,"")</f>
        <v/>
      </c>
      <c r="AC277" s="10" t="str">
        <f>IF(A277&lt;&gt;"",'Metrics planning and tracking'!$K$3,"")</f>
        <v/>
      </c>
      <c r="AD277" s="10" t="str">
        <f>IF(A277&lt;&gt;"",IF(AND(#REF!&lt;&gt;"",#REF!&lt;&gt;"",#REF!&lt;&gt;0),#REF!/#REF!*100,"NA"),"")</f>
        <v/>
      </c>
      <c r="AE277" s="10" t="str">
        <f>IF(A277&lt;&gt;"",IF(AND(#REF!&lt;&gt;"",#REF!&lt;&gt;"",#REF!&lt;&gt;0),#REF!/#REF!*100,"NA"),"")</f>
        <v/>
      </c>
      <c r="AF277" s="57" t="str">
        <f t="shared" si="34"/>
        <v/>
      </c>
      <c r="AG277" s="57" t="str">
        <f t="shared" si="35"/>
        <v/>
      </c>
      <c r="AH277" s="58" t="str">
        <f t="shared" si="36"/>
        <v/>
      </c>
      <c r="AV277" s="22" t="str">
        <f>IF(A277&lt;&gt;"",A277 &amp; "-" &amp;#REF! &amp; ROW(),"")</f>
        <v/>
      </c>
    </row>
    <row r="278" spans="11:48" x14ac:dyDescent="0.2">
      <c r="K278" s="11" t="str">
        <f>IF(AND(COUNTA(B278:C278)&gt;1,COUNTA(F278:G278)&gt;1,O278="Completed"),(G278-C278)/(C278-#REF!+1)%,"")</f>
        <v/>
      </c>
      <c r="L278" s="11" t="str">
        <f>IF(AND(COUNT(D278:E278)&gt;0,COUNTA(F278:G278)&gt;1,O278="Completed"),(G278-AG278)/(AG278-#REF!+1)%,"")</f>
        <v/>
      </c>
      <c r="M278" s="11" t="str">
        <f t="shared" ref="M278:M341" si="38">IF(AND(T278&lt;&gt;"",T278&lt;&gt;0,R278&lt;&gt;"",R278&lt;&gt;0),(T278-R278)/R278%,IF(AND(H278&lt;&gt;"",H278&lt;&gt;0,OR(J278="",J278=0)),"Actual Effort reqd.",""))</f>
        <v/>
      </c>
      <c r="N278" s="11" t="str">
        <f t="shared" ref="N278:N341" si="39">IF(AND(T278&lt;&gt;"",T278&lt;&gt;0,S278&lt;&gt;"",S278&lt;&gt;0),(T278-S278)/S278%,IF(AND(I278&lt;&gt;"",I278&lt;&gt;0,OR(J278="",J278=0)),"Actual Effort reqd.",""))</f>
        <v/>
      </c>
      <c r="O278" s="12"/>
      <c r="P278" s="12"/>
      <c r="R278" s="10" t="str">
        <f>IF(H278&lt;&gt;"",SUMIF(H$3:H278,"&lt;&gt;" &amp; "",H$3:H278),"")</f>
        <v/>
      </c>
      <c r="S278" s="10" t="str">
        <f t="array" ref="S278">IF(O278="Completed",SUMIF(W$3:W278,"&lt;&gt;" &amp; "",W$3:W278),"")</f>
        <v/>
      </c>
      <c r="T278" s="10" t="str">
        <f t="array" ref="T278">IF(AND(J278&lt;&gt;"",O278="Completed"),SUM(IF(O$3:O278="Completed",J$3:J278,0)),"")</f>
        <v/>
      </c>
      <c r="U278" s="10" t="str">
        <f t="shared" si="37"/>
        <v/>
      </c>
      <c r="V278" s="10">
        <f>ROW()</f>
        <v>278</v>
      </c>
      <c r="W278" s="10" t="str">
        <f t="shared" ref="W278:W341" si="40">IF(O278="Completed",IF(COUNT($I$3:$I$596)&gt;0,IF(I278&lt;&gt;"",I278,H278),""),"")</f>
        <v/>
      </c>
      <c r="Z278" s="10" t="str">
        <f>IF(A278&lt;&gt;"",'Metrics planning and tracking'!$K$4,"")</f>
        <v/>
      </c>
      <c r="AA278" s="10" t="str">
        <f>IF(A278&lt;&gt;"",'Metrics planning and tracking'!$K$5,"")</f>
        <v/>
      </c>
      <c r="AB278" s="10" t="str">
        <f>IF(A278&lt;&gt;"",'Metrics planning and tracking'!$K$2,"")</f>
        <v/>
      </c>
      <c r="AC278" s="10" t="str">
        <f>IF(A278&lt;&gt;"",'Metrics planning and tracking'!$K$3,"")</f>
        <v/>
      </c>
      <c r="AD278" s="10" t="str">
        <f>IF(A278&lt;&gt;"",IF(AND(#REF!&lt;&gt;"",#REF!&lt;&gt;"",#REF!&lt;&gt;0),#REF!/#REF!*100,"NA"),"")</f>
        <v/>
      </c>
      <c r="AE278" s="10" t="str">
        <f>IF(A278&lt;&gt;"",IF(AND(#REF!&lt;&gt;"",#REF!&lt;&gt;"",#REF!&lt;&gt;0),#REF!/#REF!*100,"NA"),"")</f>
        <v/>
      </c>
      <c r="AF278" s="57" t="str">
        <f t="shared" ref="AF278:AF341" si="41">IF($O278="Completed",IF(D278&lt;&gt;"",D278,IF(B278&lt;&gt;"",B278,"")),"")</f>
        <v/>
      </c>
      <c r="AG278" s="57" t="str">
        <f t="shared" ref="AG278:AG341" si="42">IF($O278="Completed",IF(E278&lt;&gt;"",E278,IF(C278&lt;&gt;"",C278,"")),"")</f>
        <v/>
      </c>
      <c r="AH278" s="58" t="str">
        <f t="shared" ref="AH278:AH341" si="43">IF(O278="Completed",IF(L278&lt;&gt;"",L278,IF(K278&lt;&gt;"",K278,"")),"")</f>
        <v/>
      </c>
      <c r="AV278" s="22" t="str">
        <f>IF(A278&lt;&gt;"",A278 &amp; "-" &amp;#REF! &amp; ROW(),"")</f>
        <v/>
      </c>
    </row>
    <row r="279" spans="11:48" x14ac:dyDescent="0.2">
      <c r="K279" s="11" t="str">
        <f>IF(AND(COUNTA(B279:C279)&gt;1,COUNTA(F279:G279)&gt;1,O279="Completed"),(G279-C279)/(C279-#REF!+1)%,"")</f>
        <v/>
      </c>
      <c r="L279" s="11" t="str">
        <f>IF(AND(COUNT(D279:E279)&gt;0,COUNTA(F279:G279)&gt;1,O279="Completed"),(G279-AG279)/(AG279-#REF!+1)%,"")</f>
        <v/>
      </c>
      <c r="M279" s="11" t="str">
        <f t="shared" si="38"/>
        <v/>
      </c>
      <c r="N279" s="11" t="str">
        <f t="shared" si="39"/>
        <v/>
      </c>
      <c r="O279" s="12"/>
      <c r="P279" s="12"/>
      <c r="R279" s="10" t="str">
        <f>IF(H279&lt;&gt;"",SUMIF(H$3:H279,"&lt;&gt;" &amp; "",H$3:H279),"")</f>
        <v/>
      </c>
      <c r="S279" s="10" t="str">
        <f t="array" ref="S279">IF(O279="Completed",SUMIF(W$3:W279,"&lt;&gt;" &amp; "",W$3:W279),"")</f>
        <v/>
      </c>
      <c r="T279" s="10" t="str">
        <f t="array" ref="T279">IF(AND(J279&lt;&gt;"",O279="Completed"),SUM(IF(O$3:O279="Completed",J$3:J279,0)),"")</f>
        <v/>
      </c>
      <c r="U279" s="10" t="str">
        <f t="shared" si="37"/>
        <v/>
      </c>
      <c r="V279" s="10">
        <f>ROW()</f>
        <v>279</v>
      </c>
      <c r="W279" s="10" t="str">
        <f t="shared" si="40"/>
        <v/>
      </c>
      <c r="Z279" s="10" t="str">
        <f>IF(A279&lt;&gt;"",'Metrics planning and tracking'!$K$4,"")</f>
        <v/>
      </c>
      <c r="AA279" s="10" t="str">
        <f>IF(A279&lt;&gt;"",'Metrics planning and tracking'!$K$5,"")</f>
        <v/>
      </c>
      <c r="AB279" s="10" t="str">
        <f>IF(A279&lt;&gt;"",'Metrics planning and tracking'!$K$2,"")</f>
        <v/>
      </c>
      <c r="AC279" s="10" t="str">
        <f>IF(A279&lt;&gt;"",'Metrics planning and tracking'!$K$3,"")</f>
        <v/>
      </c>
      <c r="AD279" s="10" t="str">
        <f>IF(A279&lt;&gt;"",IF(AND(#REF!&lt;&gt;"",#REF!&lt;&gt;"",#REF!&lt;&gt;0),#REF!/#REF!*100,"NA"),"")</f>
        <v/>
      </c>
      <c r="AE279" s="10" t="str">
        <f>IF(A279&lt;&gt;"",IF(AND(#REF!&lt;&gt;"",#REF!&lt;&gt;"",#REF!&lt;&gt;0),#REF!/#REF!*100,"NA"),"")</f>
        <v/>
      </c>
      <c r="AF279" s="57" t="str">
        <f t="shared" si="41"/>
        <v/>
      </c>
      <c r="AG279" s="57" t="str">
        <f t="shared" si="42"/>
        <v/>
      </c>
      <c r="AH279" s="58" t="str">
        <f t="shared" si="43"/>
        <v/>
      </c>
      <c r="AV279" s="22" t="str">
        <f>IF(A279&lt;&gt;"",A279 &amp; "-" &amp;#REF! &amp; ROW(),"")</f>
        <v/>
      </c>
    </row>
    <row r="280" spans="11:48" x14ac:dyDescent="0.2">
      <c r="K280" s="11" t="str">
        <f>IF(AND(COUNTA(B280:C280)&gt;1,COUNTA(F280:G280)&gt;1,O280="Completed"),(G280-C280)/(C280-#REF!+1)%,"")</f>
        <v/>
      </c>
      <c r="L280" s="11" t="str">
        <f>IF(AND(COUNT(D280:E280)&gt;0,COUNTA(F280:G280)&gt;1,O280="Completed"),(G280-AG280)/(AG280-#REF!+1)%,"")</f>
        <v/>
      </c>
      <c r="M280" s="11" t="str">
        <f t="shared" si="38"/>
        <v/>
      </c>
      <c r="N280" s="11" t="str">
        <f t="shared" si="39"/>
        <v/>
      </c>
      <c r="O280" s="12"/>
      <c r="P280" s="12"/>
      <c r="R280" s="10" t="str">
        <f>IF(H280&lt;&gt;"",SUMIF(H$3:H280,"&lt;&gt;" &amp; "",H$3:H280),"")</f>
        <v/>
      </c>
      <c r="S280" s="10" t="str">
        <f t="array" ref="S280">IF(O280="Completed",SUMIF(W$3:W280,"&lt;&gt;" &amp; "",W$3:W280),"")</f>
        <v/>
      </c>
      <c r="T280" s="10" t="str">
        <f t="array" ref="T280">IF(AND(J280&lt;&gt;"",O280="Completed"),SUM(IF(O$3:O280="Completed",J$3:J280,0)),"")</f>
        <v/>
      </c>
      <c r="U280" s="10" t="str">
        <f t="shared" si="37"/>
        <v/>
      </c>
      <c r="V280" s="10">
        <f>ROW()</f>
        <v>280</v>
      </c>
      <c r="W280" s="10" t="str">
        <f t="shared" si="40"/>
        <v/>
      </c>
      <c r="Z280" s="10" t="str">
        <f>IF(A280&lt;&gt;"",'Metrics planning and tracking'!$K$4,"")</f>
        <v/>
      </c>
      <c r="AA280" s="10" t="str">
        <f>IF(A280&lt;&gt;"",'Metrics planning and tracking'!$K$5,"")</f>
        <v/>
      </c>
      <c r="AB280" s="10" t="str">
        <f>IF(A280&lt;&gt;"",'Metrics planning and tracking'!$K$2,"")</f>
        <v/>
      </c>
      <c r="AC280" s="10" t="str">
        <f>IF(A280&lt;&gt;"",'Metrics planning and tracking'!$K$3,"")</f>
        <v/>
      </c>
      <c r="AD280" s="10" t="str">
        <f>IF(A280&lt;&gt;"",IF(AND(#REF!&lt;&gt;"",#REF!&lt;&gt;"",#REF!&lt;&gt;0),#REF!/#REF!*100,"NA"),"")</f>
        <v/>
      </c>
      <c r="AE280" s="10" t="str">
        <f>IF(A280&lt;&gt;"",IF(AND(#REF!&lt;&gt;"",#REF!&lt;&gt;"",#REF!&lt;&gt;0),#REF!/#REF!*100,"NA"),"")</f>
        <v/>
      </c>
      <c r="AF280" s="57" t="str">
        <f t="shared" si="41"/>
        <v/>
      </c>
      <c r="AG280" s="57" t="str">
        <f t="shared" si="42"/>
        <v/>
      </c>
      <c r="AH280" s="58" t="str">
        <f t="shared" si="43"/>
        <v/>
      </c>
      <c r="AV280" s="22" t="str">
        <f>IF(A280&lt;&gt;"",A280 &amp; "-" &amp;#REF! &amp; ROW(),"")</f>
        <v/>
      </c>
    </row>
    <row r="281" spans="11:48" x14ac:dyDescent="0.2">
      <c r="K281" s="11" t="str">
        <f>IF(AND(COUNTA(B281:C281)&gt;1,COUNTA(F281:G281)&gt;1,O281="Completed"),(G281-C281)/(C281-#REF!+1)%,"")</f>
        <v/>
      </c>
      <c r="L281" s="11" t="str">
        <f>IF(AND(COUNT(D281:E281)&gt;0,COUNTA(F281:G281)&gt;1,O281="Completed"),(G281-AG281)/(AG281-#REF!+1)%,"")</f>
        <v/>
      </c>
      <c r="M281" s="11" t="str">
        <f t="shared" si="38"/>
        <v/>
      </c>
      <c r="N281" s="11" t="str">
        <f t="shared" si="39"/>
        <v/>
      </c>
      <c r="O281" s="12"/>
      <c r="P281" s="12"/>
      <c r="R281" s="10" t="str">
        <f>IF(H281&lt;&gt;"",SUMIF(H$3:H281,"&lt;&gt;" &amp; "",H$3:H281),"")</f>
        <v/>
      </c>
      <c r="S281" s="10" t="str">
        <f t="array" ref="S281">IF(O281="Completed",SUMIF(W$3:W281,"&lt;&gt;" &amp; "",W$3:W281),"")</f>
        <v/>
      </c>
      <c r="T281" s="10" t="str">
        <f t="array" ref="T281">IF(AND(J281&lt;&gt;"",O281="Completed"),SUM(IF(O$3:O281="Completed",J$3:J281,0)),"")</f>
        <v/>
      </c>
      <c r="U281" s="10" t="str">
        <f t="shared" si="37"/>
        <v/>
      </c>
      <c r="V281" s="10">
        <f>ROW()</f>
        <v>281</v>
      </c>
      <c r="W281" s="10" t="str">
        <f t="shared" si="40"/>
        <v/>
      </c>
      <c r="Z281" s="10" t="str">
        <f>IF(A281&lt;&gt;"",'Metrics planning and tracking'!$K$4,"")</f>
        <v/>
      </c>
      <c r="AA281" s="10" t="str">
        <f>IF(A281&lt;&gt;"",'Metrics planning and tracking'!$K$5,"")</f>
        <v/>
      </c>
      <c r="AB281" s="10" t="str">
        <f>IF(A281&lt;&gt;"",'Metrics planning and tracking'!$K$2,"")</f>
        <v/>
      </c>
      <c r="AC281" s="10" t="str">
        <f>IF(A281&lt;&gt;"",'Metrics planning and tracking'!$K$3,"")</f>
        <v/>
      </c>
      <c r="AD281" s="10" t="str">
        <f>IF(A281&lt;&gt;"",IF(AND(#REF!&lt;&gt;"",#REF!&lt;&gt;"",#REF!&lt;&gt;0),#REF!/#REF!*100,"NA"),"")</f>
        <v/>
      </c>
      <c r="AE281" s="10" t="str">
        <f>IF(A281&lt;&gt;"",IF(AND(#REF!&lt;&gt;"",#REF!&lt;&gt;"",#REF!&lt;&gt;0),#REF!/#REF!*100,"NA"),"")</f>
        <v/>
      </c>
      <c r="AF281" s="57" t="str">
        <f t="shared" si="41"/>
        <v/>
      </c>
      <c r="AG281" s="57" t="str">
        <f t="shared" si="42"/>
        <v/>
      </c>
      <c r="AH281" s="58" t="str">
        <f t="shared" si="43"/>
        <v/>
      </c>
      <c r="AV281" s="22" t="str">
        <f>IF(A281&lt;&gt;"",A281 &amp; "-" &amp;#REF! &amp; ROW(),"")</f>
        <v/>
      </c>
    </row>
    <row r="282" spans="11:48" x14ac:dyDescent="0.2">
      <c r="K282" s="11" t="str">
        <f>IF(AND(COUNTA(B282:C282)&gt;1,COUNTA(F282:G282)&gt;1,O282="Completed"),(G282-C282)/(C282-#REF!+1)%,"")</f>
        <v/>
      </c>
      <c r="L282" s="11" t="str">
        <f>IF(AND(COUNT(D282:E282)&gt;0,COUNTA(F282:G282)&gt;1,O282="Completed"),(G282-AG282)/(AG282-#REF!+1)%,"")</f>
        <v/>
      </c>
      <c r="M282" s="11" t="str">
        <f t="shared" si="38"/>
        <v/>
      </c>
      <c r="N282" s="11" t="str">
        <f t="shared" si="39"/>
        <v/>
      </c>
      <c r="O282" s="12"/>
      <c r="P282" s="12"/>
      <c r="R282" s="10" t="str">
        <f>IF(H282&lt;&gt;"",SUMIF(H$3:H282,"&lt;&gt;" &amp; "",H$3:H282),"")</f>
        <v/>
      </c>
      <c r="S282" s="10" t="str">
        <f t="array" ref="S282">IF(O282="Completed",SUMIF(W$3:W282,"&lt;&gt;" &amp; "",W$3:W282),"")</f>
        <v/>
      </c>
      <c r="T282" s="10" t="str">
        <f t="array" ref="T282">IF(AND(J282&lt;&gt;"",O282="Completed"),SUM(IF(O$3:O282="Completed",J$3:J282,0)),"")</f>
        <v/>
      </c>
      <c r="U282" s="10" t="str">
        <f t="shared" si="37"/>
        <v/>
      </c>
      <c r="V282" s="10">
        <f>ROW()</f>
        <v>282</v>
      </c>
      <c r="W282" s="10" t="str">
        <f t="shared" si="40"/>
        <v/>
      </c>
      <c r="Z282" s="10" t="str">
        <f>IF(A282&lt;&gt;"",'Metrics planning and tracking'!$K$4,"")</f>
        <v/>
      </c>
      <c r="AA282" s="10" t="str">
        <f>IF(A282&lt;&gt;"",'Metrics planning and tracking'!$K$5,"")</f>
        <v/>
      </c>
      <c r="AB282" s="10" t="str">
        <f>IF(A282&lt;&gt;"",'Metrics planning and tracking'!$K$2,"")</f>
        <v/>
      </c>
      <c r="AC282" s="10" t="str">
        <f>IF(A282&lt;&gt;"",'Metrics planning and tracking'!$K$3,"")</f>
        <v/>
      </c>
      <c r="AD282" s="10" t="str">
        <f>IF(A282&lt;&gt;"",IF(AND(#REF!&lt;&gt;"",#REF!&lt;&gt;"",#REF!&lt;&gt;0),#REF!/#REF!*100,"NA"),"")</f>
        <v/>
      </c>
      <c r="AE282" s="10" t="str">
        <f>IF(A282&lt;&gt;"",IF(AND(#REF!&lt;&gt;"",#REF!&lt;&gt;"",#REF!&lt;&gt;0),#REF!/#REF!*100,"NA"),"")</f>
        <v/>
      </c>
      <c r="AF282" s="57" t="str">
        <f t="shared" si="41"/>
        <v/>
      </c>
      <c r="AG282" s="57" t="str">
        <f t="shared" si="42"/>
        <v/>
      </c>
      <c r="AH282" s="58" t="str">
        <f t="shared" si="43"/>
        <v/>
      </c>
      <c r="AV282" s="22" t="str">
        <f>IF(A282&lt;&gt;"",A282 &amp; "-" &amp;#REF! &amp; ROW(),"")</f>
        <v/>
      </c>
    </row>
    <row r="283" spans="11:48" x14ac:dyDescent="0.2">
      <c r="K283" s="11" t="str">
        <f>IF(AND(COUNTA(B283:C283)&gt;1,COUNTA(F283:G283)&gt;1,O283="Completed"),(G283-C283)/(C283-#REF!+1)%,"")</f>
        <v/>
      </c>
      <c r="L283" s="11" t="str">
        <f>IF(AND(COUNT(D283:E283)&gt;0,COUNTA(F283:G283)&gt;1,O283="Completed"),(G283-AG283)/(AG283-#REF!+1)%,"")</f>
        <v/>
      </c>
      <c r="M283" s="11" t="str">
        <f t="shared" si="38"/>
        <v/>
      </c>
      <c r="N283" s="11" t="str">
        <f t="shared" si="39"/>
        <v/>
      </c>
      <c r="O283" s="12"/>
      <c r="P283" s="12"/>
      <c r="R283" s="10" t="str">
        <f>IF(H283&lt;&gt;"",SUMIF(H$3:H283,"&lt;&gt;" &amp; "",H$3:H283),"")</f>
        <v/>
      </c>
      <c r="S283" s="10" t="str">
        <f t="array" ref="S283">IF(O283="Completed",SUMIF(W$3:W283,"&lt;&gt;" &amp; "",W$3:W283),"")</f>
        <v/>
      </c>
      <c r="T283" s="10" t="str">
        <f t="array" ref="T283">IF(AND(J283&lt;&gt;"",O283="Completed"),SUM(IF(O$3:O283="Completed",J$3:J283,0)),"")</f>
        <v/>
      </c>
      <c r="U283" s="10" t="str">
        <f t="shared" si="37"/>
        <v/>
      </c>
      <c r="V283" s="10">
        <f>ROW()</f>
        <v>283</v>
      </c>
      <c r="W283" s="10" t="str">
        <f t="shared" si="40"/>
        <v/>
      </c>
      <c r="Z283" s="10" t="str">
        <f>IF(A283&lt;&gt;"",'Metrics planning and tracking'!$K$4,"")</f>
        <v/>
      </c>
      <c r="AA283" s="10" t="str">
        <f>IF(A283&lt;&gt;"",'Metrics planning and tracking'!$K$5,"")</f>
        <v/>
      </c>
      <c r="AB283" s="10" t="str">
        <f>IF(A283&lt;&gt;"",'Metrics planning and tracking'!$K$2,"")</f>
        <v/>
      </c>
      <c r="AC283" s="10" t="str">
        <f>IF(A283&lt;&gt;"",'Metrics planning and tracking'!$K$3,"")</f>
        <v/>
      </c>
      <c r="AD283" s="10" t="str">
        <f>IF(A283&lt;&gt;"",IF(AND(#REF!&lt;&gt;"",#REF!&lt;&gt;"",#REF!&lt;&gt;0),#REF!/#REF!*100,"NA"),"")</f>
        <v/>
      </c>
      <c r="AE283" s="10" t="str">
        <f>IF(A283&lt;&gt;"",IF(AND(#REF!&lt;&gt;"",#REF!&lt;&gt;"",#REF!&lt;&gt;0),#REF!/#REF!*100,"NA"),"")</f>
        <v/>
      </c>
      <c r="AF283" s="57" t="str">
        <f t="shared" si="41"/>
        <v/>
      </c>
      <c r="AG283" s="57" t="str">
        <f t="shared" si="42"/>
        <v/>
      </c>
      <c r="AH283" s="58" t="str">
        <f t="shared" si="43"/>
        <v/>
      </c>
      <c r="AV283" s="22" t="str">
        <f>IF(A283&lt;&gt;"",A283 &amp; "-" &amp;#REF! &amp; ROW(),"")</f>
        <v/>
      </c>
    </row>
    <row r="284" spans="11:48" x14ac:dyDescent="0.2">
      <c r="K284" s="11" t="str">
        <f>IF(AND(COUNTA(B284:C284)&gt;1,COUNTA(F284:G284)&gt;1,O284="Completed"),(G284-C284)/(C284-#REF!+1)%,"")</f>
        <v/>
      </c>
      <c r="L284" s="11" t="str">
        <f>IF(AND(COUNT(D284:E284)&gt;0,COUNTA(F284:G284)&gt;1,O284="Completed"),(G284-AG284)/(AG284-#REF!+1)%,"")</f>
        <v/>
      </c>
      <c r="M284" s="11" t="str">
        <f t="shared" si="38"/>
        <v/>
      </c>
      <c r="N284" s="11" t="str">
        <f t="shared" si="39"/>
        <v/>
      </c>
      <c r="O284" s="12"/>
      <c r="P284" s="12"/>
      <c r="R284" s="10" t="str">
        <f>IF(H284&lt;&gt;"",SUMIF(H$3:H284,"&lt;&gt;" &amp; "",H$3:H284),"")</f>
        <v/>
      </c>
      <c r="S284" s="10" t="str">
        <f t="array" ref="S284">IF(O284="Completed",SUMIF(W$3:W284,"&lt;&gt;" &amp; "",W$3:W284),"")</f>
        <v/>
      </c>
      <c r="T284" s="10" t="str">
        <f t="array" ref="T284">IF(AND(J284&lt;&gt;"",O284="Completed"),SUM(IF(O$3:O284="Completed",J$3:J284,0)),"")</f>
        <v/>
      </c>
      <c r="U284" s="10" t="str">
        <f t="shared" si="37"/>
        <v/>
      </c>
      <c r="V284" s="10">
        <f>ROW()</f>
        <v>284</v>
      </c>
      <c r="W284" s="10" t="str">
        <f t="shared" si="40"/>
        <v/>
      </c>
      <c r="Z284" s="10" t="str">
        <f>IF(A284&lt;&gt;"",'Metrics planning and tracking'!$K$4,"")</f>
        <v/>
      </c>
      <c r="AA284" s="10" t="str">
        <f>IF(A284&lt;&gt;"",'Metrics planning and tracking'!$K$5,"")</f>
        <v/>
      </c>
      <c r="AB284" s="10" t="str">
        <f>IF(A284&lt;&gt;"",'Metrics planning and tracking'!$K$2,"")</f>
        <v/>
      </c>
      <c r="AC284" s="10" t="str">
        <f>IF(A284&lt;&gt;"",'Metrics planning and tracking'!$K$3,"")</f>
        <v/>
      </c>
      <c r="AD284" s="10" t="str">
        <f>IF(A284&lt;&gt;"",IF(AND(#REF!&lt;&gt;"",#REF!&lt;&gt;"",#REF!&lt;&gt;0),#REF!/#REF!*100,"NA"),"")</f>
        <v/>
      </c>
      <c r="AE284" s="10" t="str">
        <f>IF(A284&lt;&gt;"",IF(AND(#REF!&lt;&gt;"",#REF!&lt;&gt;"",#REF!&lt;&gt;0),#REF!/#REF!*100,"NA"),"")</f>
        <v/>
      </c>
      <c r="AF284" s="57" t="str">
        <f t="shared" si="41"/>
        <v/>
      </c>
      <c r="AG284" s="57" t="str">
        <f t="shared" si="42"/>
        <v/>
      </c>
      <c r="AH284" s="58" t="str">
        <f t="shared" si="43"/>
        <v/>
      </c>
      <c r="AV284" s="22" t="str">
        <f>IF(A284&lt;&gt;"",A284 &amp; "-" &amp;#REF! &amp; ROW(),"")</f>
        <v/>
      </c>
    </row>
    <row r="285" spans="11:48" x14ac:dyDescent="0.2">
      <c r="K285" s="11" t="str">
        <f>IF(AND(COUNTA(B285:C285)&gt;1,COUNTA(F285:G285)&gt;1,O285="Completed"),(G285-C285)/(C285-#REF!+1)%,"")</f>
        <v/>
      </c>
      <c r="L285" s="11" t="str">
        <f>IF(AND(COUNT(D285:E285)&gt;0,COUNTA(F285:G285)&gt;1,O285="Completed"),(G285-AG285)/(AG285-#REF!+1)%,"")</f>
        <v/>
      </c>
      <c r="M285" s="11" t="str">
        <f t="shared" si="38"/>
        <v/>
      </c>
      <c r="N285" s="11" t="str">
        <f t="shared" si="39"/>
        <v/>
      </c>
      <c r="O285" s="12"/>
      <c r="P285" s="12"/>
      <c r="R285" s="10" t="str">
        <f>IF(H285&lt;&gt;"",SUMIF(H$3:H285,"&lt;&gt;" &amp; "",H$3:H285),"")</f>
        <v/>
      </c>
      <c r="S285" s="10" t="str">
        <f t="array" ref="S285">IF(O285="Completed",SUMIF(W$3:W285,"&lt;&gt;" &amp; "",W$3:W285),"")</f>
        <v/>
      </c>
      <c r="T285" s="10" t="str">
        <f t="array" ref="T285">IF(AND(J285&lt;&gt;"",O285="Completed"),SUM(IF(O$3:O285="Completed",J$3:J285,0)),"")</f>
        <v/>
      </c>
      <c r="U285" s="10" t="str">
        <f t="shared" si="37"/>
        <v/>
      </c>
      <c r="V285" s="10">
        <f>ROW()</f>
        <v>285</v>
      </c>
      <c r="W285" s="10" t="str">
        <f t="shared" si="40"/>
        <v/>
      </c>
      <c r="Z285" s="10" t="str">
        <f>IF(A285&lt;&gt;"",'Metrics planning and tracking'!$K$4,"")</f>
        <v/>
      </c>
      <c r="AA285" s="10" t="str">
        <f>IF(A285&lt;&gt;"",'Metrics planning and tracking'!$K$5,"")</f>
        <v/>
      </c>
      <c r="AB285" s="10" t="str">
        <f>IF(A285&lt;&gt;"",'Metrics planning and tracking'!$K$2,"")</f>
        <v/>
      </c>
      <c r="AC285" s="10" t="str">
        <f>IF(A285&lt;&gt;"",'Metrics planning and tracking'!$K$3,"")</f>
        <v/>
      </c>
      <c r="AD285" s="10" t="str">
        <f>IF(A285&lt;&gt;"",IF(AND(#REF!&lt;&gt;"",#REF!&lt;&gt;"",#REF!&lt;&gt;0),#REF!/#REF!*100,"NA"),"")</f>
        <v/>
      </c>
      <c r="AE285" s="10" t="str">
        <f>IF(A285&lt;&gt;"",IF(AND(#REF!&lt;&gt;"",#REF!&lt;&gt;"",#REF!&lt;&gt;0),#REF!/#REF!*100,"NA"),"")</f>
        <v/>
      </c>
      <c r="AF285" s="57" t="str">
        <f t="shared" si="41"/>
        <v/>
      </c>
      <c r="AG285" s="57" t="str">
        <f t="shared" si="42"/>
        <v/>
      </c>
      <c r="AH285" s="58" t="str">
        <f t="shared" si="43"/>
        <v/>
      </c>
      <c r="AV285" s="22" t="str">
        <f>IF(A285&lt;&gt;"",A285 &amp; "-" &amp;#REF! &amp; ROW(),"")</f>
        <v/>
      </c>
    </row>
    <row r="286" spans="11:48" x14ac:dyDescent="0.2">
      <c r="K286" s="11" t="str">
        <f>IF(AND(COUNTA(B286:C286)&gt;1,COUNTA(F286:G286)&gt;1,O286="Completed"),(G286-C286)/(C286-#REF!+1)%,"")</f>
        <v/>
      </c>
      <c r="L286" s="11" t="str">
        <f>IF(AND(COUNT(D286:E286)&gt;0,COUNTA(F286:G286)&gt;1,O286="Completed"),(G286-AG286)/(AG286-#REF!+1)%,"")</f>
        <v/>
      </c>
      <c r="M286" s="11" t="str">
        <f t="shared" si="38"/>
        <v/>
      </c>
      <c r="N286" s="11" t="str">
        <f t="shared" si="39"/>
        <v/>
      </c>
      <c r="O286" s="12"/>
      <c r="P286" s="12"/>
      <c r="R286" s="10" t="str">
        <f>IF(H286&lt;&gt;"",SUMIF(H$3:H286,"&lt;&gt;" &amp; "",H$3:H286),"")</f>
        <v/>
      </c>
      <c r="S286" s="10" t="str">
        <f t="array" ref="S286">IF(O286="Completed",SUMIF(W$3:W286,"&lt;&gt;" &amp; "",W$3:W286),"")</f>
        <v/>
      </c>
      <c r="T286" s="10" t="str">
        <f t="array" ref="T286">IF(AND(J286&lt;&gt;"",O286="Completed"),SUM(IF(O$3:O286="Completed",J$3:J286,0)),"")</f>
        <v/>
      </c>
      <c r="U286" s="10" t="str">
        <f t="shared" si="37"/>
        <v/>
      </c>
      <c r="V286" s="10">
        <f>ROW()</f>
        <v>286</v>
      </c>
      <c r="W286" s="10" t="str">
        <f t="shared" si="40"/>
        <v/>
      </c>
      <c r="Z286" s="10" t="str">
        <f>IF(A286&lt;&gt;"",'Metrics planning and tracking'!$K$4,"")</f>
        <v/>
      </c>
      <c r="AA286" s="10" t="str">
        <f>IF(A286&lt;&gt;"",'Metrics planning and tracking'!$K$5,"")</f>
        <v/>
      </c>
      <c r="AB286" s="10" t="str">
        <f>IF(A286&lt;&gt;"",'Metrics planning and tracking'!$K$2,"")</f>
        <v/>
      </c>
      <c r="AC286" s="10" t="str">
        <f>IF(A286&lt;&gt;"",'Metrics planning and tracking'!$K$3,"")</f>
        <v/>
      </c>
      <c r="AD286" s="10" t="str">
        <f>IF(A286&lt;&gt;"",IF(AND(#REF!&lt;&gt;"",#REF!&lt;&gt;"",#REF!&lt;&gt;0),#REF!/#REF!*100,"NA"),"")</f>
        <v/>
      </c>
      <c r="AE286" s="10" t="str">
        <f>IF(A286&lt;&gt;"",IF(AND(#REF!&lt;&gt;"",#REF!&lt;&gt;"",#REF!&lt;&gt;0),#REF!/#REF!*100,"NA"),"")</f>
        <v/>
      </c>
      <c r="AF286" s="57" t="str">
        <f t="shared" si="41"/>
        <v/>
      </c>
      <c r="AG286" s="57" t="str">
        <f t="shared" si="42"/>
        <v/>
      </c>
      <c r="AH286" s="58" t="str">
        <f t="shared" si="43"/>
        <v/>
      </c>
      <c r="AV286" s="22" t="str">
        <f>IF(A286&lt;&gt;"",A286 &amp; "-" &amp;#REF! &amp; ROW(),"")</f>
        <v/>
      </c>
    </row>
    <row r="287" spans="11:48" x14ac:dyDescent="0.2">
      <c r="K287" s="11" t="str">
        <f>IF(AND(COUNTA(B287:C287)&gt;1,COUNTA(F287:G287)&gt;1,O287="Completed"),(G287-C287)/(C287-#REF!+1)%,"")</f>
        <v/>
      </c>
      <c r="L287" s="11" t="str">
        <f>IF(AND(COUNT(D287:E287)&gt;0,COUNTA(F287:G287)&gt;1,O287="Completed"),(G287-AG287)/(AG287-#REF!+1)%,"")</f>
        <v/>
      </c>
      <c r="M287" s="11" t="str">
        <f t="shared" si="38"/>
        <v/>
      </c>
      <c r="N287" s="11" t="str">
        <f t="shared" si="39"/>
        <v/>
      </c>
      <c r="O287" s="12"/>
      <c r="P287" s="12"/>
      <c r="R287" s="10" t="str">
        <f>IF(H287&lt;&gt;"",SUMIF(H$3:H287,"&lt;&gt;" &amp; "",H$3:H287),"")</f>
        <v/>
      </c>
      <c r="S287" s="10" t="str">
        <f t="array" ref="S287">IF(O287="Completed",SUMIF(W$3:W287,"&lt;&gt;" &amp; "",W$3:W287),"")</f>
        <v/>
      </c>
      <c r="T287" s="10" t="str">
        <f t="array" ref="T287">IF(AND(J287&lt;&gt;"",O287="Completed"),SUM(IF(O$3:O287="Completed",J$3:J287,0)),"")</f>
        <v/>
      </c>
      <c r="U287" s="10" t="str">
        <f t="shared" si="37"/>
        <v/>
      </c>
      <c r="V287" s="10">
        <f>ROW()</f>
        <v>287</v>
      </c>
      <c r="W287" s="10" t="str">
        <f t="shared" si="40"/>
        <v/>
      </c>
      <c r="Z287" s="10" t="str">
        <f>IF(A287&lt;&gt;"",'Metrics planning and tracking'!$K$4,"")</f>
        <v/>
      </c>
      <c r="AA287" s="10" t="str">
        <f>IF(A287&lt;&gt;"",'Metrics planning and tracking'!$K$5,"")</f>
        <v/>
      </c>
      <c r="AB287" s="10" t="str">
        <f>IF(A287&lt;&gt;"",'Metrics planning and tracking'!$K$2,"")</f>
        <v/>
      </c>
      <c r="AC287" s="10" t="str">
        <f>IF(A287&lt;&gt;"",'Metrics planning and tracking'!$K$3,"")</f>
        <v/>
      </c>
      <c r="AD287" s="10" t="str">
        <f>IF(A287&lt;&gt;"",IF(AND(#REF!&lt;&gt;"",#REF!&lt;&gt;"",#REF!&lt;&gt;0),#REF!/#REF!*100,"NA"),"")</f>
        <v/>
      </c>
      <c r="AE287" s="10" t="str">
        <f>IF(A287&lt;&gt;"",IF(AND(#REF!&lt;&gt;"",#REF!&lt;&gt;"",#REF!&lt;&gt;0),#REF!/#REF!*100,"NA"),"")</f>
        <v/>
      </c>
      <c r="AF287" s="57" t="str">
        <f t="shared" si="41"/>
        <v/>
      </c>
      <c r="AG287" s="57" t="str">
        <f t="shared" si="42"/>
        <v/>
      </c>
      <c r="AH287" s="58" t="str">
        <f t="shared" si="43"/>
        <v/>
      </c>
      <c r="AV287" s="22" t="str">
        <f>IF(A287&lt;&gt;"",A287 &amp; "-" &amp;#REF! &amp; ROW(),"")</f>
        <v/>
      </c>
    </row>
    <row r="288" spans="11:48" x14ac:dyDescent="0.2">
      <c r="K288" s="11" t="str">
        <f>IF(AND(COUNTA(B288:C288)&gt;1,COUNTA(F288:G288)&gt;1,O288="Completed"),(G288-C288)/(C288-#REF!+1)%,"")</f>
        <v/>
      </c>
      <c r="L288" s="11" t="str">
        <f>IF(AND(COUNT(D288:E288)&gt;0,COUNTA(F288:G288)&gt;1,O288="Completed"),(G288-AG288)/(AG288-#REF!+1)%,"")</f>
        <v/>
      </c>
      <c r="M288" s="11" t="str">
        <f t="shared" si="38"/>
        <v/>
      </c>
      <c r="N288" s="11" t="str">
        <f t="shared" si="39"/>
        <v/>
      </c>
      <c r="O288" s="12"/>
      <c r="P288" s="12"/>
      <c r="R288" s="10" t="str">
        <f>IF(H288&lt;&gt;"",SUMIF(H$3:H288,"&lt;&gt;" &amp; "",H$3:H288),"")</f>
        <v/>
      </c>
      <c r="S288" s="10" t="str">
        <f t="array" ref="S288">IF(O288="Completed",SUMIF(W$3:W288,"&lt;&gt;" &amp; "",W$3:W288),"")</f>
        <v/>
      </c>
      <c r="T288" s="10" t="str">
        <f t="array" ref="T288">IF(AND(J288&lt;&gt;"",O288="Completed"),SUM(IF(O$3:O288="Completed",J$3:J288,0)),"")</f>
        <v/>
      </c>
      <c r="U288" s="10" t="str">
        <f t="shared" si="37"/>
        <v/>
      </c>
      <c r="V288" s="10">
        <f>ROW()</f>
        <v>288</v>
      </c>
      <c r="W288" s="10" t="str">
        <f t="shared" si="40"/>
        <v/>
      </c>
      <c r="Z288" s="10" t="str">
        <f>IF(A288&lt;&gt;"",'Metrics planning and tracking'!$K$4,"")</f>
        <v/>
      </c>
      <c r="AA288" s="10" t="str">
        <f>IF(A288&lt;&gt;"",'Metrics planning and tracking'!$K$5,"")</f>
        <v/>
      </c>
      <c r="AB288" s="10" t="str">
        <f>IF(A288&lt;&gt;"",'Metrics planning and tracking'!$K$2,"")</f>
        <v/>
      </c>
      <c r="AC288" s="10" t="str">
        <f>IF(A288&lt;&gt;"",'Metrics planning and tracking'!$K$3,"")</f>
        <v/>
      </c>
      <c r="AD288" s="10" t="str">
        <f>IF(A288&lt;&gt;"",IF(AND(#REF!&lt;&gt;"",#REF!&lt;&gt;"",#REF!&lt;&gt;0),#REF!/#REF!*100,"NA"),"")</f>
        <v/>
      </c>
      <c r="AE288" s="10" t="str">
        <f>IF(A288&lt;&gt;"",IF(AND(#REF!&lt;&gt;"",#REF!&lt;&gt;"",#REF!&lt;&gt;0),#REF!/#REF!*100,"NA"),"")</f>
        <v/>
      </c>
      <c r="AF288" s="57" t="str">
        <f t="shared" si="41"/>
        <v/>
      </c>
      <c r="AG288" s="57" t="str">
        <f t="shared" si="42"/>
        <v/>
      </c>
      <c r="AH288" s="58" t="str">
        <f t="shared" si="43"/>
        <v/>
      </c>
      <c r="AV288" s="22" t="str">
        <f>IF(A288&lt;&gt;"",A288 &amp; "-" &amp;#REF! &amp; ROW(),"")</f>
        <v/>
      </c>
    </row>
    <row r="289" spans="11:48" x14ac:dyDescent="0.2">
      <c r="K289" s="11" t="str">
        <f>IF(AND(COUNTA(B289:C289)&gt;1,COUNTA(F289:G289)&gt;1,O289="Completed"),(G289-C289)/(C289-#REF!+1)%,"")</f>
        <v/>
      </c>
      <c r="L289" s="11" t="str">
        <f>IF(AND(COUNT(D289:E289)&gt;0,COUNTA(F289:G289)&gt;1,O289="Completed"),(G289-AG289)/(AG289-#REF!+1)%,"")</f>
        <v/>
      </c>
      <c r="M289" s="11" t="str">
        <f t="shared" si="38"/>
        <v/>
      </c>
      <c r="N289" s="11" t="str">
        <f t="shared" si="39"/>
        <v/>
      </c>
      <c r="O289" s="12"/>
      <c r="P289" s="12"/>
      <c r="R289" s="10" t="str">
        <f>IF(H289&lt;&gt;"",SUMIF(H$3:H289,"&lt;&gt;" &amp; "",H$3:H289),"")</f>
        <v/>
      </c>
      <c r="S289" s="10" t="str">
        <f t="array" ref="S289">IF(O289="Completed",SUMIF(W$3:W289,"&lt;&gt;" &amp; "",W$3:W289),"")</f>
        <v/>
      </c>
      <c r="T289" s="10" t="str">
        <f t="array" ref="T289">IF(AND(J289&lt;&gt;"",O289="Completed"),SUM(IF(O$3:O289="Completed",J$3:J289,0)),"")</f>
        <v/>
      </c>
      <c r="U289" s="10" t="str">
        <f t="shared" si="37"/>
        <v/>
      </c>
      <c r="V289" s="10">
        <f>ROW()</f>
        <v>289</v>
      </c>
      <c r="W289" s="10" t="str">
        <f t="shared" si="40"/>
        <v/>
      </c>
      <c r="Z289" s="10" t="str">
        <f>IF(A289&lt;&gt;"",'Metrics planning and tracking'!$K$4,"")</f>
        <v/>
      </c>
      <c r="AA289" s="10" t="str">
        <f>IF(A289&lt;&gt;"",'Metrics planning and tracking'!$K$5,"")</f>
        <v/>
      </c>
      <c r="AB289" s="10" t="str">
        <f>IF(A289&lt;&gt;"",'Metrics planning and tracking'!$K$2,"")</f>
        <v/>
      </c>
      <c r="AC289" s="10" t="str">
        <f>IF(A289&lt;&gt;"",'Metrics planning and tracking'!$K$3,"")</f>
        <v/>
      </c>
      <c r="AD289" s="10" t="str">
        <f>IF(A289&lt;&gt;"",IF(AND(#REF!&lt;&gt;"",#REF!&lt;&gt;"",#REF!&lt;&gt;0),#REF!/#REF!*100,"NA"),"")</f>
        <v/>
      </c>
      <c r="AE289" s="10" t="str">
        <f>IF(A289&lt;&gt;"",IF(AND(#REF!&lt;&gt;"",#REF!&lt;&gt;"",#REF!&lt;&gt;0),#REF!/#REF!*100,"NA"),"")</f>
        <v/>
      </c>
      <c r="AF289" s="57" t="str">
        <f t="shared" si="41"/>
        <v/>
      </c>
      <c r="AG289" s="57" t="str">
        <f t="shared" si="42"/>
        <v/>
      </c>
      <c r="AH289" s="58" t="str">
        <f t="shared" si="43"/>
        <v/>
      </c>
      <c r="AV289" s="22" t="str">
        <f>IF(A289&lt;&gt;"",A289 &amp; "-" &amp;#REF! &amp; ROW(),"")</f>
        <v/>
      </c>
    </row>
    <row r="290" spans="11:48" x14ac:dyDescent="0.2">
      <c r="K290" s="11" t="str">
        <f>IF(AND(COUNTA(B290:C290)&gt;1,COUNTA(F290:G290)&gt;1,O290="Completed"),(G290-C290)/(C290-#REF!+1)%,"")</f>
        <v/>
      </c>
      <c r="L290" s="11" t="str">
        <f>IF(AND(COUNT(D290:E290)&gt;0,COUNTA(F290:G290)&gt;1,O290="Completed"),(G290-AG290)/(AG290-#REF!+1)%,"")</f>
        <v/>
      </c>
      <c r="M290" s="11" t="str">
        <f t="shared" si="38"/>
        <v/>
      </c>
      <c r="N290" s="11" t="str">
        <f t="shared" si="39"/>
        <v/>
      </c>
      <c r="O290" s="12"/>
      <c r="P290" s="12"/>
      <c r="R290" s="10" t="str">
        <f>IF(H290&lt;&gt;"",SUMIF(H$3:H290,"&lt;&gt;" &amp; "",H$3:H290),"")</f>
        <v/>
      </c>
      <c r="S290" s="10" t="str">
        <f t="array" ref="S290">IF(O290="Completed",SUMIF(W$3:W290,"&lt;&gt;" &amp; "",W$3:W290),"")</f>
        <v/>
      </c>
      <c r="T290" s="10" t="str">
        <f t="array" ref="T290">IF(AND(J290&lt;&gt;"",O290="Completed"),SUM(IF(O$3:O290="Completed",J$3:J290,0)),"")</f>
        <v/>
      </c>
      <c r="U290" s="10" t="str">
        <f t="shared" si="37"/>
        <v/>
      </c>
      <c r="V290" s="10">
        <f>ROW()</f>
        <v>290</v>
      </c>
      <c r="W290" s="10" t="str">
        <f t="shared" si="40"/>
        <v/>
      </c>
      <c r="Z290" s="10" t="str">
        <f>IF(A290&lt;&gt;"",'Metrics planning and tracking'!$K$4,"")</f>
        <v/>
      </c>
      <c r="AA290" s="10" t="str">
        <f>IF(A290&lt;&gt;"",'Metrics planning and tracking'!$K$5,"")</f>
        <v/>
      </c>
      <c r="AB290" s="10" t="str">
        <f>IF(A290&lt;&gt;"",'Metrics planning and tracking'!$K$2,"")</f>
        <v/>
      </c>
      <c r="AC290" s="10" t="str">
        <f>IF(A290&lt;&gt;"",'Metrics planning and tracking'!$K$3,"")</f>
        <v/>
      </c>
      <c r="AD290" s="10" t="str">
        <f>IF(A290&lt;&gt;"",IF(AND(#REF!&lt;&gt;"",#REF!&lt;&gt;"",#REF!&lt;&gt;0),#REF!/#REF!*100,"NA"),"")</f>
        <v/>
      </c>
      <c r="AE290" s="10" t="str">
        <f>IF(A290&lt;&gt;"",IF(AND(#REF!&lt;&gt;"",#REF!&lt;&gt;"",#REF!&lt;&gt;0),#REF!/#REF!*100,"NA"),"")</f>
        <v/>
      </c>
      <c r="AF290" s="57" t="str">
        <f t="shared" si="41"/>
        <v/>
      </c>
      <c r="AG290" s="57" t="str">
        <f t="shared" si="42"/>
        <v/>
      </c>
      <c r="AH290" s="58" t="str">
        <f t="shared" si="43"/>
        <v/>
      </c>
      <c r="AV290" s="22" t="str">
        <f>IF(A290&lt;&gt;"",A290 &amp; "-" &amp;#REF! &amp; ROW(),"")</f>
        <v/>
      </c>
    </row>
    <row r="291" spans="11:48" x14ac:dyDescent="0.2">
      <c r="K291" s="11" t="str">
        <f>IF(AND(COUNTA(B291:C291)&gt;1,COUNTA(F291:G291)&gt;1,O291="Completed"),(G291-C291)/(C291-#REF!+1)%,"")</f>
        <v/>
      </c>
      <c r="L291" s="11" t="str">
        <f>IF(AND(COUNT(D291:E291)&gt;0,COUNTA(F291:G291)&gt;1,O291="Completed"),(G291-AG291)/(AG291-#REF!+1)%,"")</f>
        <v/>
      </c>
      <c r="M291" s="11" t="str">
        <f t="shared" si="38"/>
        <v/>
      </c>
      <c r="N291" s="11" t="str">
        <f t="shared" si="39"/>
        <v/>
      </c>
      <c r="O291" s="12"/>
      <c r="P291" s="12"/>
      <c r="R291" s="10" t="str">
        <f>IF(H291&lt;&gt;"",SUMIF(H$3:H291,"&lt;&gt;" &amp; "",H$3:H291),"")</f>
        <v/>
      </c>
      <c r="S291" s="10" t="str">
        <f t="array" ref="S291">IF(O291="Completed",SUMIF(W$3:W291,"&lt;&gt;" &amp; "",W$3:W291),"")</f>
        <v/>
      </c>
      <c r="T291" s="10" t="str">
        <f t="array" ref="T291">IF(AND(J291&lt;&gt;"",O291="Completed"),SUM(IF(O$3:O291="Completed",J$3:J291,0)),"")</f>
        <v/>
      </c>
      <c r="U291" s="10" t="str">
        <f t="shared" si="37"/>
        <v/>
      </c>
      <c r="V291" s="10">
        <f>ROW()</f>
        <v>291</v>
      </c>
      <c r="W291" s="10" t="str">
        <f t="shared" si="40"/>
        <v/>
      </c>
      <c r="Z291" s="10" t="str">
        <f>IF(A291&lt;&gt;"",'Metrics planning and tracking'!$K$4,"")</f>
        <v/>
      </c>
      <c r="AA291" s="10" t="str">
        <f>IF(A291&lt;&gt;"",'Metrics planning and tracking'!$K$5,"")</f>
        <v/>
      </c>
      <c r="AB291" s="10" t="str">
        <f>IF(A291&lt;&gt;"",'Metrics planning and tracking'!$K$2,"")</f>
        <v/>
      </c>
      <c r="AC291" s="10" t="str">
        <f>IF(A291&lt;&gt;"",'Metrics planning and tracking'!$K$3,"")</f>
        <v/>
      </c>
      <c r="AD291" s="10" t="str">
        <f>IF(A291&lt;&gt;"",IF(AND(#REF!&lt;&gt;"",#REF!&lt;&gt;"",#REF!&lt;&gt;0),#REF!/#REF!*100,"NA"),"")</f>
        <v/>
      </c>
      <c r="AE291" s="10" t="str">
        <f>IF(A291&lt;&gt;"",IF(AND(#REF!&lt;&gt;"",#REF!&lt;&gt;"",#REF!&lt;&gt;0),#REF!/#REF!*100,"NA"),"")</f>
        <v/>
      </c>
      <c r="AF291" s="57" t="str">
        <f t="shared" si="41"/>
        <v/>
      </c>
      <c r="AG291" s="57" t="str">
        <f t="shared" si="42"/>
        <v/>
      </c>
      <c r="AH291" s="58" t="str">
        <f t="shared" si="43"/>
        <v/>
      </c>
      <c r="AV291" s="22" t="str">
        <f>IF(A291&lt;&gt;"",A291 &amp; "-" &amp;#REF! &amp; ROW(),"")</f>
        <v/>
      </c>
    </row>
    <row r="292" spans="11:48" x14ac:dyDescent="0.2">
      <c r="K292" s="11" t="str">
        <f>IF(AND(COUNTA(B292:C292)&gt;1,COUNTA(F292:G292)&gt;1,O292="Completed"),(G292-C292)/(C292-#REF!+1)%,"")</f>
        <v/>
      </c>
      <c r="L292" s="11" t="str">
        <f>IF(AND(COUNT(D292:E292)&gt;0,COUNTA(F292:G292)&gt;1,O292="Completed"),(G292-AG292)/(AG292-#REF!+1)%,"")</f>
        <v/>
      </c>
      <c r="M292" s="11" t="str">
        <f t="shared" si="38"/>
        <v/>
      </c>
      <c r="N292" s="11" t="str">
        <f t="shared" si="39"/>
        <v/>
      </c>
      <c r="O292" s="12"/>
      <c r="P292" s="12"/>
      <c r="R292" s="10" t="str">
        <f>IF(H292&lt;&gt;"",SUMIF(H$3:H292,"&lt;&gt;" &amp; "",H$3:H292),"")</f>
        <v/>
      </c>
      <c r="S292" s="10" t="str">
        <f t="array" ref="S292">IF(O292="Completed",SUMIF(W$3:W292,"&lt;&gt;" &amp; "",W$3:W292),"")</f>
        <v/>
      </c>
      <c r="T292" s="10" t="str">
        <f t="array" ref="T292">IF(AND(J292&lt;&gt;"",O292="Completed"),SUM(IF(O$3:O292="Completed",J$3:J292,0)),"")</f>
        <v/>
      </c>
      <c r="U292" s="10" t="str">
        <f t="shared" si="37"/>
        <v/>
      </c>
      <c r="V292" s="10">
        <f>ROW()</f>
        <v>292</v>
      </c>
      <c r="W292" s="10" t="str">
        <f t="shared" si="40"/>
        <v/>
      </c>
      <c r="Z292" s="10" t="str">
        <f>IF(A292&lt;&gt;"",'Metrics planning and tracking'!$K$4,"")</f>
        <v/>
      </c>
      <c r="AA292" s="10" t="str">
        <f>IF(A292&lt;&gt;"",'Metrics planning and tracking'!$K$5,"")</f>
        <v/>
      </c>
      <c r="AB292" s="10" t="str">
        <f>IF(A292&lt;&gt;"",'Metrics planning and tracking'!$K$2,"")</f>
        <v/>
      </c>
      <c r="AC292" s="10" t="str">
        <f>IF(A292&lt;&gt;"",'Metrics planning and tracking'!$K$3,"")</f>
        <v/>
      </c>
      <c r="AD292" s="10" t="str">
        <f>IF(A292&lt;&gt;"",IF(AND(#REF!&lt;&gt;"",#REF!&lt;&gt;"",#REF!&lt;&gt;0),#REF!/#REF!*100,"NA"),"")</f>
        <v/>
      </c>
      <c r="AE292" s="10" t="str">
        <f>IF(A292&lt;&gt;"",IF(AND(#REF!&lt;&gt;"",#REF!&lt;&gt;"",#REF!&lt;&gt;0),#REF!/#REF!*100,"NA"),"")</f>
        <v/>
      </c>
      <c r="AF292" s="57" t="str">
        <f t="shared" si="41"/>
        <v/>
      </c>
      <c r="AG292" s="57" t="str">
        <f t="shared" si="42"/>
        <v/>
      </c>
      <c r="AH292" s="58" t="str">
        <f t="shared" si="43"/>
        <v/>
      </c>
      <c r="AV292" s="22" t="str">
        <f>IF(A292&lt;&gt;"",A292 &amp; "-" &amp;#REF! &amp; ROW(),"")</f>
        <v/>
      </c>
    </row>
    <row r="293" spans="11:48" x14ac:dyDescent="0.2">
      <c r="K293" s="11" t="str">
        <f>IF(AND(COUNTA(B293:C293)&gt;1,COUNTA(F293:G293)&gt;1,O293="Completed"),(G293-C293)/(C293-#REF!+1)%,"")</f>
        <v/>
      </c>
      <c r="L293" s="11" t="str">
        <f>IF(AND(COUNT(D293:E293)&gt;0,COUNTA(F293:G293)&gt;1,O293="Completed"),(G293-AG293)/(AG293-#REF!+1)%,"")</f>
        <v/>
      </c>
      <c r="M293" s="11" t="str">
        <f t="shared" si="38"/>
        <v/>
      </c>
      <c r="N293" s="11" t="str">
        <f t="shared" si="39"/>
        <v/>
      </c>
      <c r="O293" s="12"/>
      <c r="P293" s="12"/>
      <c r="R293" s="10" t="str">
        <f>IF(H293&lt;&gt;"",SUMIF(H$3:H293,"&lt;&gt;" &amp; "",H$3:H293),"")</f>
        <v/>
      </c>
      <c r="S293" s="10" t="str">
        <f t="array" ref="S293">IF(O293="Completed",SUMIF(W$3:W293,"&lt;&gt;" &amp; "",W$3:W293),"")</f>
        <v/>
      </c>
      <c r="T293" s="10" t="str">
        <f t="array" ref="T293">IF(AND(J293&lt;&gt;"",O293="Completed"),SUM(IF(O$3:O293="Completed",J$3:J293,0)),"")</f>
        <v/>
      </c>
      <c r="U293" s="10" t="str">
        <f t="shared" si="37"/>
        <v/>
      </c>
      <c r="V293" s="10">
        <f>ROW()</f>
        <v>293</v>
      </c>
      <c r="W293" s="10" t="str">
        <f t="shared" si="40"/>
        <v/>
      </c>
      <c r="Z293" s="10" t="str">
        <f>IF(A293&lt;&gt;"",'Metrics planning and tracking'!$K$4,"")</f>
        <v/>
      </c>
      <c r="AA293" s="10" t="str">
        <f>IF(A293&lt;&gt;"",'Metrics planning and tracking'!$K$5,"")</f>
        <v/>
      </c>
      <c r="AB293" s="10" t="str">
        <f>IF(A293&lt;&gt;"",'Metrics planning and tracking'!$K$2,"")</f>
        <v/>
      </c>
      <c r="AC293" s="10" t="str">
        <f>IF(A293&lt;&gt;"",'Metrics planning and tracking'!$K$3,"")</f>
        <v/>
      </c>
      <c r="AD293" s="10" t="str">
        <f>IF(A293&lt;&gt;"",IF(AND(#REF!&lt;&gt;"",#REF!&lt;&gt;"",#REF!&lt;&gt;0),#REF!/#REF!*100,"NA"),"")</f>
        <v/>
      </c>
      <c r="AE293" s="10" t="str">
        <f>IF(A293&lt;&gt;"",IF(AND(#REF!&lt;&gt;"",#REF!&lt;&gt;"",#REF!&lt;&gt;0),#REF!/#REF!*100,"NA"),"")</f>
        <v/>
      </c>
      <c r="AF293" s="57" t="str">
        <f t="shared" si="41"/>
        <v/>
      </c>
      <c r="AG293" s="57" t="str">
        <f t="shared" si="42"/>
        <v/>
      </c>
      <c r="AH293" s="58" t="str">
        <f t="shared" si="43"/>
        <v/>
      </c>
      <c r="AV293" s="22" t="str">
        <f>IF(A293&lt;&gt;"",A293 &amp; "-" &amp;#REF! &amp; ROW(),"")</f>
        <v/>
      </c>
    </row>
    <row r="294" spans="11:48" x14ac:dyDescent="0.2">
      <c r="K294" s="11" t="str">
        <f>IF(AND(COUNTA(B294:C294)&gt;1,COUNTA(F294:G294)&gt;1,O294="Completed"),(G294-C294)/(C294-#REF!+1)%,"")</f>
        <v/>
      </c>
      <c r="L294" s="11" t="str">
        <f>IF(AND(COUNT(D294:E294)&gt;0,COUNTA(F294:G294)&gt;1,O294="Completed"),(G294-AG294)/(AG294-#REF!+1)%,"")</f>
        <v/>
      </c>
      <c r="M294" s="11" t="str">
        <f t="shared" si="38"/>
        <v/>
      </c>
      <c r="N294" s="11" t="str">
        <f t="shared" si="39"/>
        <v/>
      </c>
      <c r="O294" s="12"/>
      <c r="P294" s="12"/>
      <c r="R294" s="10" t="str">
        <f>IF(H294&lt;&gt;"",SUMIF(H$3:H294,"&lt;&gt;" &amp; "",H$3:H294),"")</f>
        <v/>
      </c>
      <c r="S294" s="10" t="str">
        <f t="array" ref="S294">IF(O294="Completed",SUMIF(W$3:W294,"&lt;&gt;" &amp; "",W$3:W294),"")</f>
        <v/>
      </c>
      <c r="T294" s="10" t="str">
        <f t="array" ref="T294">IF(AND(J294&lt;&gt;"",O294="Completed"),SUM(IF(O$3:O294="Completed",J$3:J294,0)),"")</f>
        <v/>
      </c>
      <c r="U294" s="10" t="str">
        <f t="shared" si="37"/>
        <v/>
      </c>
      <c r="V294" s="10">
        <f>ROW()</f>
        <v>294</v>
      </c>
      <c r="W294" s="10" t="str">
        <f t="shared" si="40"/>
        <v/>
      </c>
      <c r="Z294" s="10" t="str">
        <f>IF(A294&lt;&gt;"",'Metrics planning and tracking'!$K$4,"")</f>
        <v/>
      </c>
      <c r="AA294" s="10" t="str">
        <f>IF(A294&lt;&gt;"",'Metrics planning and tracking'!$K$5,"")</f>
        <v/>
      </c>
      <c r="AB294" s="10" t="str">
        <f>IF(A294&lt;&gt;"",'Metrics planning and tracking'!$K$2,"")</f>
        <v/>
      </c>
      <c r="AC294" s="10" t="str">
        <f>IF(A294&lt;&gt;"",'Metrics planning and tracking'!$K$3,"")</f>
        <v/>
      </c>
      <c r="AD294" s="10" t="str">
        <f>IF(A294&lt;&gt;"",IF(AND(#REF!&lt;&gt;"",#REF!&lt;&gt;"",#REF!&lt;&gt;0),#REF!/#REF!*100,"NA"),"")</f>
        <v/>
      </c>
      <c r="AE294" s="10" t="str">
        <f>IF(A294&lt;&gt;"",IF(AND(#REF!&lt;&gt;"",#REF!&lt;&gt;"",#REF!&lt;&gt;0),#REF!/#REF!*100,"NA"),"")</f>
        <v/>
      </c>
      <c r="AF294" s="57" t="str">
        <f t="shared" si="41"/>
        <v/>
      </c>
      <c r="AG294" s="57" t="str">
        <f t="shared" si="42"/>
        <v/>
      </c>
      <c r="AH294" s="58" t="str">
        <f t="shared" si="43"/>
        <v/>
      </c>
      <c r="AV294" s="22" t="str">
        <f>IF(A294&lt;&gt;"",A294 &amp; "-" &amp;#REF! &amp; ROW(),"")</f>
        <v/>
      </c>
    </row>
    <row r="295" spans="11:48" x14ac:dyDescent="0.2">
      <c r="K295" s="11" t="str">
        <f>IF(AND(COUNTA(B295:C295)&gt;1,COUNTA(F295:G295)&gt;1,O295="Completed"),(G295-C295)/(C295-#REF!+1)%,"")</f>
        <v/>
      </c>
      <c r="L295" s="11" t="str">
        <f>IF(AND(COUNT(D295:E295)&gt;0,COUNTA(F295:G295)&gt;1,O295="Completed"),(G295-AG295)/(AG295-#REF!+1)%,"")</f>
        <v/>
      </c>
      <c r="M295" s="11" t="str">
        <f t="shared" si="38"/>
        <v/>
      </c>
      <c r="N295" s="11" t="str">
        <f t="shared" si="39"/>
        <v/>
      </c>
      <c r="O295" s="12"/>
      <c r="P295" s="12"/>
      <c r="R295" s="10" t="str">
        <f>IF(H295&lt;&gt;"",SUMIF(H$3:H295,"&lt;&gt;" &amp; "",H$3:H295),"")</f>
        <v/>
      </c>
      <c r="S295" s="10" t="str">
        <f t="array" ref="S295">IF(O295="Completed",SUMIF(W$3:W295,"&lt;&gt;" &amp; "",W$3:W295),"")</f>
        <v/>
      </c>
      <c r="T295" s="10" t="str">
        <f t="array" ref="T295">IF(AND(J295&lt;&gt;"",O295="Completed"),SUM(IF(O$3:O295="Completed",J$3:J295,0)),"")</f>
        <v/>
      </c>
      <c r="U295" s="10" t="str">
        <f t="shared" si="37"/>
        <v/>
      </c>
      <c r="V295" s="10">
        <f>ROW()</f>
        <v>295</v>
      </c>
      <c r="W295" s="10" t="str">
        <f t="shared" si="40"/>
        <v/>
      </c>
      <c r="Z295" s="10" t="str">
        <f>IF(A295&lt;&gt;"",'Metrics planning and tracking'!$K$4,"")</f>
        <v/>
      </c>
      <c r="AA295" s="10" t="str">
        <f>IF(A295&lt;&gt;"",'Metrics planning and tracking'!$K$5,"")</f>
        <v/>
      </c>
      <c r="AB295" s="10" t="str">
        <f>IF(A295&lt;&gt;"",'Metrics planning and tracking'!$K$2,"")</f>
        <v/>
      </c>
      <c r="AC295" s="10" t="str">
        <f>IF(A295&lt;&gt;"",'Metrics planning and tracking'!$K$3,"")</f>
        <v/>
      </c>
      <c r="AD295" s="10" t="str">
        <f>IF(A295&lt;&gt;"",IF(AND(#REF!&lt;&gt;"",#REF!&lt;&gt;"",#REF!&lt;&gt;0),#REF!/#REF!*100,"NA"),"")</f>
        <v/>
      </c>
      <c r="AE295" s="10" t="str">
        <f>IF(A295&lt;&gt;"",IF(AND(#REF!&lt;&gt;"",#REF!&lt;&gt;"",#REF!&lt;&gt;0),#REF!/#REF!*100,"NA"),"")</f>
        <v/>
      </c>
      <c r="AF295" s="57" t="str">
        <f t="shared" si="41"/>
        <v/>
      </c>
      <c r="AG295" s="57" t="str">
        <f t="shared" si="42"/>
        <v/>
      </c>
      <c r="AH295" s="58" t="str">
        <f t="shared" si="43"/>
        <v/>
      </c>
      <c r="AV295" s="22" t="str">
        <f>IF(A295&lt;&gt;"",A295 &amp; "-" &amp;#REF! &amp; ROW(),"")</f>
        <v/>
      </c>
    </row>
    <row r="296" spans="11:48" x14ac:dyDescent="0.2">
      <c r="K296" s="11" t="str">
        <f>IF(AND(COUNTA(B296:C296)&gt;1,COUNTA(F296:G296)&gt;1,O296="Completed"),(G296-C296)/(C296-#REF!+1)%,"")</f>
        <v/>
      </c>
      <c r="L296" s="11" t="str">
        <f>IF(AND(COUNT(D296:E296)&gt;0,COUNTA(F296:G296)&gt;1,O296="Completed"),(G296-AG296)/(AG296-#REF!+1)%,"")</f>
        <v/>
      </c>
      <c r="M296" s="11" t="str">
        <f t="shared" si="38"/>
        <v/>
      </c>
      <c r="N296" s="11" t="str">
        <f t="shared" si="39"/>
        <v/>
      </c>
      <c r="O296" s="12"/>
      <c r="P296" s="12"/>
      <c r="R296" s="10" t="str">
        <f>IF(H296&lt;&gt;"",SUMIF(H$3:H296,"&lt;&gt;" &amp; "",H$3:H296),"")</f>
        <v/>
      </c>
      <c r="S296" s="10" t="str">
        <f t="array" ref="S296">IF(O296="Completed",SUMIF(W$3:W296,"&lt;&gt;" &amp; "",W$3:W296),"")</f>
        <v/>
      </c>
      <c r="T296" s="10" t="str">
        <f t="array" ref="T296">IF(AND(J296&lt;&gt;"",O296="Completed"),SUM(IF(O$3:O296="Completed",J$3:J296,0)),"")</f>
        <v/>
      </c>
      <c r="U296" s="10" t="str">
        <f t="shared" si="37"/>
        <v/>
      </c>
      <c r="V296" s="10">
        <f>ROW()</f>
        <v>296</v>
      </c>
      <c r="W296" s="10" t="str">
        <f t="shared" si="40"/>
        <v/>
      </c>
      <c r="Z296" s="10" t="str">
        <f>IF(A296&lt;&gt;"",'Metrics planning and tracking'!$K$4,"")</f>
        <v/>
      </c>
      <c r="AA296" s="10" t="str">
        <f>IF(A296&lt;&gt;"",'Metrics planning and tracking'!$K$5,"")</f>
        <v/>
      </c>
      <c r="AB296" s="10" t="str">
        <f>IF(A296&lt;&gt;"",'Metrics planning and tracking'!$K$2,"")</f>
        <v/>
      </c>
      <c r="AC296" s="10" t="str">
        <f>IF(A296&lt;&gt;"",'Metrics planning and tracking'!$K$3,"")</f>
        <v/>
      </c>
      <c r="AD296" s="10" t="str">
        <f>IF(A296&lt;&gt;"",IF(AND(#REF!&lt;&gt;"",#REF!&lt;&gt;"",#REF!&lt;&gt;0),#REF!/#REF!*100,"NA"),"")</f>
        <v/>
      </c>
      <c r="AE296" s="10" t="str">
        <f>IF(A296&lt;&gt;"",IF(AND(#REF!&lt;&gt;"",#REF!&lt;&gt;"",#REF!&lt;&gt;0),#REF!/#REF!*100,"NA"),"")</f>
        <v/>
      </c>
      <c r="AF296" s="57" t="str">
        <f t="shared" si="41"/>
        <v/>
      </c>
      <c r="AG296" s="57" t="str">
        <f t="shared" si="42"/>
        <v/>
      </c>
      <c r="AH296" s="58" t="str">
        <f t="shared" si="43"/>
        <v/>
      </c>
      <c r="AV296" s="22" t="str">
        <f>IF(A296&lt;&gt;"",A296 &amp; "-" &amp;#REF! &amp; ROW(),"")</f>
        <v/>
      </c>
    </row>
    <row r="297" spans="11:48" x14ac:dyDescent="0.2">
      <c r="K297" s="11" t="str">
        <f>IF(AND(COUNTA(B297:C297)&gt;1,COUNTA(F297:G297)&gt;1,O297="Completed"),(G297-C297)/(C297-#REF!+1)%,"")</f>
        <v/>
      </c>
      <c r="L297" s="11" t="str">
        <f>IF(AND(COUNT(D297:E297)&gt;0,COUNTA(F297:G297)&gt;1,O297="Completed"),(G297-AG297)/(AG297-#REF!+1)%,"")</f>
        <v/>
      </c>
      <c r="M297" s="11" t="str">
        <f t="shared" si="38"/>
        <v/>
      </c>
      <c r="N297" s="11" t="str">
        <f t="shared" si="39"/>
        <v/>
      </c>
      <c r="O297" s="12"/>
      <c r="P297" s="12"/>
      <c r="R297" s="10" t="str">
        <f>IF(H297&lt;&gt;"",SUMIF(H$3:H297,"&lt;&gt;" &amp; "",H$3:H297),"")</f>
        <v/>
      </c>
      <c r="S297" s="10" t="str">
        <f t="array" ref="S297">IF(O297="Completed",SUMIF(W$3:W297,"&lt;&gt;" &amp; "",W$3:W297),"")</f>
        <v/>
      </c>
      <c r="T297" s="10" t="str">
        <f t="array" ref="T297">IF(AND(J297&lt;&gt;"",O297="Completed"),SUM(IF(O$3:O297="Completed",J$3:J297,0)),"")</f>
        <v/>
      </c>
      <c r="U297" s="10" t="str">
        <f t="shared" si="37"/>
        <v/>
      </c>
      <c r="V297" s="10">
        <f>ROW()</f>
        <v>297</v>
      </c>
      <c r="W297" s="10" t="str">
        <f t="shared" si="40"/>
        <v/>
      </c>
      <c r="Z297" s="10" t="str">
        <f>IF(A297&lt;&gt;"",'Metrics planning and tracking'!$K$4,"")</f>
        <v/>
      </c>
      <c r="AA297" s="10" t="str">
        <f>IF(A297&lt;&gt;"",'Metrics planning and tracking'!$K$5,"")</f>
        <v/>
      </c>
      <c r="AB297" s="10" t="str">
        <f>IF(A297&lt;&gt;"",'Metrics planning and tracking'!$K$2,"")</f>
        <v/>
      </c>
      <c r="AC297" s="10" t="str">
        <f>IF(A297&lt;&gt;"",'Metrics planning and tracking'!$K$3,"")</f>
        <v/>
      </c>
      <c r="AD297" s="10" t="str">
        <f>IF(A297&lt;&gt;"",IF(AND(#REF!&lt;&gt;"",#REF!&lt;&gt;"",#REF!&lt;&gt;0),#REF!/#REF!*100,"NA"),"")</f>
        <v/>
      </c>
      <c r="AE297" s="10" t="str">
        <f>IF(A297&lt;&gt;"",IF(AND(#REF!&lt;&gt;"",#REF!&lt;&gt;"",#REF!&lt;&gt;0),#REF!/#REF!*100,"NA"),"")</f>
        <v/>
      </c>
      <c r="AF297" s="57" t="str">
        <f t="shared" si="41"/>
        <v/>
      </c>
      <c r="AG297" s="57" t="str">
        <f t="shared" si="42"/>
        <v/>
      </c>
      <c r="AH297" s="58" t="str">
        <f t="shared" si="43"/>
        <v/>
      </c>
      <c r="AV297" s="22" t="str">
        <f>IF(A297&lt;&gt;"",A297 &amp; "-" &amp;#REF! &amp; ROW(),"")</f>
        <v/>
      </c>
    </row>
    <row r="298" spans="11:48" x14ac:dyDescent="0.2">
      <c r="K298" s="11" t="str">
        <f>IF(AND(COUNTA(B298:C298)&gt;1,COUNTA(F298:G298)&gt;1,O298="Completed"),(G298-C298)/(C298-#REF!+1)%,"")</f>
        <v/>
      </c>
      <c r="L298" s="11" t="str">
        <f>IF(AND(COUNT(D298:E298)&gt;0,COUNTA(F298:G298)&gt;1,O298="Completed"),(G298-AG298)/(AG298-#REF!+1)%,"")</f>
        <v/>
      </c>
      <c r="M298" s="11" t="str">
        <f t="shared" si="38"/>
        <v/>
      </c>
      <c r="N298" s="11" t="str">
        <f t="shared" si="39"/>
        <v/>
      </c>
      <c r="O298" s="12"/>
      <c r="P298" s="12"/>
      <c r="R298" s="10" t="str">
        <f>IF(H298&lt;&gt;"",SUMIF(H$3:H298,"&lt;&gt;" &amp; "",H$3:H298),"")</f>
        <v/>
      </c>
      <c r="S298" s="10" t="str">
        <f t="array" ref="S298">IF(O298="Completed",SUMIF(W$3:W298,"&lt;&gt;" &amp; "",W$3:W298),"")</f>
        <v/>
      </c>
      <c r="T298" s="10" t="str">
        <f t="array" ref="T298">IF(AND(J298&lt;&gt;"",O298="Completed"),SUM(IF(O$3:O298="Completed",J$3:J298,0)),"")</f>
        <v/>
      </c>
      <c r="U298" s="10" t="str">
        <f t="shared" si="37"/>
        <v/>
      </c>
      <c r="V298" s="10">
        <f>ROW()</f>
        <v>298</v>
      </c>
      <c r="W298" s="10" t="str">
        <f t="shared" si="40"/>
        <v/>
      </c>
      <c r="Z298" s="10" t="str">
        <f>IF(A298&lt;&gt;"",'Metrics planning and tracking'!$K$4,"")</f>
        <v/>
      </c>
      <c r="AA298" s="10" t="str">
        <f>IF(A298&lt;&gt;"",'Metrics planning and tracking'!$K$5,"")</f>
        <v/>
      </c>
      <c r="AB298" s="10" t="str">
        <f>IF(A298&lt;&gt;"",'Metrics planning and tracking'!$K$2,"")</f>
        <v/>
      </c>
      <c r="AC298" s="10" t="str">
        <f>IF(A298&lt;&gt;"",'Metrics planning and tracking'!$K$3,"")</f>
        <v/>
      </c>
      <c r="AD298" s="10" t="str">
        <f>IF(A298&lt;&gt;"",IF(AND(#REF!&lt;&gt;"",#REF!&lt;&gt;"",#REF!&lt;&gt;0),#REF!/#REF!*100,"NA"),"")</f>
        <v/>
      </c>
      <c r="AE298" s="10" t="str">
        <f>IF(A298&lt;&gt;"",IF(AND(#REF!&lt;&gt;"",#REF!&lt;&gt;"",#REF!&lt;&gt;0),#REF!/#REF!*100,"NA"),"")</f>
        <v/>
      </c>
      <c r="AF298" s="57" t="str">
        <f t="shared" si="41"/>
        <v/>
      </c>
      <c r="AG298" s="57" t="str">
        <f t="shared" si="42"/>
        <v/>
      </c>
      <c r="AH298" s="58" t="str">
        <f t="shared" si="43"/>
        <v/>
      </c>
      <c r="AV298" s="22" t="str">
        <f>IF(A298&lt;&gt;"",A298 &amp; "-" &amp;#REF! &amp; ROW(),"")</f>
        <v/>
      </c>
    </row>
    <row r="299" spans="11:48" x14ac:dyDescent="0.2">
      <c r="K299" s="11" t="str">
        <f>IF(AND(COUNTA(B299:C299)&gt;1,COUNTA(F299:G299)&gt;1,O299="Completed"),(G299-C299)/(C299-#REF!+1)%,"")</f>
        <v/>
      </c>
      <c r="L299" s="11" t="str">
        <f>IF(AND(COUNT(D299:E299)&gt;0,COUNTA(F299:G299)&gt;1,O299="Completed"),(G299-AG299)/(AG299-#REF!+1)%,"")</f>
        <v/>
      </c>
      <c r="M299" s="11" t="str">
        <f t="shared" si="38"/>
        <v/>
      </c>
      <c r="N299" s="11" t="str">
        <f t="shared" si="39"/>
        <v/>
      </c>
      <c r="O299" s="12"/>
      <c r="P299" s="12"/>
      <c r="R299" s="10" t="str">
        <f>IF(H299&lt;&gt;"",SUMIF(H$3:H299,"&lt;&gt;" &amp; "",H$3:H299),"")</f>
        <v/>
      </c>
      <c r="S299" s="10" t="str">
        <f t="array" ref="S299">IF(O299="Completed",SUMIF(W$3:W299,"&lt;&gt;" &amp; "",W$3:W299),"")</f>
        <v/>
      </c>
      <c r="T299" s="10" t="str">
        <f t="array" ref="T299">IF(AND(J299&lt;&gt;"",O299="Completed"),SUM(IF(O$3:O299="Completed",J$3:J299,0)),"")</f>
        <v/>
      </c>
      <c r="U299" s="10" t="str">
        <f t="shared" si="37"/>
        <v/>
      </c>
      <c r="V299" s="10">
        <f>ROW()</f>
        <v>299</v>
      </c>
      <c r="W299" s="10" t="str">
        <f t="shared" si="40"/>
        <v/>
      </c>
      <c r="Z299" s="10" t="str">
        <f>IF(A299&lt;&gt;"",'Metrics planning and tracking'!$K$4,"")</f>
        <v/>
      </c>
      <c r="AA299" s="10" t="str">
        <f>IF(A299&lt;&gt;"",'Metrics planning and tracking'!$K$5,"")</f>
        <v/>
      </c>
      <c r="AB299" s="10" t="str">
        <f>IF(A299&lt;&gt;"",'Metrics planning and tracking'!$K$2,"")</f>
        <v/>
      </c>
      <c r="AC299" s="10" t="str">
        <f>IF(A299&lt;&gt;"",'Metrics planning and tracking'!$K$3,"")</f>
        <v/>
      </c>
      <c r="AD299" s="10" t="str">
        <f>IF(A299&lt;&gt;"",IF(AND(#REF!&lt;&gt;"",#REF!&lt;&gt;"",#REF!&lt;&gt;0),#REF!/#REF!*100,"NA"),"")</f>
        <v/>
      </c>
      <c r="AE299" s="10" t="str">
        <f>IF(A299&lt;&gt;"",IF(AND(#REF!&lt;&gt;"",#REF!&lt;&gt;"",#REF!&lt;&gt;0),#REF!/#REF!*100,"NA"),"")</f>
        <v/>
      </c>
      <c r="AF299" s="57" t="str">
        <f t="shared" si="41"/>
        <v/>
      </c>
      <c r="AG299" s="57" t="str">
        <f t="shared" si="42"/>
        <v/>
      </c>
      <c r="AH299" s="58" t="str">
        <f t="shared" si="43"/>
        <v/>
      </c>
      <c r="AV299" s="22" t="str">
        <f>IF(A299&lt;&gt;"",A299 &amp; "-" &amp;#REF! &amp; ROW(),"")</f>
        <v/>
      </c>
    </row>
    <row r="300" spans="11:48" x14ac:dyDescent="0.2">
      <c r="K300" s="11" t="str">
        <f>IF(AND(COUNTA(B300:C300)&gt;1,COUNTA(F300:G300)&gt;1,O300="Completed"),(G300-C300)/(C300-#REF!+1)%,"")</f>
        <v/>
      </c>
      <c r="L300" s="11" t="str">
        <f>IF(AND(COUNT(D300:E300)&gt;0,COUNTA(F300:G300)&gt;1,O300="Completed"),(G300-AG300)/(AG300-#REF!+1)%,"")</f>
        <v/>
      </c>
      <c r="M300" s="11" t="str">
        <f t="shared" si="38"/>
        <v/>
      </c>
      <c r="N300" s="11" t="str">
        <f t="shared" si="39"/>
        <v/>
      </c>
      <c r="O300" s="12"/>
      <c r="P300" s="12"/>
      <c r="R300" s="10" t="str">
        <f>IF(H300&lt;&gt;"",SUMIF(H$3:H300,"&lt;&gt;" &amp; "",H$3:H300),"")</f>
        <v/>
      </c>
      <c r="S300" s="10" t="str">
        <f t="array" ref="S300">IF(O300="Completed",SUMIF(W$3:W300,"&lt;&gt;" &amp; "",W$3:W300),"")</f>
        <v/>
      </c>
      <c r="T300" s="10" t="str">
        <f t="array" ref="T300">IF(AND(J300&lt;&gt;"",O300="Completed"),SUM(IF(O$3:O300="Completed",J$3:J300,0)),"")</f>
        <v/>
      </c>
      <c r="U300" s="10" t="str">
        <f t="shared" si="37"/>
        <v/>
      </c>
      <c r="V300" s="10">
        <f>ROW()</f>
        <v>300</v>
      </c>
      <c r="W300" s="10" t="str">
        <f t="shared" si="40"/>
        <v/>
      </c>
      <c r="Z300" s="10" t="str">
        <f>IF(A300&lt;&gt;"",'Metrics planning and tracking'!$K$4,"")</f>
        <v/>
      </c>
      <c r="AA300" s="10" t="str">
        <f>IF(A300&lt;&gt;"",'Metrics planning and tracking'!$K$5,"")</f>
        <v/>
      </c>
      <c r="AB300" s="10" t="str">
        <f>IF(A300&lt;&gt;"",'Metrics planning and tracking'!$K$2,"")</f>
        <v/>
      </c>
      <c r="AC300" s="10" t="str">
        <f>IF(A300&lt;&gt;"",'Metrics planning and tracking'!$K$3,"")</f>
        <v/>
      </c>
      <c r="AD300" s="10" t="str">
        <f>IF(A300&lt;&gt;"",IF(AND(#REF!&lt;&gt;"",#REF!&lt;&gt;"",#REF!&lt;&gt;0),#REF!/#REF!*100,"NA"),"")</f>
        <v/>
      </c>
      <c r="AE300" s="10" t="str">
        <f>IF(A300&lt;&gt;"",IF(AND(#REF!&lt;&gt;"",#REF!&lt;&gt;"",#REF!&lt;&gt;0),#REF!/#REF!*100,"NA"),"")</f>
        <v/>
      </c>
      <c r="AF300" s="57" t="str">
        <f t="shared" si="41"/>
        <v/>
      </c>
      <c r="AG300" s="57" t="str">
        <f t="shared" si="42"/>
        <v/>
      </c>
      <c r="AH300" s="58" t="str">
        <f t="shared" si="43"/>
        <v/>
      </c>
      <c r="AV300" s="22" t="str">
        <f>IF(A300&lt;&gt;"",A300 &amp; "-" &amp;#REF! &amp; ROW(),"")</f>
        <v/>
      </c>
    </row>
    <row r="301" spans="11:48" x14ac:dyDescent="0.2">
      <c r="K301" s="11" t="str">
        <f>IF(AND(COUNTA(B301:C301)&gt;1,COUNTA(F301:G301)&gt;1,O301="Completed"),(G301-C301)/(C301-#REF!+1)%,"")</f>
        <v/>
      </c>
      <c r="L301" s="11" t="str">
        <f>IF(AND(COUNT(D301:E301)&gt;0,COUNTA(F301:G301)&gt;1,O301="Completed"),(G301-AG301)/(AG301-#REF!+1)%,"")</f>
        <v/>
      </c>
      <c r="M301" s="11" t="str">
        <f t="shared" si="38"/>
        <v/>
      </c>
      <c r="N301" s="11" t="str">
        <f t="shared" si="39"/>
        <v/>
      </c>
      <c r="O301" s="12"/>
      <c r="P301" s="12"/>
      <c r="R301" s="10" t="str">
        <f>IF(H301&lt;&gt;"",SUMIF(H$3:H301,"&lt;&gt;" &amp; "",H$3:H301),"")</f>
        <v/>
      </c>
      <c r="S301" s="10" t="str">
        <f t="array" ref="S301">IF(O301="Completed",SUMIF(W$3:W301,"&lt;&gt;" &amp; "",W$3:W301),"")</f>
        <v/>
      </c>
      <c r="T301" s="10" t="str">
        <f t="array" ref="T301">IF(AND(J301&lt;&gt;"",O301="Completed"),SUM(IF(O$3:O301="Completed",J$3:J301,0)),"")</f>
        <v/>
      </c>
      <c r="U301" s="10" t="str">
        <f t="shared" si="37"/>
        <v/>
      </c>
      <c r="V301" s="10">
        <f>ROW()</f>
        <v>301</v>
      </c>
      <c r="W301" s="10" t="str">
        <f t="shared" si="40"/>
        <v/>
      </c>
      <c r="Z301" s="10" t="str">
        <f>IF(A301&lt;&gt;"",'Metrics planning and tracking'!$K$4,"")</f>
        <v/>
      </c>
      <c r="AA301" s="10" t="str">
        <f>IF(A301&lt;&gt;"",'Metrics planning and tracking'!$K$5,"")</f>
        <v/>
      </c>
      <c r="AB301" s="10" t="str">
        <f>IF(A301&lt;&gt;"",'Metrics planning and tracking'!$K$2,"")</f>
        <v/>
      </c>
      <c r="AC301" s="10" t="str">
        <f>IF(A301&lt;&gt;"",'Metrics planning and tracking'!$K$3,"")</f>
        <v/>
      </c>
      <c r="AD301" s="10" t="str">
        <f>IF(A301&lt;&gt;"",IF(AND(#REF!&lt;&gt;"",#REF!&lt;&gt;"",#REF!&lt;&gt;0),#REF!/#REF!*100,"NA"),"")</f>
        <v/>
      </c>
      <c r="AE301" s="10" t="str">
        <f>IF(A301&lt;&gt;"",IF(AND(#REF!&lt;&gt;"",#REF!&lt;&gt;"",#REF!&lt;&gt;0),#REF!/#REF!*100,"NA"),"")</f>
        <v/>
      </c>
      <c r="AF301" s="57" t="str">
        <f t="shared" si="41"/>
        <v/>
      </c>
      <c r="AG301" s="57" t="str">
        <f t="shared" si="42"/>
        <v/>
      </c>
      <c r="AH301" s="58" t="str">
        <f t="shared" si="43"/>
        <v/>
      </c>
      <c r="AV301" s="22" t="str">
        <f>IF(A301&lt;&gt;"",A301 &amp; "-" &amp;#REF! &amp; ROW(),"")</f>
        <v/>
      </c>
    </row>
    <row r="302" spans="11:48" x14ac:dyDescent="0.2">
      <c r="K302" s="11" t="str">
        <f>IF(AND(COUNTA(B302:C302)&gt;1,COUNTA(F302:G302)&gt;1,O302="Completed"),(G302-C302)/(C302-#REF!+1)%,"")</f>
        <v/>
      </c>
      <c r="L302" s="11" t="str">
        <f>IF(AND(COUNT(D302:E302)&gt;0,COUNTA(F302:G302)&gt;1,O302="Completed"),(G302-AG302)/(AG302-#REF!+1)%,"")</f>
        <v/>
      </c>
      <c r="M302" s="11" t="str">
        <f t="shared" si="38"/>
        <v/>
      </c>
      <c r="N302" s="11" t="str">
        <f t="shared" si="39"/>
        <v/>
      </c>
      <c r="O302" s="12"/>
      <c r="P302" s="12"/>
      <c r="R302" s="10" t="str">
        <f>IF(H302&lt;&gt;"",SUMIF(H$3:H302,"&lt;&gt;" &amp; "",H$3:H302),"")</f>
        <v/>
      </c>
      <c r="S302" s="10" t="str">
        <f t="array" ref="S302">IF(O302="Completed",SUMIF(W$3:W302,"&lt;&gt;" &amp; "",W$3:W302),"")</f>
        <v/>
      </c>
      <c r="T302" s="10" t="str">
        <f t="array" ref="T302">IF(AND(J302&lt;&gt;"",O302="Completed"),SUM(IF(O$3:O302="Completed",J$3:J302,0)),"")</f>
        <v/>
      </c>
      <c r="U302" s="10" t="str">
        <f t="shared" si="37"/>
        <v/>
      </c>
      <c r="V302" s="10">
        <f>ROW()</f>
        <v>302</v>
      </c>
      <c r="W302" s="10" t="str">
        <f t="shared" si="40"/>
        <v/>
      </c>
      <c r="Z302" s="10" t="str">
        <f>IF(A302&lt;&gt;"",'Metrics planning and tracking'!$K$4,"")</f>
        <v/>
      </c>
      <c r="AA302" s="10" t="str">
        <f>IF(A302&lt;&gt;"",'Metrics planning and tracking'!$K$5,"")</f>
        <v/>
      </c>
      <c r="AB302" s="10" t="str">
        <f>IF(A302&lt;&gt;"",'Metrics planning and tracking'!$K$2,"")</f>
        <v/>
      </c>
      <c r="AC302" s="10" t="str">
        <f>IF(A302&lt;&gt;"",'Metrics planning and tracking'!$K$3,"")</f>
        <v/>
      </c>
      <c r="AD302" s="10" t="str">
        <f>IF(A302&lt;&gt;"",IF(AND(#REF!&lt;&gt;"",#REF!&lt;&gt;"",#REF!&lt;&gt;0),#REF!/#REF!*100,"NA"),"")</f>
        <v/>
      </c>
      <c r="AE302" s="10" t="str">
        <f>IF(A302&lt;&gt;"",IF(AND(#REF!&lt;&gt;"",#REF!&lt;&gt;"",#REF!&lt;&gt;0),#REF!/#REF!*100,"NA"),"")</f>
        <v/>
      </c>
      <c r="AF302" s="57" t="str">
        <f t="shared" si="41"/>
        <v/>
      </c>
      <c r="AG302" s="57" t="str">
        <f t="shared" si="42"/>
        <v/>
      </c>
      <c r="AH302" s="58" t="str">
        <f t="shared" si="43"/>
        <v/>
      </c>
      <c r="AV302" s="22" t="str">
        <f>IF(A302&lt;&gt;"",A302 &amp; "-" &amp;#REF! &amp; ROW(),"")</f>
        <v/>
      </c>
    </row>
    <row r="303" spans="11:48" x14ac:dyDescent="0.2">
      <c r="K303" s="11" t="str">
        <f>IF(AND(COUNTA(B303:C303)&gt;1,COUNTA(F303:G303)&gt;1,O303="Completed"),(G303-C303)/(C303-#REF!+1)%,"")</f>
        <v/>
      </c>
      <c r="L303" s="11" t="str">
        <f>IF(AND(COUNT(D303:E303)&gt;0,COUNTA(F303:G303)&gt;1,O303="Completed"),(G303-AG303)/(AG303-#REF!+1)%,"")</f>
        <v/>
      </c>
      <c r="M303" s="11" t="str">
        <f t="shared" si="38"/>
        <v/>
      </c>
      <c r="N303" s="11" t="str">
        <f t="shared" si="39"/>
        <v/>
      </c>
      <c r="O303" s="12"/>
      <c r="P303" s="12"/>
      <c r="R303" s="10" t="str">
        <f>IF(H303&lt;&gt;"",SUMIF(H$3:H303,"&lt;&gt;" &amp; "",H$3:H303),"")</f>
        <v/>
      </c>
      <c r="S303" s="10" t="str">
        <f t="array" ref="S303">IF(O303="Completed",SUMIF(W$3:W303,"&lt;&gt;" &amp; "",W$3:W303),"")</f>
        <v/>
      </c>
      <c r="T303" s="10" t="str">
        <f t="array" ref="T303">IF(AND(J303&lt;&gt;"",O303="Completed"),SUM(IF(O$3:O303="Completed",J$3:J303,0)),"")</f>
        <v/>
      </c>
      <c r="U303" s="10" t="str">
        <f t="shared" si="37"/>
        <v/>
      </c>
      <c r="V303" s="10">
        <f>ROW()</f>
        <v>303</v>
      </c>
      <c r="W303" s="10" t="str">
        <f t="shared" si="40"/>
        <v/>
      </c>
      <c r="Z303" s="10" t="str">
        <f>IF(A303&lt;&gt;"",'Metrics planning and tracking'!$K$4,"")</f>
        <v/>
      </c>
      <c r="AA303" s="10" t="str">
        <f>IF(A303&lt;&gt;"",'Metrics planning and tracking'!$K$5,"")</f>
        <v/>
      </c>
      <c r="AB303" s="10" t="str">
        <f>IF(A303&lt;&gt;"",'Metrics planning and tracking'!$K$2,"")</f>
        <v/>
      </c>
      <c r="AC303" s="10" t="str">
        <f>IF(A303&lt;&gt;"",'Metrics planning and tracking'!$K$3,"")</f>
        <v/>
      </c>
      <c r="AD303" s="10" t="str">
        <f>IF(A303&lt;&gt;"",IF(AND(#REF!&lt;&gt;"",#REF!&lt;&gt;"",#REF!&lt;&gt;0),#REF!/#REF!*100,"NA"),"")</f>
        <v/>
      </c>
      <c r="AE303" s="10" t="str">
        <f>IF(A303&lt;&gt;"",IF(AND(#REF!&lt;&gt;"",#REF!&lt;&gt;"",#REF!&lt;&gt;0),#REF!/#REF!*100,"NA"),"")</f>
        <v/>
      </c>
      <c r="AF303" s="57" t="str">
        <f t="shared" si="41"/>
        <v/>
      </c>
      <c r="AG303" s="57" t="str">
        <f t="shared" si="42"/>
        <v/>
      </c>
      <c r="AH303" s="58" t="str">
        <f t="shared" si="43"/>
        <v/>
      </c>
      <c r="AV303" s="22" t="str">
        <f>IF(A303&lt;&gt;"",A303 &amp; "-" &amp;#REF! &amp; ROW(),"")</f>
        <v/>
      </c>
    </row>
    <row r="304" spans="11:48" x14ac:dyDescent="0.2">
      <c r="K304" s="11" t="str">
        <f>IF(AND(COUNTA(B304:C304)&gt;1,COUNTA(F304:G304)&gt;1,O304="Completed"),(G304-C304)/(C304-#REF!+1)%,"")</f>
        <v/>
      </c>
      <c r="L304" s="11" t="str">
        <f>IF(AND(COUNT(D304:E304)&gt;0,COUNTA(F304:G304)&gt;1,O304="Completed"),(G304-AG304)/(AG304-#REF!+1)%,"")</f>
        <v/>
      </c>
      <c r="M304" s="11" t="str">
        <f t="shared" si="38"/>
        <v/>
      </c>
      <c r="N304" s="11" t="str">
        <f t="shared" si="39"/>
        <v/>
      </c>
      <c r="O304" s="12"/>
      <c r="P304" s="12"/>
      <c r="R304" s="10" t="str">
        <f>IF(H304&lt;&gt;"",SUMIF(H$3:H304,"&lt;&gt;" &amp; "",H$3:H304),"")</f>
        <v/>
      </c>
      <c r="S304" s="10" t="str">
        <f t="array" ref="S304">IF(O304="Completed",SUMIF(W$3:W304,"&lt;&gt;" &amp; "",W$3:W304),"")</f>
        <v/>
      </c>
      <c r="T304" s="10" t="str">
        <f t="array" ref="T304">IF(AND(J304&lt;&gt;"",O304="Completed"),SUM(IF(O$3:O304="Completed",J$3:J304,0)),"")</f>
        <v/>
      </c>
      <c r="U304" s="10" t="str">
        <f t="shared" si="37"/>
        <v/>
      </c>
      <c r="V304" s="10">
        <f>ROW()</f>
        <v>304</v>
      </c>
      <c r="W304" s="10" t="str">
        <f t="shared" si="40"/>
        <v/>
      </c>
      <c r="Z304" s="10" t="str">
        <f>IF(A304&lt;&gt;"",'Metrics planning and tracking'!$K$4,"")</f>
        <v/>
      </c>
      <c r="AA304" s="10" t="str">
        <f>IF(A304&lt;&gt;"",'Metrics planning and tracking'!$K$5,"")</f>
        <v/>
      </c>
      <c r="AB304" s="10" t="str">
        <f>IF(A304&lt;&gt;"",'Metrics planning and tracking'!$K$2,"")</f>
        <v/>
      </c>
      <c r="AC304" s="10" t="str">
        <f>IF(A304&lt;&gt;"",'Metrics planning and tracking'!$K$3,"")</f>
        <v/>
      </c>
      <c r="AD304" s="10" t="str">
        <f>IF(A304&lt;&gt;"",IF(AND(#REF!&lt;&gt;"",#REF!&lt;&gt;"",#REF!&lt;&gt;0),#REF!/#REF!*100,"NA"),"")</f>
        <v/>
      </c>
      <c r="AE304" s="10" t="str">
        <f>IF(A304&lt;&gt;"",IF(AND(#REF!&lt;&gt;"",#REF!&lt;&gt;"",#REF!&lt;&gt;0),#REF!/#REF!*100,"NA"),"")</f>
        <v/>
      </c>
      <c r="AF304" s="57" t="str">
        <f t="shared" si="41"/>
        <v/>
      </c>
      <c r="AG304" s="57" t="str">
        <f t="shared" si="42"/>
        <v/>
      </c>
      <c r="AH304" s="58" t="str">
        <f t="shared" si="43"/>
        <v/>
      </c>
      <c r="AV304" s="22" t="str">
        <f>IF(A304&lt;&gt;"",A304 &amp; "-" &amp;#REF! &amp; ROW(),"")</f>
        <v/>
      </c>
    </row>
    <row r="305" spans="11:48" x14ac:dyDescent="0.2">
      <c r="K305" s="11" t="str">
        <f>IF(AND(COUNTA(B305:C305)&gt;1,COUNTA(F305:G305)&gt;1,O305="Completed"),(G305-C305)/(C305-#REF!+1)%,"")</f>
        <v/>
      </c>
      <c r="L305" s="11" t="str">
        <f>IF(AND(COUNT(D305:E305)&gt;0,COUNTA(F305:G305)&gt;1,O305="Completed"),(G305-AG305)/(AG305-#REF!+1)%,"")</f>
        <v/>
      </c>
      <c r="M305" s="11" t="str">
        <f t="shared" si="38"/>
        <v/>
      </c>
      <c r="N305" s="11" t="str">
        <f t="shared" si="39"/>
        <v/>
      </c>
      <c r="O305" s="12"/>
      <c r="P305" s="12"/>
      <c r="R305" s="10" t="str">
        <f>IF(H305&lt;&gt;"",SUMIF(H$3:H305,"&lt;&gt;" &amp; "",H$3:H305),"")</f>
        <v/>
      </c>
      <c r="S305" s="10" t="str">
        <f t="array" ref="S305">IF(O305="Completed",SUMIF(W$3:W305,"&lt;&gt;" &amp; "",W$3:W305),"")</f>
        <v/>
      </c>
      <c r="T305" s="10" t="str">
        <f t="array" ref="T305">IF(AND(J305&lt;&gt;"",O305="Completed"),SUM(IF(O$3:O305="Completed",J$3:J305,0)),"")</f>
        <v/>
      </c>
      <c r="U305" s="10" t="str">
        <f t="shared" si="37"/>
        <v/>
      </c>
      <c r="V305" s="10">
        <f>ROW()</f>
        <v>305</v>
      </c>
      <c r="W305" s="10" t="str">
        <f t="shared" si="40"/>
        <v/>
      </c>
      <c r="Z305" s="10" t="str">
        <f>IF(A305&lt;&gt;"",'Metrics planning and tracking'!$K$4,"")</f>
        <v/>
      </c>
      <c r="AA305" s="10" t="str">
        <f>IF(A305&lt;&gt;"",'Metrics planning and tracking'!$K$5,"")</f>
        <v/>
      </c>
      <c r="AB305" s="10" t="str">
        <f>IF(A305&lt;&gt;"",'Metrics planning and tracking'!$K$2,"")</f>
        <v/>
      </c>
      <c r="AC305" s="10" t="str">
        <f>IF(A305&lt;&gt;"",'Metrics planning and tracking'!$K$3,"")</f>
        <v/>
      </c>
      <c r="AD305" s="10" t="str">
        <f>IF(A305&lt;&gt;"",IF(AND(#REF!&lt;&gt;"",#REF!&lt;&gt;"",#REF!&lt;&gt;0),#REF!/#REF!*100,"NA"),"")</f>
        <v/>
      </c>
      <c r="AE305" s="10" t="str">
        <f>IF(A305&lt;&gt;"",IF(AND(#REF!&lt;&gt;"",#REF!&lt;&gt;"",#REF!&lt;&gt;0),#REF!/#REF!*100,"NA"),"")</f>
        <v/>
      </c>
      <c r="AF305" s="57" t="str">
        <f t="shared" si="41"/>
        <v/>
      </c>
      <c r="AG305" s="57" t="str">
        <f t="shared" si="42"/>
        <v/>
      </c>
      <c r="AH305" s="58" t="str">
        <f t="shared" si="43"/>
        <v/>
      </c>
      <c r="AV305" s="22" t="str">
        <f>IF(A305&lt;&gt;"",A305 &amp; "-" &amp;#REF! &amp; ROW(),"")</f>
        <v/>
      </c>
    </row>
    <row r="306" spans="11:48" x14ac:dyDescent="0.2">
      <c r="K306" s="11" t="str">
        <f>IF(AND(COUNTA(B306:C306)&gt;1,COUNTA(F306:G306)&gt;1,O306="Completed"),(G306-C306)/(C306-#REF!+1)%,"")</f>
        <v/>
      </c>
      <c r="L306" s="11" t="str">
        <f>IF(AND(COUNT(D306:E306)&gt;0,COUNTA(F306:G306)&gt;1,O306="Completed"),(G306-AG306)/(AG306-#REF!+1)%,"")</f>
        <v/>
      </c>
      <c r="M306" s="11" t="str">
        <f t="shared" si="38"/>
        <v/>
      </c>
      <c r="N306" s="11" t="str">
        <f t="shared" si="39"/>
        <v/>
      </c>
      <c r="O306" s="12"/>
      <c r="P306" s="12"/>
      <c r="R306" s="10" t="str">
        <f>IF(H306&lt;&gt;"",SUMIF(H$3:H306,"&lt;&gt;" &amp; "",H$3:H306),"")</f>
        <v/>
      </c>
      <c r="S306" s="10" t="str">
        <f t="array" ref="S306">IF(O306="Completed",SUMIF(W$3:W306,"&lt;&gt;" &amp; "",W$3:W306),"")</f>
        <v/>
      </c>
      <c r="T306" s="10" t="str">
        <f t="array" ref="T306">IF(AND(J306&lt;&gt;"",O306="Completed"),SUM(IF(O$3:O306="Completed",J$3:J306,0)),"")</f>
        <v/>
      </c>
      <c r="U306" s="10" t="str">
        <f t="shared" si="37"/>
        <v/>
      </c>
      <c r="V306" s="10">
        <f>ROW()</f>
        <v>306</v>
      </c>
      <c r="W306" s="10" t="str">
        <f t="shared" si="40"/>
        <v/>
      </c>
      <c r="Z306" s="10" t="str">
        <f>IF(A306&lt;&gt;"",'Metrics planning and tracking'!$K$4,"")</f>
        <v/>
      </c>
      <c r="AA306" s="10" t="str">
        <f>IF(A306&lt;&gt;"",'Metrics planning and tracking'!$K$5,"")</f>
        <v/>
      </c>
      <c r="AB306" s="10" t="str">
        <f>IF(A306&lt;&gt;"",'Metrics planning and tracking'!$K$2,"")</f>
        <v/>
      </c>
      <c r="AC306" s="10" t="str">
        <f>IF(A306&lt;&gt;"",'Metrics planning and tracking'!$K$3,"")</f>
        <v/>
      </c>
      <c r="AD306" s="10" t="str">
        <f>IF(A306&lt;&gt;"",IF(AND(#REF!&lt;&gt;"",#REF!&lt;&gt;"",#REF!&lt;&gt;0),#REF!/#REF!*100,"NA"),"")</f>
        <v/>
      </c>
      <c r="AE306" s="10" t="str">
        <f>IF(A306&lt;&gt;"",IF(AND(#REF!&lt;&gt;"",#REF!&lt;&gt;"",#REF!&lt;&gt;0),#REF!/#REF!*100,"NA"),"")</f>
        <v/>
      </c>
      <c r="AF306" s="57" t="str">
        <f t="shared" si="41"/>
        <v/>
      </c>
      <c r="AG306" s="57" t="str">
        <f t="shared" si="42"/>
        <v/>
      </c>
      <c r="AH306" s="58" t="str">
        <f t="shared" si="43"/>
        <v/>
      </c>
      <c r="AV306" s="22" t="str">
        <f>IF(A306&lt;&gt;"",A306 &amp; "-" &amp;#REF! &amp; ROW(),"")</f>
        <v/>
      </c>
    </row>
    <row r="307" spans="11:48" x14ac:dyDescent="0.2">
      <c r="K307" s="11" t="str">
        <f>IF(AND(COUNTA(B307:C307)&gt;1,COUNTA(F307:G307)&gt;1,O307="Completed"),(G307-C307)/(C307-#REF!+1)%,"")</f>
        <v/>
      </c>
      <c r="L307" s="11" t="str">
        <f>IF(AND(COUNT(D307:E307)&gt;0,COUNTA(F307:G307)&gt;1,O307="Completed"),(G307-AG307)/(AG307-#REF!+1)%,"")</f>
        <v/>
      </c>
      <c r="M307" s="11" t="str">
        <f t="shared" si="38"/>
        <v/>
      </c>
      <c r="N307" s="11" t="str">
        <f t="shared" si="39"/>
        <v/>
      </c>
      <c r="O307" s="12"/>
      <c r="P307" s="12"/>
      <c r="R307" s="10" t="str">
        <f>IF(H307&lt;&gt;"",SUMIF(H$3:H307,"&lt;&gt;" &amp; "",H$3:H307),"")</f>
        <v/>
      </c>
      <c r="S307" s="10" t="str">
        <f t="array" ref="S307">IF(O307="Completed",SUMIF(W$3:W307,"&lt;&gt;" &amp; "",W$3:W307),"")</f>
        <v/>
      </c>
      <c r="T307" s="10" t="str">
        <f t="array" ref="T307">IF(AND(J307&lt;&gt;"",O307="Completed"),SUM(IF(O$3:O307="Completed",J$3:J307,0)),"")</f>
        <v/>
      </c>
      <c r="U307" s="10" t="str">
        <f t="shared" si="37"/>
        <v/>
      </c>
      <c r="V307" s="10">
        <f>ROW()</f>
        <v>307</v>
      </c>
      <c r="W307" s="10" t="str">
        <f t="shared" si="40"/>
        <v/>
      </c>
      <c r="Z307" s="10" t="str">
        <f>IF(A307&lt;&gt;"",'Metrics planning and tracking'!$K$4,"")</f>
        <v/>
      </c>
      <c r="AA307" s="10" t="str">
        <f>IF(A307&lt;&gt;"",'Metrics planning and tracking'!$K$5,"")</f>
        <v/>
      </c>
      <c r="AB307" s="10" t="str">
        <f>IF(A307&lt;&gt;"",'Metrics planning and tracking'!$K$2,"")</f>
        <v/>
      </c>
      <c r="AC307" s="10" t="str">
        <f>IF(A307&lt;&gt;"",'Metrics planning and tracking'!$K$3,"")</f>
        <v/>
      </c>
      <c r="AD307" s="10" t="str">
        <f>IF(A307&lt;&gt;"",IF(AND(#REF!&lt;&gt;"",#REF!&lt;&gt;"",#REF!&lt;&gt;0),#REF!/#REF!*100,"NA"),"")</f>
        <v/>
      </c>
      <c r="AE307" s="10" t="str">
        <f>IF(A307&lt;&gt;"",IF(AND(#REF!&lt;&gt;"",#REF!&lt;&gt;"",#REF!&lt;&gt;0),#REF!/#REF!*100,"NA"),"")</f>
        <v/>
      </c>
      <c r="AF307" s="57" t="str">
        <f t="shared" si="41"/>
        <v/>
      </c>
      <c r="AG307" s="57" t="str">
        <f t="shared" si="42"/>
        <v/>
      </c>
      <c r="AH307" s="58" t="str">
        <f t="shared" si="43"/>
        <v/>
      </c>
      <c r="AV307" s="22" t="str">
        <f>IF(A307&lt;&gt;"",A307 &amp; "-" &amp;#REF! &amp; ROW(),"")</f>
        <v/>
      </c>
    </row>
    <row r="308" spans="11:48" x14ac:dyDescent="0.2">
      <c r="K308" s="11" t="str">
        <f>IF(AND(COUNTA(B308:C308)&gt;1,COUNTA(F308:G308)&gt;1,O308="Completed"),(G308-C308)/(C308-#REF!+1)%,"")</f>
        <v/>
      </c>
      <c r="L308" s="11" t="str">
        <f>IF(AND(COUNT(D308:E308)&gt;0,COUNTA(F308:G308)&gt;1,O308="Completed"),(G308-AG308)/(AG308-#REF!+1)%,"")</f>
        <v/>
      </c>
      <c r="M308" s="11" t="str">
        <f t="shared" si="38"/>
        <v/>
      </c>
      <c r="N308" s="11" t="str">
        <f t="shared" si="39"/>
        <v/>
      </c>
      <c r="O308" s="12"/>
      <c r="P308" s="12"/>
      <c r="R308" s="10" t="str">
        <f>IF(H308&lt;&gt;"",SUMIF(H$3:H308,"&lt;&gt;" &amp; "",H$3:H308),"")</f>
        <v/>
      </c>
      <c r="S308" s="10" t="str">
        <f t="array" ref="S308">IF(O308="Completed",SUMIF(W$3:W308,"&lt;&gt;" &amp; "",W$3:W308),"")</f>
        <v/>
      </c>
      <c r="T308" s="10" t="str">
        <f t="array" ref="T308">IF(AND(J308&lt;&gt;"",O308="Completed"),SUM(IF(O$3:O308="Completed",J$3:J308,0)),"")</f>
        <v/>
      </c>
      <c r="U308" s="10" t="str">
        <f t="shared" si="37"/>
        <v/>
      </c>
      <c r="V308" s="10">
        <f>ROW()</f>
        <v>308</v>
      </c>
      <c r="W308" s="10" t="str">
        <f t="shared" si="40"/>
        <v/>
      </c>
      <c r="Z308" s="10" t="str">
        <f>IF(A308&lt;&gt;"",'Metrics planning and tracking'!$K$4,"")</f>
        <v/>
      </c>
      <c r="AA308" s="10" t="str">
        <f>IF(A308&lt;&gt;"",'Metrics planning and tracking'!$K$5,"")</f>
        <v/>
      </c>
      <c r="AB308" s="10" t="str">
        <f>IF(A308&lt;&gt;"",'Metrics planning and tracking'!$K$2,"")</f>
        <v/>
      </c>
      <c r="AC308" s="10" t="str">
        <f>IF(A308&lt;&gt;"",'Metrics planning and tracking'!$K$3,"")</f>
        <v/>
      </c>
      <c r="AD308" s="10" t="str">
        <f>IF(A308&lt;&gt;"",IF(AND(#REF!&lt;&gt;"",#REF!&lt;&gt;"",#REF!&lt;&gt;0),#REF!/#REF!*100,"NA"),"")</f>
        <v/>
      </c>
      <c r="AE308" s="10" t="str">
        <f>IF(A308&lt;&gt;"",IF(AND(#REF!&lt;&gt;"",#REF!&lt;&gt;"",#REF!&lt;&gt;0),#REF!/#REF!*100,"NA"),"")</f>
        <v/>
      </c>
      <c r="AF308" s="57" t="str">
        <f t="shared" si="41"/>
        <v/>
      </c>
      <c r="AG308" s="57" t="str">
        <f t="shared" si="42"/>
        <v/>
      </c>
      <c r="AH308" s="58" t="str">
        <f t="shared" si="43"/>
        <v/>
      </c>
      <c r="AV308" s="22" t="str">
        <f>IF(A308&lt;&gt;"",A308 &amp; "-" &amp;#REF! &amp; ROW(),"")</f>
        <v/>
      </c>
    </row>
    <row r="309" spans="11:48" x14ac:dyDescent="0.2">
      <c r="K309" s="11" t="str">
        <f>IF(AND(COUNTA(B309:C309)&gt;1,COUNTA(F309:G309)&gt;1,O309="Completed"),(G309-C309)/(C309-#REF!+1)%,"")</f>
        <v/>
      </c>
      <c r="L309" s="11" t="str">
        <f>IF(AND(COUNT(D309:E309)&gt;0,COUNTA(F309:G309)&gt;1,O309="Completed"),(G309-AG309)/(AG309-#REF!+1)%,"")</f>
        <v/>
      </c>
      <c r="M309" s="11" t="str">
        <f t="shared" si="38"/>
        <v/>
      </c>
      <c r="N309" s="11" t="str">
        <f t="shared" si="39"/>
        <v/>
      </c>
      <c r="O309" s="12"/>
      <c r="P309" s="12"/>
      <c r="R309" s="10" t="str">
        <f>IF(H309&lt;&gt;"",SUMIF(H$3:H309,"&lt;&gt;" &amp; "",H$3:H309),"")</f>
        <v/>
      </c>
      <c r="S309" s="10" t="str">
        <f t="array" ref="S309">IF(O309="Completed",SUMIF(W$3:W309,"&lt;&gt;" &amp; "",W$3:W309),"")</f>
        <v/>
      </c>
      <c r="T309" s="10" t="str">
        <f t="array" ref="T309">IF(AND(J309&lt;&gt;"",O309="Completed"),SUM(IF(O$3:O309="Completed",J$3:J309,0)),"")</f>
        <v/>
      </c>
      <c r="U309" s="10" t="str">
        <f t="shared" si="37"/>
        <v/>
      </c>
      <c r="V309" s="10">
        <f>ROW()</f>
        <v>309</v>
      </c>
      <c r="W309" s="10" t="str">
        <f t="shared" si="40"/>
        <v/>
      </c>
      <c r="Z309" s="10" t="str">
        <f>IF(A309&lt;&gt;"",'Metrics planning and tracking'!$K$4,"")</f>
        <v/>
      </c>
      <c r="AA309" s="10" t="str">
        <f>IF(A309&lt;&gt;"",'Metrics planning and tracking'!$K$5,"")</f>
        <v/>
      </c>
      <c r="AB309" s="10" t="str">
        <f>IF(A309&lt;&gt;"",'Metrics planning and tracking'!$K$2,"")</f>
        <v/>
      </c>
      <c r="AC309" s="10" t="str">
        <f>IF(A309&lt;&gt;"",'Metrics planning and tracking'!$K$3,"")</f>
        <v/>
      </c>
      <c r="AD309" s="10" t="str">
        <f>IF(A309&lt;&gt;"",IF(AND(#REF!&lt;&gt;"",#REF!&lt;&gt;"",#REF!&lt;&gt;0),#REF!/#REF!*100,"NA"),"")</f>
        <v/>
      </c>
      <c r="AE309" s="10" t="str">
        <f>IF(A309&lt;&gt;"",IF(AND(#REF!&lt;&gt;"",#REF!&lt;&gt;"",#REF!&lt;&gt;0),#REF!/#REF!*100,"NA"),"")</f>
        <v/>
      </c>
      <c r="AF309" s="57" t="str">
        <f t="shared" si="41"/>
        <v/>
      </c>
      <c r="AG309" s="57" t="str">
        <f t="shared" si="42"/>
        <v/>
      </c>
      <c r="AH309" s="58" t="str">
        <f t="shared" si="43"/>
        <v/>
      </c>
      <c r="AV309" s="22" t="str">
        <f>IF(A309&lt;&gt;"",A309 &amp; "-" &amp;#REF! &amp; ROW(),"")</f>
        <v/>
      </c>
    </row>
    <row r="310" spans="11:48" x14ac:dyDescent="0.2">
      <c r="K310" s="11" t="str">
        <f>IF(AND(COUNTA(B310:C310)&gt;1,COUNTA(F310:G310)&gt;1,O310="Completed"),(G310-C310)/(C310-#REF!+1)%,"")</f>
        <v/>
      </c>
      <c r="L310" s="11" t="str">
        <f>IF(AND(COUNT(D310:E310)&gt;0,COUNTA(F310:G310)&gt;1,O310="Completed"),(G310-AG310)/(AG310-#REF!+1)%,"")</f>
        <v/>
      </c>
      <c r="M310" s="11" t="str">
        <f t="shared" si="38"/>
        <v/>
      </c>
      <c r="N310" s="11" t="str">
        <f t="shared" si="39"/>
        <v/>
      </c>
      <c r="O310" s="12"/>
      <c r="P310" s="12"/>
      <c r="R310" s="10" t="str">
        <f>IF(H310&lt;&gt;"",SUMIF(H$3:H310,"&lt;&gt;" &amp; "",H$3:H310),"")</f>
        <v/>
      </c>
      <c r="S310" s="10" t="str">
        <f t="array" ref="S310">IF(O310="Completed",SUMIF(W$3:W310,"&lt;&gt;" &amp; "",W$3:W310),"")</f>
        <v/>
      </c>
      <c r="T310" s="10" t="str">
        <f t="array" ref="T310">IF(AND(J310&lt;&gt;"",O310="Completed"),SUM(IF(O$3:O310="Completed",J$3:J310,0)),"")</f>
        <v/>
      </c>
      <c r="U310" s="10" t="str">
        <f t="shared" si="37"/>
        <v/>
      </c>
      <c r="V310" s="10">
        <f>ROW()</f>
        <v>310</v>
      </c>
      <c r="W310" s="10" t="str">
        <f t="shared" si="40"/>
        <v/>
      </c>
      <c r="Z310" s="10" t="str">
        <f>IF(A310&lt;&gt;"",'Metrics planning and tracking'!$K$4,"")</f>
        <v/>
      </c>
      <c r="AA310" s="10" t="str">
        <f>IF(A310&lt;&gt;"",'Metrics planning and tracking'!$K$5,"")</f>
        <v/>
      </c>
      <c r="AB310" s="10" t="str">
        <f>IF(A310&lt;&gt;"",'Metrics planning and tracking'!$K$2,"")</f>
        <v/>
      </c>
      <c r="AC310" s="10" t="str">
        <f>IF(A310&lt;&gt;"",'Metrics planning and tracking'!$K$3,"")</f>
        <v/>
      </c>
      <c r="AD310" s="10" t="str">
        <f>IF(A310&lt;&gt;"",IF(AND(#REF!&lt;&gt;"",#REF!&lt;&gt;"",#REF!&lt;&gt;0),#REF!/#REF!*100,"NA"),"")</f>
        <v/>
      </c>
      <c r="AE310" s="10" t="str">
        <f>IF(A310&lt;&gt;"",IF(AND(#REF!&lt;&gt;"",#REF!&lt;&gt;"",#REF!&lt;&gt;0),#REF!/#REF!*100,"NA"),"")</f>
        <v/>
      </c>
      <c r="AF310" s="57" t="str">
        <f t="shared" si="41"/>
        <v/>
      </c>
      <c r="AG310" s="57" t="str">
        <f t="shared" si="42"/>
        <v/>
      </c>
      <c r="AH310" s="58" t="str">
        <f t="shared" si="43"/>
        <v/>
      </c>
      <c r="AV310" s="22" t="str">
        <f>IF(A310&lt;&gt;"",A310 &amp; "-" &amp;#REF! &amp; ROW(),"")</f>
        <v/>
      </c>
    </row>
    <row r="311" spans="11:48" x14ac:dyDescent="0.2">
      <c r="K311" s="11" t="str">
        <f>IF(AND(COUNTA(B311:C311)&gt;1,COUNTA(F311:G311)&gt;1,O311="Completed"),(G311-C311)/(C311-#REF!+1)%,"")</f>
        <v/>
      </c>
      <c r="L311" s="11" t="str">
        <f>IF(AND(COUNT(D311:E311)&gt;0,COUNTA(F311:G311)&gt;1,O311="Completed"),(G311-AG311)/(AG311-#REF!+1)%,"")</f>
        <v/>
      </c>
      <c r="M311" s="11" t="str">
        <f t="shared" si="38"/>
        <v/>
      </c>
      <c r="N311" s="11" t="str">
        <f t="shared" si="39"/>
        <v/>
      </c>
      <c r="O311" s="12"/>
      <c r="P311" s="12"/>
      <c r="R311" s="10" t="str">
        <f>IF(H311&lt;&gt;"",SUMIF(H$3:H311,"&lt;&gt;" &amp; "",H$3:H311),"")</f>
        <v/>
      </c>
      <c r="S311" s="10" t="str">
        <f t="array" ref="S311">IF(O311="Completed",SUMIF(W$3:W311,"&lt;&gt;" &amp; "",W$3:W311),"")</f>
        <v/>
      </c>
      <c r="T311" s="10" t="str">
        <f t="array" ref="T311">IF(AND(J311&lt;&gt;"",O311="Completed"),SUM(IF(O$3:O311="Completed",J$3:J311,0)),"")</f>
        <v/>
      </c>
      <c r="U311" s="10" t="str">
        <f t="shared" si="37"/>
        <v/>
      </c>
      <c r="V311" s="10">
        <f>ROW()</f>
        <v>311</v>
      </c>
      <c r="W311" s="10" t="str">
        <f t="shared" si="40"/>
        <v/>
      </c>
      <c r="Z311" s="10" t="str">
        <f>IF(A311&lt;&gt;"",'Metrics planning and tracking'!$K$4,"")</f>
        <v/>
      </c>
      <c r="AA311" s="10" t="str">
        <f>IF(A311&lt;&gt;"",'Metrics planning and tracking'!$K$5,"")</f>
        <v/>
      </c>
      <c r="AB311" s="10" t="str">
        <f>IF(A311&lt;&gt;"",'Metrics planning and tracking'!$K$2,"")</f>
        <v/>
      </c>
      <c r="AC311" s="10" t="str">
        <f>IF(A311&lt;&gt;"",'Metrics planning and tracking'!$K$3,"")</f>
        <v/>
      </c>
      <c r="AD311" s="10" t="str">
        <f>IF(A311&lt;&gt;"",IF(AND(#REF!&lt;&gt;"",#REF!&lt;&gt;"",#REF!&lt;&gt;0),#REF!/#REF!*100,"NA"),"")</f>
        <v/>
      </c>
      <c r="AE311" s="10" t="str">
        <f>IF(A311&lt;&gt;"",IF(AND(#REF!&lt;&gt;"",#REF!&lt;&gt;"",#REF!&lt;&gt;0),#REF!/#REF!*100,"NA"),"")</f>
        <v/>
      </c>
      <c r="AF311" s="57" t="str">
        <f t="shared" si="41"/>
        <v/>
      </c>
      <c r="AG311" s="57" t="str">
        <f t="shared" si="42"/>
        <v/>
      </c>
      <c r="AH311" s="58" t="str">
        <f t="shared" si="43"/>
        <v/>
      </c>
      <c r="AV311" s="22" t="str">
        <f>IF(A311&lt;&gt;"",A311 &amp; "-" &amp;#REF! &amp; ROW(),"")</f>
        <v/>
      </c>
    </row>
    <row r="312" spans="11:48" x14ac:dyDescent="0.2">
      <c r="K312" s="11" t="str">
        <f>IF(AND(COUNTA(B312:C312)&gt;1,COUNTA(F312:G312)&gt;1,O312="Completed"),(G312-C312)/(C312-#REF!+1)%,"")</f>
        <v/>
      </c>
      <c r="L312" s="11" t="str">
        <f>IF(AND(COUNT(D312:E312)&gt;0,COUNTA(F312:G312)&gt;1,O312="Completed"),(G312-AG312)/(AG312-#REF!+1)%,"")</f>
        <v/>
      </c>
      <c r="M312" s="11" t="str">
        <f t="shared" si="38"/>
        <v/>
      </c>
      <c r="N312" s="11" t="str">
        <f t="shared" si="39"/>
        <v/>
      </c>
      <c r="O312" s="12"/>
      <c r="P312" s="12"/>
      <c r="R312" s="10" t="str">
        <f>IF(H312&lt;&gt;"",SUMIF(H$3:H312,"&lt;&gt;" &amp; "",H$3:H312),"")</f>
        <v/>
      </c>
      <c r="S312" s="10" t="str">
        <f t="array" ref="S312">IF(O312="Completed",SUMIF(W$3:W312,"&lt;&gt;" &amp; "",W$3:W312),"")</f>
        <v/>
      </c>
      <c r="T312" s="10" t="str">
        <f t="array" ref="T312">IF(AND(J312&lt;&gt;"",O312="Completed"),SUM(IF(O$3:O312="Completed",J$3:J312,0)),"")</f>
        <v/>
      </c>
      <c r="U312" s="10" t="str">
        <f t="shared" si="37"/>
        <v/>
      </c>
      <c r="V312" s="10">
        <f>ROW()</f>
        <v>312</v>
      </c>
      <c r="W312" s="10" t="str">
        <f t="shared" si="40"/>
        <v/>
      </c>
      <c r="Z312" s="10" t="str">
        <f>IF(A312&lt;&gt;"",'Metrics planning and tracking'!$K$4,"")</f>
        <v/>
      </c>
      <c r="AA312" s="10" t="str">
        <f>IF(A312&lt;&gt;"",'Metrics planning and tracking'!$K$5,"")</f>
        <v/>
      </c>
      <c r="AB312" s="10" t="str">
        <f>IF(A312&lt;&gt;"",'Metrics planning and tracking'!$K$2,"")</f>
        <v/>
      </c>
      <c r="AC312" s="10" t="str">
        <f>IF(A312&lt;&gt;"",'Metrics planning and tracking'!$K$3,"")</f>
        <v/>
      </c>
      <c r="AD312" s="10" t="str">
        <f>IF(A312&lt;&gt;"",IF(AND(#REF!&lt;&gt;"",#REF!&lt;&gt;"",#REF!&lt;&gt;0),#REF!/#REF!*100,"NA"),"")</f>
        <v/>
      </c>
      <c r="AE312" s="10" t="str">
        <f>IF(A312&lt;&gt;"",IF(AND(#REF!&lt;&gt;"",#REF!&lt;&gt;"",#REF!&lt;&gt;0),#REF!/#REF!*100,"NA"),"")</f>
        <v/>
      </c>
      <c r="AF312" s="57" t="str">
        <f t="shared" si="41"/>
        <v/>
      </c>
      <c r="AG312" s="57" t="str">
        <f t="shared" si="42"/>
        <v/>
      </c>
      <c r="AH312" s="58" t="str">
        <f t="shared" si="43"/>
        <v/>
      </c>
      <c r="AV312" s="22" t="str">
        <f>IF(A312&lt;&gt;"",A312 &amp; "-" &amp;#REF! &amp; ROW(),"")</f>
        <v/>
      </c>
    </row>
    <row r="313" spans="11:48" x14ac:dyDescent="0.2">
      <c r="K313" s="11" t="str">
        <f>IF(AND(COUNTA(B313:C313)&gt;1,COUNTA(F313:G313)&gt;1,O313="Completed"),(G313-C313)/(C313-#REF!+1)%,"")</f>
        <v/>
      </c>
      <c r="L313" s="11" t="str">
        <f>IF(AND(COUNT(D313:E313)&gt;0,COUNTA(F313:G313)&gt;1,O313="Completed"),(G313-AG313)/(AG313-#REF!+1)%,"")</f>
        <v/>
      </c>
      <c r="M313" s="11" t="str">
        <f t="shared" si="38"/>
        <v/>
      </c>
      <c r="N313" s="11" t="str">
        <f t="shared" si="39"/>
        <v/>
      </c>
      <c r="O313" s="12"/>
      <c r="P313" s="12"/>
      <c r="R313" s="10" t="str">
        <f>IF(H313&lt;&gt;"",SUMIF(H$3:H313,"&lt;&gt;" &amp; "",H$3:H313),"")</f>
        <v/>
      </c>
      <c r="S313" s="10" t="str">
        <f t="array" ref="S313">IF(O313="Completed",SUMIF(W$3:W313,"&lt;&gt;" &amp; "",W$3:W313),"")</f>
        <v/>
      </c>
      <c r="T313" s="10" t="str">
        <f t="array" ref="T313">IF(AND(J313&lt;&gt;"",O313="Completed"),SUM(IF(O$3:O313="Completed",J$3:J313,0)),"")</f>
        <v/>
      </c>
      <c r="U313" s="10" t="str">
        <f t="shared" si="37"/>
        <v/>
      </c>
      <c r="V313" s="10">
        <f>ROW()</f>
        <v>313</v>
      </c>
      <c r="W313" s="10" t="str">
        <f t="shared" si="40"/>
        <v/>
      </c>
      <c r="Z313" s="10" t="str">
        <f>IF(A313&lt;&gt;"",'Metrics planning and tracking'!$K$4,"")</f>
        <v/>
      </c>
      <c r="AA313" s="10" t="str">
        <f>IF(A313&lt;&gt;"",'Metrics planning and tracking'!$K$5,"")</f>
        <v/>
      </c>
      <c r="AB313" s="10" t="str">
        <f>IF(A313&lt;&gt;"",'Metrics planning and tracking'!$K$2,"")</f>
        <v/>
      </c>
      <c r="AC313" s="10" t="str">
        <f>IF(A313&lt;&gt;"",'Metrics planning and tracking'!$K$3,"")</f>
        <v/>
      </c>
      <c r="AD313" s="10" t="str">
        <f>IF(A313&lt;&gt;"",IF(AND(#REF!&lt;&gt;"",#REF!&lt;&gt;"",#REF!&lt;&gt;0),#REF!/#REF!*100,"NA"),"")</f>
        <v/>
      </c>
      <c r="AE313" s="10" t="str">
        <f>IF(A313&lt;&gt;"",IF(AND(#REF!&lt;&gt;"",#REF!&lt;&gt;"",#REF!&lt;&gt;0),#REF!/#REF!*100,"NA"),"")</f>
        <v/>
      </c>
      <c r="AF313" s="57" t="str">
        <f t="shared" si="41"/>
        <v/>
      </c>
      <c r="AG313" s="57" t="str">
        <f t="shared" si="42"/>
        <v/>
      </c>
      <c r="AH313" s="58" t="str">
        <f t="shared" si="43"/>
        <v/>
      </c>
      <c r="AV313" s="22" t="str">
        <f>IF(A313&lt;&gt;"",A313 &amp; "-" &amp;#REF! &amp; ROW(),"")</f>
        <v/>
      </c>
    </row>
    <row r="314" spans="11:48" x14ac:dyDescent="0.2">
      <c r="K314" s="11" t="str">
        <f>IF(AND(COUNTA(B314:C314)&gt;1,COUNTA(F314:G314)&gt;1,O314="Completed"),(G314-C314)/(C314-#REF!+1)%,"")</f>
        <v/>
      </c>
      <c r="L314" s="11" t="str">
        <f>IF(AND(COUNT(D314:E314)&gt;0,COUNTA(F314:G314)&gt;1,O314="Completed"),(G314-AG314)/(AG314-#REF!+1)%,"")</f>
        <v/>
      </c>
      <c r="M314" s="11" t="str">
        <f t="shared" si="38"/>
        <v/>
      </c>
      <c r="N314" s="11" t="str">
        <f t="shared" si="39"/>
        <v/>
      </c>
      <c r="O314" s="12"/>
      <c r="P314" s="12"/>
      <c r="R314" s="10" t="str">
        <f>IF(H314&lt;&gt;"",SUMIF(H$3:H314,"&lt;&gt;" &amp; "",H$3:H314),"")</f>
        <v/>
      </c>
      <c r="S314" s="10" t="str">
        <f t="array" ref="S314">IF(O314="Completed",SUMIF(W$3:W314,"&lt;&gt;" &amp; "",W$3:W314),"")</f>
        <v/>
      </c>
      <c r="T314" s="10" t="str">
        <f t="array" ref="T314">IF(AND(J314&lt;&gt;"",O314="Completed"),SUM(IF(O$3:O314="Completed",J$3:J314,0)),"")</f>
        <v/>
      </c>
      <c r="U314" s="10" t="str">
        <f t="shared" si="37"/>
        <v/>
      </c>
      <c r="V314" s="10">
        <f>ROW()</f>
        <v>314</v>
      </c>
      <c r="W314" s="10" t="str">
        <f t="shared" si="40"/>
        <v/>
      </c>
      <c r="Z314" s="10" t="str">
        <f>IF(A314&lt;&gt;"",'Metrics planning and tracking'!$K$4,"")</f>
        <v/>
      </c>
      <c r="AA314" s="10" t="str">
        <f>IF(A314&lt;&gt;"",'Metrics planning and tracking'!$K$5,"")</f>
        <v/>
      </c>
      <c r="AB314" s="10" t="str">
        <f>IF(A314&lt;&gt;"",'Metrics planning and tracking'!$K$2,"")</f>
        <v/>
      </c>
      <c r="AC314" s="10" t="str">
        <f>IF(A314&lt;&gt;"",'Metrics planning and tracking'!$K$3,"")</f>
        <v/>
      </c>
      <c r="AD314" s="10" t="str">
        <f>IF(A314&lt;&gt;"",IF(AND(#REF!&lt;&gt;"",#REF!&lt;&gt;"",#REF!&lt;&gt;0),#REF!/#REF!*100,"NA"),"")</f>
        <v/>
      </c>
      <c r="AE314" s="10" t="str">
        <f>IF(A314&lt;&gt;"",IF(AND(#REF!&lt;&gt;"",#REF!&lt;&gt;"",#REF!&lt;&gt;0),#REF!/#REF!*100,"NA"),"")</f>
        <v/>
      </c>
      <c r="AF314" s="57" t="str">
        <f t="shared" si="41"/>
        <v/>
      </c>
      <c r="AG314" s="57" t="str">
        <f t="shared" si="42"/>
        <v/>
      </c>
      <c r="AH314" s="58" t="str">
        <f t="shared" si="43"/>
        <v/>
      </c>
      <c r="AV314" s="22" t="str">
        <f>IF(A314&lt;&gt;"",A314 &amp; "-" &amp;#REF! &amp; ROW(),"")</f>
        <v/>
      </c>
    </row>
    <row r="315" spans="11:48" x14ac:dyDescent="0.2">
      <c r="K315" s="11" t="str">
        <f>IF(AND(COUNTA(B315:C315)&gt;1,COUNTA(F315:G315)&gt;1,O315="Completed"),(G315-C315)/(C315-#REF!+1)%,"")</f>
        <v/>
      </c>
      <c r="L315" s="11" t="str">
        <f>IF(AND(COUNT(D315:E315)&gt;0,COUNTA(F315:G315)&gt;1,O315="Completed"),(G315-AG315)/(AG315-#REF!+1)%,"")</f>
        <v/>
      </c>
      <c r="M315" s="11" t="str">
        <f t="shared" si="38"/>
        <v/>
      </c>
      <c r="N315" s="11" t="str">
        <f t="shared" si="39"/>
        <v/>
      </c>
      <c r="O315" s="12"/>
      <c r="P315" s="12"/>
      <c r="R315" s="10" t="str">
        <f>IF(H315&lt;&gt;"",SUMIF(H$3:H315,"&lt;&gt;" &amp; "",H$3:H315),"")</f>
        <v/>
      </c>
      <c r="S315" s="10" t="str">
        <f t="array" ref="S315">IF(O315="Completed",SUMIF(W$3:W315,"&lt;&gt;" &amp; "",W$3:W315),"")</f>
        <v/>
      </c>
      <c r="T315" s="10" t="str">
        <f t="array" ref="T315">IF(AND(J315&lt;&gt;"",O315="Completed"),SUM(IF(O$3:O315="Completed",J$3:J315,0)),"")</f>
        <v/>
      </c>
      <c r="U315" s="10" t="str">
        <f t="shared" si="37"/>
        <v/>
      </c>
      <c r="V315" s="10">
        <f>ROW()</f>
        <v>315</v>
      </c>
      <c r="W315" s="10" t="str">
        <f t="shared" si="40"/>
        <v/>
      </c>
      <c r="Z315" s="10" t="str">
        <f>IF(A315&lt;&gt;"",'Metrics planning and tracking'!$K$4,"")</f>
        <v/>
      </c>
      <c r="AA315" s="10" t="str">
        <f>IF(A315&lt;&gt;"",'Metrics planning and tracking'!$K$5,"")</f>
        <v/>
      </c>
      <c r="AB315" s="10" t="str">
        <f>IF(A315&lt;&gt;"",'Metrics planning and tracking'!$K$2,"")</f>
        <v/>
      </c>
      <c r="AC315" s="10" t="str">
        <f>IF(A315&lt;&gt;"",'Metrics planning and tracking'!$K$3,"")</f>
        <v/>
      </c>
      <c r="AD315" s="10" t="str">
        <f>IF(A315&lt;&gt;"",IF(AND(#REF!&lt;&gt;"",#REF!&lt;&gt;"",#REF!&lt;&gt;0),#REF!/#REF!*100,"NA"),"")</f>
        <v/>
      </c>
      <c r="AE315" s="10" t="str">
        <f>IF(A315&lt;&gt;"",IF(AND(#REF!&lt;&gt;"",#REF!&lt;&gt;"",#REF!&lt;&gt;0),#REF!/#REF!*100,"NA"),"")</f>
        <v/>
      </c>
      <c r="AF315" s="57" t="str">
        <f t="shared" si="41"/>
        <v/>
      </c>
      <c r="AG315" s="57" t="str">
        <f t="shared" si="42"/>
        <v/>
      </c>
      <c r="AH315" s="58" t="str">
        <f t="shared" si="43"/>
        <v/>
      </c>
      <c r="AV315" s="22" t="str">
        <f>IF(A315&lt;&gt;"",A315 &amp; "-" &amp;#REF! &amp; ROW(),"")</f>
        <v/>
      </c>
    </row>
    <row r="316" spans="11:48" x14ac:dyDescent="0.2">
      <c r="K316" s="11" t="str">
        <f>IF(AND(COUNTA(B316:C316)&gt;1,COUNTA(F316:G316)&gt;1,O316="Completed"),(G316-C316)/(C316-#REF!+1)%,"")</f>
        <v/>
      </c>
      <c r="L316" s="11" t="str">
        <f>IF(AND(COUNT(D316:E316)&gt;0,COUNTA(F316:G316)&gt;1,O316="Completed"),(G316-AG316)/(AG316-#REF!+1)%,"")</f>
        <v/>
      </c>
      <c r="M316" s="11" t="str">
        <f t="shared" si="38"/>
        <v/>
      </c>
      <c r="N316" s="11" t="str">
        <f t="shared" si="39"/>
        <v/>
      </c>
      <c r="O316" s="12"/>
      <c r="P316" s="12"/>
      <c r="R316" s="10" t="str">
        <f>IF(H316&lt;&gt;"",SUMIF(H$3:H316,"&lt;&gt;" &amp; "",H$3:H316),"")</f>
        <v/>
      </c>
      <c r="S316" s="10" t="str">
        <f t="array" ref="S316">IF(O316="Completed",SUMIF(W$3:W316,"&lt;&gt;" &amp; "",W$3:W316),"")</f>
        <v/>
      </c>
      <c r="T316" s="10" t="str">
        <f t="array" ref="T316">IF(AND(J316&lt;&gt;"",O316="Completed"),SUM(IF(O$3:O316="Completed",J$3:J316,0)),"")</f>
        <v/>
      </c>
      <c r="U316" s="10" t="str">
        <f t="shared" si="37"/>
        <v/>
      </c>
      <c r="V316" s="10">
        <f>ROW()</f>
        <v>316</v>
      </c>
      <c r="W316" s="10" t="str">
        <f t="shared" si="40"/>
        <v/>
      </c>
      <c r="Z316" s="10" t="str">
        <f>IF(A316&lt;&gt;"",'Metrics planning and tracking'!$K$4,"")</f>
        <v/>
      </c>
      <c r="AA316" s="10" t="str">
        <f>IF(A316&lt;&gt;"",'Metrics planning and tracking'!$K$5,"")</f>
        <v/>
      </c>
      <c r="AB316" s="10" t="str">
        <f>IF(A316&lt;&gt;"",'Metrics planning and tracking'!$K$2,"")</f>
        <v/>
      </c>
      <c r="AC316" s="10" t="str">
        <f>IF(A316&lt;&gt;"",'Metrics planning and tracking'!$K$3,"")</f>
        <v/>
      </c>
      <c r="AD316" s="10" t="str">
        <f>IF(A316&lt;&gt;"",IF(AND(#REF!&lt;&gt;"",#REF!&lt;&gt;"",#REF!&lt;&gt;0),#REF!/#REF!*100,"NA"),"")</f>
        <v/>
      </c>
      <c r="AE316" s="10" t="str">
        <f>IF(A316&lt;&gt;"",IF(AND(#REF!&lt;&gt;"",#REF!&lt;&gt;"",#REF!&lt;&gt;0),#REF!/#REF!*100,"NA"),"")</f>
        <v/>
      </c>
      <c r="AF316" s="57" t="str">
        <f t="shared" si="41"/>
        <v/>
      </c>
      <c r="AG316" s="57" t="str">
        <f t="shared" si="42"/>
        <v/>
      </c>
      <c r="AH316" s="58" t="str">
        <f t="shared" si="43"/>
        <v/>
      </c>
      <c r="AV316" s="22" t="str">
        <f>IF(A316&lt;&gt;"",A316 &amp; "-" &amp;#REF! &amp; ROW(),"")</f>
        <v/>
      </c>
    </row>
    <row r="317" spans="11:48" x14ac:dyDescent="0.2">
      <c r="K317" s="11" t="str">
        <f>IF(AND(COUNTA(B317:C317)&gt;1,COUNTA(F317:G317)&gt;1,O317="Completed"),(G317-C317)/(C317-#REF!+1)%,"")</f>
        <v/>
      </c>
      <c r="L317" s="11" t="str">
        <f>IF(AND(COUNT(D317:E317)&gt;0,COUNTA(F317:G317)&gt;1,O317="Completed"),(G317-AG317)/(AG317-#REF!+1)%,"")</f>
        <v/>
      </c>
      <c r="M317" s="11" t="str">
        <f t="shared" si="38"/>
        <v/>
      </c>
      <c r="N317" s="11" t="str">
        <f t="shared" si="39"/>
        <v/>
      </c>
      <c r="O317" s="12"/>
      <c r="P317" s="12"/>
      <c r="R317" s="10" t="str">
        <f>IF(H317&lt;&gt;"",SUMIF(H$3:H317,"&lt;&gt;" &amp; "",H$3:H317),"")</f>
        <v/>
      </c>
      <c r="S317" s="10" t="str">
        <f t="array" ref="S317">IF(O317="Completed",SUMIF(W$3:W317,"&lt;&gt;" &amp; "",W$3:W317),"")</f>
        <v/>
      </c>
      <c r="T317" s="10" t="str">
        <f t="array" ref="T317">IF(AND(J317&lt;&gt;"",O317="Completed"),SUM(IF(O$3:O317="Completed",J$3:J317,0)),"")</f>
        <v/>
      </c>
      <c r="U317" s="10" t="str">
        <f t="shared" si="37"/>
        <v/>
      </c>
      <c r="V317" s="10">
        <f>ROW()</f>
        <v>317</v>
      </c>
      <c r="W317" s="10" t="str">
        <f t="shared" si="40"/>
        <v/>
      </c>
      <c r="Z317" s="10" t="str">
        <f>IF(A317&lt;&gt;"",'Metrics planning and tracking'!$K$4,"")</f>
        <v/>
      </c>
      <c r="AA317" s="10" t="str">
        <f>IF(A317&lt;&gt;"",'Metrics planning and tracking'!$K$5,"")</f>
        <v/>
      </c>
      <c r="AB317" s="10" t="str">
        <f>IF(A317&lt;&gt;"",'Metrics planning and tracking'!$K$2,"")</f>
        <v/>
      </c>
      <c r="AC317" s="10" t="str">
        <f>IF(A317&lt;&gt;"",'Metrics planning and tracking'!$K$3,"")</f>
        <v/>
      </c>
      <c r="AD317" s="10" t="str">
        <f>IF(A317&lt;&gt;"",IF(AND(#REF!&lt;&gt;"",#REF!&lt;&gt;"",#REF!&lt;&gt;0),#REF!/#REF!*100,"NA"),"")</f>
        <v/>
      </c>
      <c r="AE317" s="10" t="str">
        <f>IF(A317&lt;&gt;"",IF(AND(#REF!&lt;&gt;"",#REF!&lt;&gt;"",#REF!&lt;&gt;0),#REF!/#REF!*100,"NA"),"")</f>
        <v/>
      </c>
      <c r="AF317" s="57" t="str">
        <f t="shared" si="41"/>
        <v/>
      </c>
      <c r="AG317" s="57" t="str">
        <f t="shared" si="42"/>
        <v/>
      </c>
      <c r="AH317" s="58" t="str">
        <f t="shared" si="43"/>
        <v/>
      </c>
      <c r="AV317" s="22" t="str">
        <f>IF(A317&lt;&gt;"",A317 &amp; "-" &amp;#REF! &amp; ROW(),"")</f>
        <v/>
      </c>
    </row>
    <row r="318" spans="11:48" x14ac:dyDescent="0.2">
      <c r="K318" s="11" t="str">
        <f>IF(AND(COUNTA(B318:C318)&gt;1,COUNTA(F318:G318)&gt;1,O318="Completed"),(G318-C318)/(C318-#REF!+1)%,"")</f>
        <v/>
      </c>
      <c r="L318" s="11" t="str">
        <f>IF(AND(COUNT(D318:E318)&gt;0,COUNTA(F318:G318)&gt;1,O318="Completed"),(G318-AG318)/(AG318-#REF!+1)%,"")</f>
        <v/>
      </c>
      <c r="M318" s="11" t="str">
        <f t="shared" si="38"/>
        <v/>
      </c>
      <c r="N318" s="11" t="str">
        <f t="shared" si="39"/>
        <v/>
      </c>
      <c r="O318" s="12"/>
      <c r="P318" s="12"/>
      <c r="R318" s="10" t="str">
        <f>IF(H318&lt;&gt;"",SUMIF(H$3:H318,"&lt;&gt;" &amp; "",H$3:H318),"")</f>
        <v/>
      </c>
      <c r="S318" s="10" t="str">
        <f t="array" ref="S318">IF(O318="Completed",SUMIF(W$3:W318,"&lt;&gt;" &amp; "",W$3:W318),"")</f>
        <v/>
      </c>
      <c r="T318" s="10" t="str">
        <f t="array" ref="T318">IF(AND(J318&lt;&gt;"",O318="Completed"),SUM(IF(O$3:O318="Completed",J$3:J318,0)),"")</f>
        <v/>
      </c>
      <c r="U318" s="10" t="str">
        <f t="shared" si="37"/>
        <v/>
      </c>
      <c r="V318" s="10">
        <f>ROW()</f>
        <v>318</v>
      </c>
      <c r="W318" s="10" t="str">
        <f t="shared" si="40"/>
        <v/>
      </c>
      <c r="Z318" s="10" t="str">
        <f>IF(A318&lt;&gt;"",'Metrics planning and tracking'!$K$4,"")</f>
        <v/>
      </c>
      <c r="AA318" s="10" t="str">
        <f>IF(A318&lt;&gt;"",'Metrics planning and tracking'!$K$5,"")</f>
        <v/>
      </c>
      <c r="AB318" s="10" t="str">
        <f>IF(A318&lt;&gt;"",'Metrics planning and tracking'!$K$2,"")</f>
        <v/>
      </c>
      <c r="AC318" s="10" t="str">
        <f>IF(A318&lt;&gt;"",'Metrics planning and tracking'!$K$3,"")</f>
        <v/>
      </c>
      <c r="AD318" s="10" t="str">
        <f>IF(A318&lt;&gt;"",IF(AND(#REF!&lt;&gt;"",#REF!&lt;&gt;"",#REF!&lt;&gt;0),#REF!/#REF!*100,"NA"),"")</f>
        <v/>
      </c>
      <c r="AE318" s="10" t="str">
        <f>IF(A318&lt;&gt;"",IF(AND(#REF!&lt;&gt;"",#REF!&lt;&gt;"",#REF!&lt;&gt;0),#REF!/#REF!*100,"NA"),"")</f>
        <v/>
      </c>
      <c r="AF318" s="57" t="str">
        <f t="shared" si="41"/>
        <v/>
      </c>
      <c r="AG318" s="57" t="str">
        <f t="shared" si="42"/>
        <v/>
      </c>
      <c r="AH318" s="58" t="str">
        <f t="shared" si="43"/>
        <v/>
      </c>
      <c r="AV318" s="22" t="str">
        <f>IF(A318&lt;&gt;"",A318 &amp; "-" &amp;#REF! &amp; ROW(),"")</f>
        <v/>
      </c>
    </row>
    <row r="319" spans="11:48" x14ac:dyDescent="0.2">
      <c r="K319" s="11" t="str">
        <f>IF(AND(COUNTA(B319:C319)&gt;1,COUNTA(F319:G319)&gt;1,O319="Completed"),(G319-C319)/(C319-#REF!+1)%,"")</f>
        <v/>
      </c>
      <c r="L319" s="11" t="str">
        <f>IF(AND(COUNT(D319:E319)&gt;0,COUNTA(F319:G319)&gt;1,O319="Completed"),(G319-AG319)/(AG319-#REF!+1)%,"")</f>
        <v/>
      </c>
      <c r="M319" s="11" t="str">
        <f t="shared" si="38"/>
        <v/>
      </c>
      <c r="N319" s="11" t="str">
        <f t="shared" si="39"/>
        <v/>
      </c>
      <c r="O319" s="12"/>
      <c r="P319" s="12"/>
      <c r="R319" s="10" t="str">
        <f>IF(H319&lt;&gt;"",SUMIF(H$3:H319,"&lt;&gt;" &amp; "",H$3:H319),"")</f>
        <v/>
      </c>
      <c r="S319" s="10" t="str">
        <f t="array" ref="S319">IF(O319="Completed",SUMIF(W$3:W319,"&lt;&gt;" &amp; "",W$3:W319),"")</f>
        <v/>
      </c>
      <c r="T319" s="10" t="str">
        <f t="array" ref="T319">IF(AND(J319&lt;&gt;"",O319="Completed"),SUM(IF(O$3:O319="Completed",J$3:J319,0)),"")</f>
        <v/>
      </c>
      <c r="U319" s="10" t="str">
        <f t="shared" si="37"/>
        <v/>
      </c>
      <c r="V319" s="10">
        <f>ROW()</f>
        <v>319</v>
      </c>
      <c r="W319" s="10" t="str">
        <f t="shared" si="40"/>
        <v/>
      </c>
      <c r="Z319" s="10" t="str">
        <f>IF(A319&lt;&gt;"",'Metrics planning and tracking'!$K$4,"")</f>
        <v/>
      </c>
      <c r="AA319" s="10" t="str">
        <f>IF(A319&lt;&gt;"",'Metrics planning and tracking'!$K$5,"")</f>
        <v/>
      </c>
      <c r="AB319" s="10" t="str">
        <f>IF(A319&lt;&gt;"",'Metrics planning and tracking'!$K$2,"")</f>
        <v/>
      </c>
      <c r="AC319" s="10" t="str">
        <f>IF(A319&lt;&gt;"",'Metrics planning and tracking'!$K$3,"")</f>
        <v/>
      </c>
      <c r="AD319" s="10" t="str">
        <f>IF(A319&lt;&gt;"",IF(AND(#REF!&lt;&gt;"",#REF!&lt;&gt;"",#REF!&lt;&gt;0),#REF!/#REF!*100,"NA"),"")</f>
        <v/>
      </c>
      <c r="AE319" s="10" t="str">
        <f>IF(A319&lt;&gt;"",IF(AND(#REF!&lt;&gt;"",#REF!&lt;&gt;"",#REF!&lt;&gt;0),#REF!/#REF!*100,"NA"),"")</f>
        <v/>
      </c>
      <c r="AF319" s="57" t="str">
        <f t="shared" si="41"/>
        <v/>
      </c>
      <c r="AG319" s="57" t="str">
        <f t="shared" si="42"/>
        <v/>
      </c>
      <c r="AH319" s="58" t="str">
        <f t="shared" si="43"/>
        <v/>
      </c>
      <c r="AV319" s="22" t="str">
        <f>IF(A319&lt;&gt;"",A319 &amp; "-" &amp;#REF! &amp; ROW(),"")</f>
        <v/>
      </c>
    </row>
    <row r="320" spans="11:48" x14ac:dyDescent="0.2">
      <c r="K320" s="11" t="str">
        <f>IF(AND(COUNTA(B320:C320)&gt;1,COUNTA(F320:G320)&gt;1,O320="Completed"),(G320-C320)/(C320-#REF!+1)%,"")</f>
        <v/>
      </c>
      <c r="L320" s="11" t="str">
        <f>IF(AND(COUNT(D320:E320)&gt;0,COUNTA(F320:G320)&gt;1,O320="Completed"),(G320-AG320)/(AG320-#REF!+1)%,"")</f>
        <v/>
      </c>
      <c r="M320" s="11" t="str">
        <f t="shared" si="38"/>
        <v/>
      </c>
      <c r="N320" s="11" t="str">
        <f t="shared" si="39"/>
        <v/>
      </c>
      <c r="O320" s="12"/>
      <c r="P320" s="12"/>
      <c r="R320" s="10" t="str">
        <f>IF(H320&lt;&gt;"",SUMIF(H$3:H320,"&lt;&gt;" &amp; "",H$3:H320),"")</f>
        <v/>
      </c>
      <c r="S320" s="10" t="str">
        <f t="array" ref="S320">IF(O320="Completed",SUMIF(W$3:W320,"&lt;&gt;" &amp; "",W$3:W320),"")</f>
        <v/>
      </c>
      <c r="T320" s="10" t="str">
        <f t="array" ref="T320">IF(AND(J320&lt;&gt;"",O320="Completed"),SUM(IF(O$3:O320="Completed",J$3:J320,0)),"")</f>
        <v/>
      </c>
      <c r="U320" s="10" t="str">
        <f t="shared" si="37"/>
        <v/>
      </c>
      <c r="V320" s="10">
        <f>ROW()</f>
        <v>320</v>
      </c>
      <c r="W320" s="10" t="str">
        <f t="shared" si="40"/>
        <v/>
      </c>
      <c r="Z320" s="10" t="str">
        <f>IF(A320&lt;&gt;"",'Metrics planning and tracking'!$K$4,"")</f>
        <v/>
      </c>
      <c r="AA320" s="10" t="str">
        <f>IF(A320&lt;&gt;"",'Metrics planning and tracking'!$K$5,"")</f>
        <v/>
      </c>
      <c r="AB320" s="10" t="str">
        <f>IF(A320&lt;&gt;"",'Metrics planning and tracking'!$K$2,"")</f>
        <v/>
      </c>
      <c r="AC320" s="10" t="str">
        <f>IF(A320&lt;&gt;"",'Metrics planning and tracking'!$K$3,"")</f>
        <v/>
      </c>
      <c r="AD320" s="10" t="str">
        <f>IF(A320&lt;&gt;"",IF(AND(#REF!&lt;&gt;"",#REF!&lt;&gt;"",#REF!&lt;&gt;0),#REF!/#REF!*100,"NA"),"")</f>
        <v/>
      </c>
      <c r="AE320" s="10" t="str">
        <f>IF(A320&lt;&gt;"",IF(AND(#REF!&lt;&gt;"",#REF!&lt;&gt;"",#REF!&lt;&gt;0),#REF!/#REF!*100,"NA"),"")</f>
        <v/>
      </c>
      <c r="AF320" s="57" t="str">
        <f t="shared" si="41"/>
        <v/>
      </c>
      <c r="AG320" s="57" t="str">
        <f t="shared" si="42"/>
        <v/>
      </c>
      <c r="AH320" s="58" t="str">
        <f t="shared" si="43"/>
        <v/>
      </c>
      <c r="AV320" s="22" t="str">
        <f>IF(A320&lt;&gt;"",A320 &amp; "-" &amp;#REF! &amp; ROW(),"")</f>
        <v/>
      </c>
    </row>
    <row r="321" spans="11:48" x14ac:dyDescent="0.2">
      <c r="K321" s="11" t="str">
        <f>IF(AND(COUNTA(B321:C321)&gt;1,COUNTA(F321:G321)&gt;1,O321="Completed"),(G321-C321)/(C321-#REF!+1)%,"")</f>
        <v/>
      </c>
      <c r="L321" s="11" t="str">
        <f>IF(AND(COUNT(D321:E321)&gt;0,COUNTA(F321:G321)&gt;1,O321="Completed"),(G321-AG321)/(AG321-#REF!+1)%,"")</f>
        <v/>
      </c>
      <c r="M321" s="11" t="str">
        <f t="shared" si="38"/>
        <v/>
      </c>
      <c r="N321" s="11" t="str">
        <f t="shared" si="39"/>
        <v/>
      </c>
      <c r="O321" s="12"/>
      <c r="P321" s="12"/>
      <c r="R321" s="10" t="str">
        <f>IF(H321&lt;&gt;"",SUMIF(H$3:H321,"&lt;&gt;" &amp; "",H$3:H321),"")</f>
        <v/>
      </c>
      <c r="S321" s="10" t="str">
        <f t="array" ref="S321">IF(O321="Completed",SUMIF(W$3:W321,"&lt;&gt;" &amp; "",W$3:W321),"")</f>
        <v/>
      </c>
      <c r="T321" s="10" t="str">
        <f t="array" ref="T321">IF(AND(J321&lt;&gt;"",O321="Completed"),SUM(IF(O$3:O321="Completed",J$3:J321,0)),"")</f>
        <v/>
      </c>
      <c r="U321" s="10" t="str">
        <f t="shared" si="37"/>
        <v/>
      </c>
      <c r="V321" s="10">
        <f>ROW()</f>
        <v>321</v>
      </c>
      <c r="W321" s="10" t="str">
        <f t="shared" si="40"/>
        <v/>
      </c>
      <c r="Z321" s="10" t="str">
        <f>IF(A321&lt;&gt;"",'Metrics planning and tracking'!$K$4,"")</f>
        <v/>
      </c>
      <c r="AA321" s="10" t="str">
        <f>IF(A321&lt;&gt;"",'Metrics planning and tracking'!$K$5,"")</f>
        <v/>
      </c>
      <c r="AB321" s="10" t="str">
        <f>IF(A321&lt;&gt;"",'Metrics planning and tracking'!$K$2,"")</f>
        <v/>
      </c>
      <c r="AC321" s="10" t="str">
        <f>IF(A321&lt;&gt;"",'Metrics planning and tracking'!$K$3,"")</f>
        <v/>
      </c>
      <c r="AD321" s="10" t="str">
        <f>IF(A321&lt;&gt;"",IF(AND(#REF!&lt;&gt;"",#REF!&lt;&gt;"",#REF!&lt;&gt;0),#REF!/#REF!*100,"NA"),"")</f>
        <v/>
      </c>
      <c r="AE321" s="10" t="str">
        <f>IF(A321&lt;&gt;"",IF(AND(#REF!&lt;&gt;"",#REF!&lt;&gt;"",#REF!&lt;&gt;0),#REF!/#REF!*100,"NA"),"")</f>
        <v/>
      </c>
      <c r="AF321" s="57" t="str">
        <f t="shared" si="41"/>
        <v/>
      </c>
      <c r="AG321" s="57" t="str">
        <f t="shared" si="42"/>
        <v/>
      </c>
      <c r="AH321" s="58" t="str">
        <f t="shared" si="43"/>
        <v/>
      </c>
      <c r="AV321" s="22" t="str">
        <f>IF(A321&lt;&gt;"",A321 &amp; "-" &amp;#REF! &amp; ROW(),"")</f>
        <v/>
      </c>
    </row>
    <row r="322" spans="11:48" x14ac:dyDescent="0.2">
      <c r="K322" s="11" t="str">
        <f>IF(AND(COUNTA(B322:C322)&gt;1,COUNTA(F322:G322)&gt;1,O322="Completed"),(G322-C322)/(C322-#REF!+1)%,"")</f>
        <v/>
      </c>
      <c r="L322" s="11" t="str">
        <f>IF(AND(COUNT(D322:E322)&gt;0,COUNTA(F322:G322)&gt;1,O322="Completed"),(G322-AG322)/(AG322-#REF!+1)%,"")</f>
        <v/>
      </c>
      <c r="M322" s="11" t="str">
        <f t="shared" si="38"/>
        <v/>
      </c>
      <c r="N322" s="11" t="str">
        <f t="shared" si="39"/>
        <v/>
      </c>
      <c r="O322" s="12"/>
      <c r="P322" s="12"/>
      <c r="R322" s="10" t="str">
        <f>IF(H322&lt;&gt;"",SUMIF(H$3:H322,"&lt;&gt;" &amp; "",H$3:H322),"")</f>
        <v/>
      </c>
      <c r="S322" s="10" t="str">
        <f t="array" ref="S322">IF(O322="Completed",SUMIF(W$3:W322,"&lt;&gt;" &amp; "",W$3:W322),"")</f>
        <v/>
      </c>
      <c r="T322" s="10" t="str">
        <f t="array" ref="T322">IF(AND(J322&lt;&gt;"",O322="Completed"),SUM(IF(O$3:O322="Completed",J$3:J322,0)),"")</f>
        <v/>
      </c>
      <c r="U322" s="10" t="str">
        <f t="shared" si="37"/>
        <v/>
      </c>
      <c r="V322" s="10">
        <f>ROW()</f>
        <v>322</v>
      </c>
      <c r="W322" s="10" t="str">
        <f t="shared" si="40"/>
        <v/>
      </c>
      <c r="Z322" s="10" t="str">
        <f>IF(A322&lt;&gt;"",'Metrics planning and tracking'!$K$4,"")</f>
        <v/>
      </c>
      <c r="AA322" s="10" t="str">
        <f>IF(A322&lt;&gt;"",'Metrics planning and tracking'!$K$5,"")</f>
        <v/>
      </c>
      <c r="AB322" s="10" t="str">
        <f>IF(A322&lt;&gt;"",'Metrics planning and tracking'!$K$2,"")</f>
        <v/>
      </c>
      <c r="AC322" s="10" t="str">
        <f>IF(A322&lt;&gt;"",'Metrics planning and tracking'!$K$3,"")</f>
        <v/>
      </c>
      <c r="AD322" s="10" t="str">
        <f>IF(A322&lt;&gt;"",IF(AND(#REF!&lt;&gt;"",#REF!&lt;&gt;"",#REF!&lt;&gt;0),#REF!/#REF!*100,"NA"),"")</f>
        <v/>
      </c>
      <c r="AE322" s="10" t="str">
        <f>IF(A322&lt;&gt;"",IF(AND(#REF!&lt;&gt;"",#REF!&lt;&gt;"",#REF!&lt;&gt;0),#REF!/#REF!*100,"NA"),"")</f>
        <v/>
      </c>
      <c r="AF322" s="57" t="str">
        <f t="shared" si="41"/>
        <v/>
      </c>
      <c r="AG322" s="57" t="str">
        <f t="shared" si="42"/>
        <v/>
      </c>
      <c r="AH322" s="58" t="str">
        <f t="shared" si="43"/>
        <v/>
      </c>
      <c r="AV322" s="22" t="str">
        <f>IF(A322&lt;&gt;"",A322 &amp; "-" &amp;#REF! &amp; ROW(),"")</f>
        <v/>
      </c>
    </row>
    <row r="323" spans="11:48" x14ac:dyDescent="0.2">
      <c r="K323" s="11" t="str">
        <f>IF(AND(COUNTA(B323:C323)&gt;1,COUNTA(F323:G323)&gt;1,O323="Completed"),(G323-C323)/(C323-#REF!+1)%,"")</f>
        <v/>
      </c>
      <c r="L323" s="11" t="str">
        <f>IF(AND(COUNT(D323:E323)&gt;0,COUNTA(F323:G323)&gt;1,O323="Completed"),(G323-AG323)/(AG323-#REF!+1)%,"")</f>
        <v/>
      </c>
      <c r="M323" s="11" t="str">
        <f t="shared" si="38"/>
        <v/>
      </c>
      <c r="N323" s="11" t="str">
        <f t="shared" si="39"/>
        <v/>
      </c>
      <c r="O323" s="12"/>
      <c r="P323" s="12"/>
      <c r="R323" s="10" t="str">
        <f>IF(H323&lt;&gt;"",SUMIF(H$3:H323,"&lt;&gt;" &amp; "",H$3:H323),"")</f>
        <v/>
      </c>
      <c r="S323" s="10" t="str">
        <f t="array" ref="S323">IF(O323="Completed",SUMIF(W$3:W323,"&lt;&gt;" &amp; "",W$3:W323),"")</f>
        <v/>
      </c>
      <c r="T323" s="10" t="str">
        <f t="array" ref="T323">IF(AND(J323&lt;&gt;"",O323="Completed"),SUM(IF(O$3:O323="Completed",J$3:J323,0)),"")</f>
        <v/>
      </c>
      <c r="U323" s="10" t="str">
        <f t="shared" ref="U323:U386" si="44">IF(AND(A323&lt;&gt;"",P323="Yes"),ROW(),"")</f>
        <v/>
      </c>
      <c r="V323" s="10">
        <f>ROW()</f>
        <v>323</v>
      </c>
      <c r="W323" s="10" t="str">
        <f t="shared" si="40"/>
        <v/>
      </c>
      <c r="Z323" s="10" t="str">
        <f>IF(A323&lt;&gt;"",'Metrics planning and tracking'!$K$4,"")</f>
        <v/>
      </c>
      <c r="AA323" s="10" t="str">
        <f>IF(A323&lt;&gt;"",'Metrics planning and tracking'!$K$5,"")</f>
        <v/>
      </c>
      <c r="AB323" s="10" t="str">
        <f>IF(A323&lt;&gt;"",'Metrics planning and tracking'!$K$2,"")</f>
        <v/>
      </c>
      <c r="AC323" s="10" t="str">
        <f>IF(A323&lt;&gt;"",'Metrics planning and tracking'!$K$3,"")</f>
        <v/>
      </c>
      <c r="AD323" s="10" t="str">
        <f>IF(A323&lt;&gt;"",IF(AND(#REF!&lt;&gt;"",#REF!&lt;&gt;"",#REF!&lt;&gt;0),#REF!/#REF!*100,"NA"),"")</f>
        <v/>
      </c>
      <c r="AE323" s="10" t="str">
        <f>IF(A323&lt;&gt;"",IF(AND(#REF!&lt;&gt;"",#REF!&lt;&gt;"",#REF!&lt;&gt;0),#REF!/#REF!*100,"NA"),"")</f>
        <v/>
      </c>
      <c r="AF323" s="57" t="str">
        <f t="shared" si="41"/>
        <v/>
      </c>
      <c r="AG323" s="57" t="str">
        <f t="shared" si="42"/>
        <v/>
      </c>
      <c r="AH323" s="58" t="str">
        <f t="shared" si="43"/>
        <v/>
      </c>
      <c r="AV323" s="22" t="str">
        <f>IF(A323&lt;&gt;"",A323 &amp; "-" &amp;#REF! &amp; ROW(),"")</f>
        <v/>
      </c>
    </row>
    <row r="324" spans="11:48" x14ac:dyDescent="0.2">
      <c r="K324" s="11" t="str">
        <f>IF(AND(COUNTA(B324:C324)&gt;1,COUNTA(F324:G324)&gt;1,O324="Completed"),(G324-C324)/(C324-#REF!+1)%,"")</f>
        <v/>
      </c>
      <c r="L324" s="11" t="str">
        <f>IF(AND(COUNT(D324:E324)&gt;0,COUNTA(F324:G324)&gt;1,O324="Completed"),(G324-AG324)/(AG324-#REF!+1)%,"")</f>
        <v/>
      </c>
      <c r="M324" s="11" t="str">
        <f t="shared" si="38"/>
        <v/>
      </c>
      <c r="N324" s="11" t="str">
        <f t="shared" si="39"/>
        <v/>
      </c>
      <c r="O324" s="12"/>
      <c r="P324" s="12"/>
      <c r="R324" s="10" t="str">
        <f>IF(H324&lt;&gt;"",SUMIF(H$3:H324,"&lt;&gt;" &amp; "",H$3:H324),"")</f>
        <v/>
      </c>
      <c r="S324" s="10" t="str">
        <f t="array" ref="S324">IF(O324="Completed",SUMIF(W$3:W324,"&lt;&gt;" &amp; "",W$3:W324),"")</f>
        <v/>
      </c>
      <c r="T324" s="10" t="str">
        <f t="array" ref="T324">IF(AND(J324&lt;&gt;"",O324="Completed"),SUM(IF(O$3:O324="Completed",J$3:J324,0)),"")</f>
        <v/>
      </c>
      <c r="U324" s="10" t="str">
        <f t="shared" si="44"/>
        <v/>
      </c>
      <c r="V324" s="10">
        <f>ROW()</f>
        <v>324</v>
      </c>
      <c r="W324" s="10" t="str">
        <f t="shared" si="40"/>
        <v/>
      </c>
      <c r="Z324" s="10" t="str">
        <f>IF(A324&lt;&gt;"",'Metrics planning and tracking'!$K$4,"")</f>
        <v/>
      </c>
      <c r="AA324" s="10" t="str">
        <f>IF(A324&lt;&gt;"",'Metrics planning and tracking'!$K$5,"")</f>
        <v/>
      </c>
      <c r="AB324" s="10" t="str">
        <f>IF(A324&lt;&gt;"",'Metrics planning and tracking'!$K$2,"")</f>
        <v/>
      </c>
      <c r="AC324" s="10" t="str">
        <f>IF(A324&lt;&gt;"",'Metrics planning and tracking'!$K$3,"")</f>
        <v/>
      </c>
      <c r="AD324" s="10" t="str">
        <f>IF(A324&lt;&gt;"",IF(AND(#REF!&lt;&gt;"",#REF!&lt;&gt;"",#REF!&lt;&gt;0),#REF!/#REF!*100,"NA"),"")</f>
        <v/>
      </c>
      <c r="AE324" s="10" t="str">
        <f>IF(A324&lt;&gt;"",IF(AND(#REF!&lt;&gt;"",#REF!&lt;&gt;"",#REF!&lt;&gt;0),#REF!/#REF!*100,"NA"),"")</f>
        <v/>
      </c>
      <c r="AF324" s="57" t="str">
        <f t="shared" si="41"/>
        <v/>
      </c>
      <c r="AG324" s="57" t="str">
        <f t="shared" si="42"/>
        <v/>
      </c>
      <c r="AH324" s="58" t="str">
        <f t="shared" si="43"/>
        <v/>
      </c>
      <c r="AV324" s="22" t="str">
        <f>IF(A324&lt;&gt;"",A324 &amp; "-" &amp;#REF! &amp; ROW(),"")</f>
        <v/>
      </c>
    </row>
    <row r="325" spans="11:48" x14ac:dyDescent="0.2">
      <c r="K325" s="11" t="str">
        <f>IF(AND(COUNTA(B325:C325)&gt;1,COUNTA(F325:G325)&gt;1,O325="Completed"),(G325-C325)/(C325-#REF!+1)%,"")</f>
        <v/>
      </c>
      <c r="L325" s="11" t="str">
        <f>IF(AND(COUNT(D325:E325)&gt;0,COUNTA(F325:G325)&gt;1,O325="Completed"),(G325-AG325)/(AG325-#REF!+1)%,"")</f>
        <v/>
      </c>
      <c r="M325" s="11" t="str">
        <f t="shared" si="38"/>
        <v/>
      </c>
      <c r="N325" s="11" t="str">
        <f t="shared" si="39"/>
        <v/>
      </c>
      <c r="O325" s="12"/>
      <c r="P325" s="12"/>
      <c r="R325" s="10" t="str">
        <f>IF(H325&lt;&gt;"",SUMIF(H$3:H325,"&lt;&gt;" &amp; "",H$3:H325),"")</f>
        <v/>
      </c>
      <c r="S325" s="10" t="str">
        <f t="array" ref="S325">IF(O325="Completed",SUMIF(W$3:W325,"&lt;&gt;" &amp; "",W$3:W325),"")</f>
        <v/>
      </c>
      <c r="T325" s="10" t="str">
        <f t="array" ref="T325">IF(AND(J325&lt;&gt;"",O325="Completed"),SUM(IF(O$3:O325="Completed",J$3:J325,0)),"")</f>
        <v/>
      </c>
      <c r="U325" s="10" t="str">
        <f t="shared" si="44"/>
        <v/>
      </c>
      <c r="V325" s="10">
        <f>ROW()</f>
        <v>325</v>
      </c>
      <c r="W325" s="10" t="str">
        <f t="shared" si="40"/>
        <v/>
      </c>
      <c r="Z325" s="10" t="str">
        <f>IF(A325&lt;&gt;"",'Metrics planning and tracking'!$K$4,"")</f>
        <v/>
      </c>
      <c r="AA325" s="10" t="str">
        <f>IF(A325&lt;&gt;"",'Metrics planning and tracking'!$K$5,"")</f>
        <v/>
      </c>
      <c r="AB325" s="10" t="str">
        <f>IF(A325&lt;&gt;"",'Metrics planning and tracking'!$K$2,"")</f>
        <v/>
      </c>
      <c r="AC325" s="10" t="str">
        <f>IF(A325&lt;&gt;"",'Metrics planning and tracking'!$K$3,"")</f>
        <v/>
      </c>
      <c r="AD325" s="10" t="str">
        <f>IF(A325&lt;&gt;"",IF(AND(#REF!&lt;&gt;"",#REF!&lt;&gt;"",#REF!&lt;&gt;0),#REF!/#REF!*100,"NA"),"")</f>
        <v/>
      </c>
      <c r="AE325" s="10" t="str">
        <f>IF(A325&lt;&gt;"",IF(AND(#REF!&lt;&gt;"",#REF!&lt;&gt;"",#REF!&lt;&gt;0),#REF!/#REF!*100,"NA"),"")</f>
        <v/>
      </c>
      <c r="AF325" s="57" t="str">
        <f t="shared" si="41"/>
        <v/>
      </c>
      <c r="AG325" s="57" t="str">
        <f t="shared" si="42"/>
        <v/>
      </c>
      <c r="AH325" s="58" t="str">
        <f t="shared" si="43"/>
        <v/>
      </c>
      <c r="AV325" s="22" t="str">
        <f>IF(A325&lt;&gt;"",A325 &amp; "-" &amp;#REF! &amp; ROW(),"")</f>
        <v/>
      </c>
    </row>
    <row r="326" spans="11:48" x14ac:dyDescent="0.2">
      <c r="K326" s="11" t="str">
        <f>IF(AND(COUNTA(B326:C326)&gt;1,COUNTA(F326:G326)&gt;1,O326="Completed"),(G326-C326)/(C326-#REF!+1)%,"")</f>
        <v/>
      </c>
      <c r="L326" s="11" t="str">
        <f>IF(AND(COUNT(D326:E326)&gt;0,COUNTA(F326:G326)&gt;1,O326="Completed"),(G326-AG326)/(AG326-#REF!+1)%,"")</f>
        <v/>
      </c>
      <c r="M326" s="11" t="str">
        <f t="shared" si="38"/>
        <v/>
      </c>
      <c r="N326" s="11" t="str">
        <f t="shared" si="39"/>
        <v/>
      </c>
      <c r="O326" s="12"/>
      <c r="P326" s="12"/>
      <c r="R326" s="10" t="str">
        <f>IF(H326&lt;&gt;"",SUMIF(H$3:H326,"&lt;&gt;" &amp; "",H$3:H326),"")</f>
        <v/>
      </c>
      <c r="S326" s="10" t="str">
        <f t="array" ref="S326">IF(O326="Completed",SUMIF(W$3:W326,"&lt;&gt;" &amp; "",W$3:W326),"")</f>
        <v/>
      </c>
      <c r="T326" s="10" t="str">
        <f t="array" ref="T326">IF(AND(J326&lt;&gt;"",O326="Completed"),SUM(IF(O$3:O326="Completed",J$3:J326,0)),"")</f>
        <v/>
      </c>
      <c r="U326" s="10" t="str">
        <f t="shared" si="44"/>
        <v/>
      </c>
      <c r="V326" s="10">
        <f>ROW()</f>
        <v>326</v>
      </c>
      <c r="W326" s="10" t="str">
        <f t="shared" si="40"/>
        <v/>
      </c>
      <c r="Z326" s="10" t="str">
        <f>IF(A326&lt;&gt;"",'Metrics planning and tracking'!$K$4,"")</f>
        <v/>
      </c>
      <c r="AA326" s="10" t="str">
        <f>IF(A326&lt;&gt;"",'Metrics planning and tracking'!$K$5,"")</f>
        <v/>
      </c>
      <c r="AB326" s="10" t="str">
        <f>IF(A326&lt;&gt;"",'Metrics planning and tracking'!$K$2,"")</f>
        <v/>
      </c>
      <c r="AC326" s="10" t="str">
        <f>IF(A326&lt;&gt;"",'Metrics planning and tracking'!$K$3,"")</f>
        <v/>
      </c>
      <c r="AD326" s="10" t="str">
        <f>IF(A326&lt;&gt;"",IF(AND(#REF!&lt;&gt;"",#REF!&lt;&gt;"",#REF!&lt;&gt;0),#REF!/#REF!*100,"NA"),"")</f>
        <v/>
      </c>
      <c r="AE326" s="10" t="str">
        <f>IF(A326&lt;&gt;"",IF(AND(#REF!&lt;&gt;"",#REF!&lt;&gt;"",#REF!&lt;&gt;0),#REF!/#REF!*100,"NA"),"")</f>
        <v/>
      </c>
      <c r="AF326" s="57" t="str">
        <f t="shared" si="41"/>
        <v/>
      </c>
      <c r="AG326" s="57" t="str">
        <f t="shared" si="42"/>
        <v/>
      </c>
      <c r="AH326" s="58" t="str">
        <f t="shared" si="43"/>
        <v/>
      </c>
      <c r="AV326" s="22" t="str">
        <f>IF(A326&lt;&gt;"",A326 &amp; "-" &amp;#REF! &amp; ROW(),"")</f>
        <v/>
      </c>
    </row>
    <row r="327" spans="11:48" x14ac:dyDescent="0.2">
      <c r="K327" s="11" t="str">
        <f>IF(AND(COUNTA(B327:C327)&gt;1,COUNTA(F327:G327)&gt;1,O327="Completed"),(G327-C327)/(C327-#REF!+1)%,"")</f>
        <v/>
      </c>
      <c r="L327" s="11" t="str">
        <f>IF(AND(COUNT(D327:E327)&gt;0,COUNTA(F327:G327)&gt;1,O327="Completed"),(G327-AG327)/(AG327-#REF!+1)%,"")</f>
        <v/>
      </c>
      <c r="M327" s="11" t="str">
        <f t="shared" si="38"/>
        <v/>
      </c>
      <c r="N327" s="11" t="str">
        <f t="shared" si="39"/>
        <v/>
      </c>
      <c r="O327" s="12"/>
      <c r="P327" s="12"/>
      <c r="R327" s="10" t="str">
        <f>IF(H327&lt;&gt;"",SUMIF(H$3:H327,"&lt;&gt;" &amp; "",H$3:H327),"")</f>
        <v/>
      </c>
      <c r="S327" s="10" t="str">
        <f t="array" ref="S327">IF(O327="Completed",SUMIF(W$3:W327,"&lt;&gt;" &amp; "",W$3:W327),"")</f>
        <v/>
      </c>
      <c r="T327" s="10" t="str">
        <f t="array" ref="T327">IF(AND(J327&lt;&gt;"",O327="Completed"),SUM(IF(O$3:O327="Completed",J$3:J327,0)),"")</f>
        <v/>
      </c>
      <c r="U327" s="10" t="str">
        <f t="shared" si="44"/>
        <v/>
      </c>
      <c r="V327" s="10">
        <f>ROW()</f>
        <v>327</v>
      </c>
      <c r="W327" s="10" t="str">
        <f t="shared" si="40"/>
        <v/>
      </c>
      <c r="Z327" s="10" t="str">
        <f>IF(A327&lt;&gt;"",'Metrics planning and tracking'!$K$4,"")</f>
        <v/>
      </c>
      <c r="AA327" s="10" t="str">
        <f>IF(A327&lt;&gt;"",'Metrics planning and tracking'!$K$5,"")</f>
        <v/>
      </c>
      <c r="AB327" s="10" t="str">
        <f>IF(A327&lt;&gt;"",'Metrics planning and tracking'!$K$2,"")</f>
        <v/>
      </c>
      <c r="AC327" s="10" t="str">
        <f>IF(A327&lt;&gt;"",'Metrics planning and tracking'!$K$3,"")</f>
        <v/>
      </c>
      <c r="AD327" s="10" t="str">
        <f>IF(A327&lt;&gt;"",IF(AND(#REF!&lt;&gt;"",#REF!&lt;&gt;"",#REF!&lt;&gt;0),#REF!/#REF!*100,"NA"),"")</f>
        <v/>
      </c>
      <c r="AE327" s="10" t="str">
        <f>IF(A327&lt;&gt;"",IF(AND(#REF!&lt;&gt;"",#REF!&lt;&gt;"",#REF!&lt;&gt;0),#REF!/#REF!*100,"NA"),"")</f>
        <v/>
      </c>
      <c r="AF327" s="57" t="str">
        <f t="shared" si="41"/>
        <v/>
      </c>
      <c r="AG327" s="57" t="str">
        <f t="shared" si="42"/>
        <v/>
      </c>
      <c r="AH327" s="58" t="str">
        <f t="shared" si="43"/>
        <v/>
      </c>
      <c r="AV327" s="22" t="str">
        <f>IF(A327&lt;&gt;"",A327 &amp; "-" &amp;#REF! &amp; ROW(),"")</f>
        <v/>
      </c>
    </row>
    <row r="328" spans="11:48" x14ac:dyDescent="0.2">
      <c r="K328" s="11" t="str">
        <f>IF(AND(COUNTA(B328:C328)&gt;1,COUNTA(F328:G328)&gt;1,O328="Completed"),(G328-C328)/(C328-#REF!+1)%,"")</f>
        <v/>
      </c>
      <c r="L328" s="11" t="str">
        <f>IF(AND(COUNT(D328:E328)&gt;0,COUNTA(F328:G328)&gt;1,O328="Completed"),(G328-AG328)/(AG328-#REF!+1)%,"")</f>
        <v/>
      </c>
      <c r="M328" s="11" t="str">
        <f t="shared" si="38"/>
        <v/>
      </c>
      <c r="N328" s="11" t="str">
        <f t="shared" si="39"/>
        <v/>
      </c>
      <c r="O328" s="12"/>
      <c r="P328" s="12"/>
      <c r="R328" s="10" t="str">
        <f>IF(H328&lt;&gt;"",SUMIF(H$3:H328,"&lt;&gt;" &amp; "",H$3:H328),"")</f>
        <v/>
      </c>
      <c r="S328" s="10" t="str">
        <f t="array" ref="S328">IF(O328="Completed",SUMIF(W$3:W328,"&lt;&gt;" &amp; "",W$3:W328),"")</f>
        <v/>
      </c>
      <c r="T328" s="10" t="str">
        <f t="array" ref="T328">IF(AND(J328&lt;&gt;"",O328="Completed"),SUM(IF(O$3:O328="Completed",J$3:J328,0)),"")</f>
        <v/>
      </c>
      <c r="U328" s="10" t="str">
        <f t="shared" si="44"/>
        <v/>
      </c>
      <c r="V328" s="10">
        <f>ROW()</f>
        <v>328</v>
      </c>
      <c r="W328" s="10" t="str">
        <f t="shared" si="40"/>
        <v/>
      </c>
      <c r="Z328" s="10" t="str">
        <f>IF(A328&lt;&gt;"",'Metrics planning and tracking'!$K$4,"")</f>
        <v/>
      </c>
      <c r="AA328" s="10" t="str">
        <f>IF(A328&lt;&gt;"",'Metrics planning and tracking'!$K$5,"")</f>
        <v/>
      </c>
      <c r="AB328" s="10" t="str">
        <f>IF(A328&lt;&gt;"",'Metrics planning and tracking'!$K$2,"")</f>
        <v/>
      </c>
      <c r="AC328" s="10" t="str">
        <f>IF(A328&lt;&gt;"",'Metrics planning and tracking'!$K$3,"")</f>
        <v/>
      </c>
      <c r="AD328" s="10" t="str">
        <f>IF(A328&lt;&gt;"",IF(AND(#REF!&lt;&gt;"",#REF!&lt;&gt;"",#REF!&lt;&gt;0),#REF!/#REF!*100,"NA"),"")</f>
        <v/>
      </c>
      <c r="AE328" s="10" t="str">
        <f>IF(A328&lt;&gt;"",IF(AND(#REF!&lt;&gt;"",#REF!&lt;&gt;"",#REF!&lt;&gt;0),#REF!/#REF!*100,"NA"),"")</f>
        <v/>
      </c>
      <c r="AF328" s="57" t="str">
        <f t="shared" si="41"/>
        <v/>
      </c>
      <c r="AG328" s="57" t="str">
        <f t="shared" si="42"/>
        <v/>
      </c>
      <c r="AH328" s="58" t="str">
        <f t="shared" si="43"/>
        <v/>
      </c>
      <c r="AV328" s="22" t="str">
        <f>IF(A328&lt;&gt;"",A328 &amp; "-" &amp;#REF! &amp; ROW(),"")</f>
        <v/>
      </c>
    </row>
    <row r="329" spans="11:48" x14ac:dyDescent="0.2">
      <c r="K329" s="11" t="str">
        <f>IF(AND(COUNTA(B329:C329)&gt;1,COUNTA(F329:G329)&gt;1,O329="Completed"),(G329-C329)/(C329-#REF!+1)%,"")</f>
        <v/>
      </c>
      <c r="L329" s="11" t="str">
        <f>IF(AND(COUNT(D329:E329)&gt;0,COUNTA(F329:G329)&gt;1,O329="Completed"),(G329-AG329)/(AG329-#REF!+1)%,"")</f>
        <v/>
      </c>
      <c r="M329" s="11" t="str">
        <f t="shared" si="38"/>
        <v/>
      </c>
      <c r="N329" s="11" t="str">
        <f t="shared" si="39"/>
        <v/>
      </c>
      <c r="O329" s="12"/>
      <c r="P329" s="12"/>
      <c r="R329" s="10" t="str">
        <f>IF(H329&lt;&gt;"",SUMIF(H$3:H329,"&lt;&gt;" &amp; "",H$3:H329),"")</f>
        <v/>
      </c>
      <c r="S329" s="10" t="str">
        <f t="array" ref="S329">IF(O329="Completed",SUMIF(W$3:W329,"&lt;&gt;" &amp; "",W$3:W329),"")</f>
        <v/>
      </c>
      <c r="T329" s="10" t="str">
        <f t="array" ref="T329">IF(AND(J329&lt;&gt;"",O329="Completed"),SUM(IF(O$3:O329="Completed",J$3:J329,0)),"")</f>
        <v/>
      </c>
      <c r="U329" s="10" t="str">
        <f t="shared" si="44"/>
        <v/>
      </c>
      <c r="V329" s="10">
        <f>ROW()</f>
        <v>329</v>
      </c>
      <c r="W329" s="10" t="str">
        <f t="shared" si="40"/>
        <v/>
      </c>
      <c r="Z329" s="10" t="str">
        <f>IF(A329&lt;&gt;"",'Metrics planning and tracking'!$K$4,"")</f>
        <v/>
      </c>
      <c r="AA329" s="10" t="str">
        <f>IF(A329&lt;&gt;"",'Metrics planning and tracking'!$K$5,"")</f>
        <v/>
      </c>
      <c r="AB329" s="10" t="str">
        <f>IF(A329&lt;&gt;"",'Metrics planning and tracking'!$K$2,"")</f>
        <v/>
      </c>
      <c r="AC329" s="10" t="str">
        <f>IF(A329&lt;&gt;"",'Metrics planning and tracking'!$K$3,"")</f>
        <v/>
      </c>
      <c r="AD329" s="10" t="str">
        <f>IF(A329&lt;&gt;"",IF(AND(#REF!&lt;&gt;"",#REF!&lt;&gt;"",#REF!&lt;&gt;0),#REF!/#REF!*100,"NA"),"")</f>
        <v/>
      </c>
      <c r="AE329" s="10" t="str">
        <f>IF(A329&lt;&gt;"",IF(AND(#REF!&lt;&gt;"",#REF!&lt;&gt;"",#REF!&lt;&gt;0),#REF!/#REF!*100,"NA"),"")</f>
        <v/>
      </c>
      <c r="AF329" s="57" t="str">
        <f t="shared" si="41"/>
        <v/>
      </c>
      <c r="AG329" s="57" t="str">
        <f t="shared" si="42"/>
        <v/>
      </c>
      <c r="AH329" s="58" t="str">
        <f t="shared" si="43"/>
        <v/>
      </c>
      <c r="AV329" s="22" t="str">
        <f>IF(A329&lt;&gt;"",A329 &amp; "-" &amp;#REF! &amp; ROW(),"")</f>
        <v/>
      </c>
    </row>
    <row r="330" spans="11:48" x14ac:dyDescent="0.2">
      <c r="K330" s="11" t="str">
        <f>IF(AND(COUNTA(B330:C330)&gt;1,COUNTA(F330:G330)&gt;1,O330="Completed"),(G330-C330)/(C330-#REF!+1)%,"")</f>
        <v/>
      </c>
      <c r="L330" s="11" t="str">
        <f>IF(AND(COUNT(D330:E330)&gt;0,COUNTA(F330:G330)&gt;1,O330="Completed"),(G330-AG330)/(AG330-#REF!+1)%,"")</f>
        <v/>
      </c>
      <c r="M330" s="11" t="str">
        <f t="shared" si="38"/>
        <v/>
      </c>
      <c r="N330" s="11" t="str">
        <f t="shared" si="39"/>
        <v/>
      </c>
      <c r="O330" s="12"/>
      <c r="P330" s="12"/>
      <c r="R330" s="10" t="str">
        <f>IF(H330&lt;&gt;"",SUMIF(H$3:H330,"&lt;&gt;" &amp; "",H$3:H330),"")</f>
        <v/>
      </c>
      <c r="S330" s="10" t="str">
        <f t="array" ref="S330">IF(O330="Completed",SUMIF(W$3:W330,"&lt;&gt;" &amp; "",W$3:W330),"")</f>
        <v/>
      </c>
      <c r="T330" s="10" t="str">
        <f t="array" ref="T330">IF(AND(J330&lt;&gt;"",O330="Completed"),SUM(IF(O$3:O330="Completed",J$3:J330,0)),"")</f>
        <v/>
      </c>
      <c r="U330" s="10" t="str">
        <f t="shared" si="44"/>
        <v/>
      </c>
      <c r="V330" s="10">
        <f>ROW()</f>
        <v>330</v>
      </c>
      <c r="W330" s="10" t="str">
        <f t="shared" si="40"/>
        <v/>
      </c>
      <c r="Z330" s="10" t="str">
        <f>IF(A330&lt;&gt;"",'Metrics planning and tracking'!$K$4,"")</f>
        <v/>
      </c>
      <c r="AA330" s="10" t="str">
        <f>IF(A330&lt;&gt;"",'Metrics planning and tracking'!$K$5,"")</f>
        <v/>
      </c>
      <c r="AB330" s="10" t="str">
        <f>IF(A330&lt;&gt;"",'Metrics planning and tracking'!$K$2,"")</f>
        <v/>
      </c>
      <c r="AC330" s="10" t="str">
        <f>IF(A330&lt;&gt;"",'Metrics planning and tracking'!$K$3,"")</f>
        <v/>
      </c>
      <c r="AD330" s="10" t="str">
        <f>IF(A330&lt;&gt;"",IF(AND(#REF!&lt;&gt;"",#REF!&lt;&gt;"",#REF!&lt;&gt;0),#REF!/#REF!*100,"NA"),"")</f>
        <v/>
      </c>
      <c r="AE330" s="10" t="str">
        <f>IF(A330&lt;&gt;"",IF(AND(#REF!&lt;&gt;"",#REF!&lt;&gt;"",#REF!&lt;&gt;0),#REF!/#REF!*100,"NA"),"")</f>
        <v/>
      </c>
      <c r="AF330" s="57" t="str">
        <f t="shared" si="41"/>
        <v/>
      </c>
      <c r="AG330" s="57" t="str">
        <f t="shared" si="42"/>
        <v/>
      </c>
      <c r="AH330" s="58" t="str">
        <f t="shared" si="43"/>
        <v/>
      </c>
      <c r="AV330" s="22" t="str">
        <f>IF(A330&lt;&gt;"",A330 &amp; "-" &amp;#REF! &amp; ROW(),"")</f>
        <v/>
      </c>
    </row>
    <row r="331" spans="11:48" x14ac:dyDescent="0.2">
      <c r="K331" s="11" t="str">
        <f>IF(AND(COUNTA(B331:C331)&gt;1,COUNTA(F331:G331)&gt;1,O331="Completed"),(G331-C331)/(C331-#REF!+1)%,"")</f>
        <v/>
      </c>
      <c r="L331" s="11" t="str">
        <f>IF(AND(COUNT(D331:E331)&gt;0,COUNTA(F331:G331)&gt;1,O331="Completed"),(G331-AG331)/(AG331-#REF!+1)%,"")</f>
        <v/>
      </c>
      <c r="M331" s="11" t="str">
        <f t="shared" si="38"/>
        <v/>
      </c>
      <c r="N331" s="11" t="str">
        <f t="shared" si="39"/>
        <v/>
      </c>
      <c r="O331" s="12"/>
      <c r="P331" s="12"/>
      <c r="R331" s="10" t="str">
        <f>IF(H331&lt;&gt;"",SUMIF(H$3:H331,"&lt;&gt;" &amp; "",H$3:H331),"")</f>
        <v/>
      </c>
      <c r="S331" s="10" t="str">
        <f t="array" ref="S331">IF(O331="Completed",SUMIF(W$3:W331,"&lt;&gt;" &amp; "",W$3:W331),"")</f>
        <v/>
      </c>
      <c r="T331" s="10" t="str">
        <f t="array" ref="T331">IF(AND(J331&lt;&gt;"",O331="Completed"),SUM(IF(O$3:O331="Completed",J$3:J331,0)),"")</f>
        <v/>
      </c>
      <c r="U331" s="10" t="str">
        <f t="shared" si="44"/>
        <v/>
      </c>
      <c r="V331" s="10">
        <f>ROW()</f>
        <v>331</v>
      </c>
      <c r="W331" s="10" t="str">
        <f t="shared" si="40"/>
        <v/>
      </c>
      <c r="Z331" s="10" t="str">
        <f>IF(A331&lt;&gt;"",'Metrics planning and tracking'!$K$4,"")</f>
        <v/>
      </c>
      <c r="AA331" s="10" t="str">
        <f>IF(A331&lt;&gt;"",'Metrics planning and tracking'!$K$5,"")</f>
        <v/>
      </c>
      <c r="AB331" s="10" t="str">
        <f>IF(A331&lt;&gt;"",'Metrics planning and tracking'!$K$2,"")</f>
        <v/>
      </c>
      <c r="AC331" s="10" t="str">
        <f>IF(A331&lt;&gt;"",'Metrics planning and tracking'!$K$3,"")</f>
        <v/>
      </c>
      <c r="AD331" s="10" t="str">
        <f>IF(A331&lt;&gt;"",IF(AND(#REF!&lt;&gt;"",#REF!&lt;&gt;"",#REF!&lt;&gt;0),#REF!/#REF!*100,"NA"),"")</f>
        <v/>
      </c>
      <c r="AE331" s="10" t="str">
        <f>IF(A331&lt;&gt;"",IF(AND(#REF!&lt;&gt;"",#REF!&lt;&gt;"",#REF!&lt;&gt;0),#REF!/#REF!*100,"NA"),"")</f>
        <v/>
      </c>
      <c r="AF331" s="57" t="str">
        <f t="shared" si="41"/>
        <v/>
      </c>
      <c r="AG331" s="57" t="str">
        <f t="shared" si="42"/>
        <v/>
      </c>
      <c r="AH331" s="58" t="str">
        <f t="shared" si="43"/>
        <v/>
      </c>
      <c r="AV331" s="22" t="str">
        <f>IF(A331&lt;&gt;"",A331 &amp; "-" &amp;#REF! &amp; ROW(),"")</f>
        <v/>
      </c>
    </row>
    <row r="332" spans="11:48" x14ac:dyDescent="0.2">
      <c r="K332" s="11" t="str">
        <f>IF(AND(COUNTA(B332:C332)&gt;1,COUNTA(F332:G332)&gt;1,O332="Completed"),(G332-C332)/(C332-#REF!+1)%,"")</f>
        <v/>
      </c>
      <c r="L332" s="11" t="str">
        <f>IF(AND(COUNT(D332:E332)&gt;0,COUNTA(F332:G332)&gt;1,O332="Completed"),(G332-AG332)/(AG332-#REF!+1)%,"")</f>
        <v/>
      </c>
      <c r="M332" s="11" t="str">
        <f t="shared" si="38"/>
        <v/>
      </c>
      <c r="N332" s="11" t="str">
        <f t="shared" si="39"/>
        <v/>
      </c>
      <c r="O332" s="12"/>
      <c r="P332" s="12"/>
      <c r="R332" s="10" t="str">
        <f>IF(H332&lt;&gt;"",SUMIF(H$3:H332,"&lt;&gt;" &amp; "",H$3:H332),"")</f>
        <v/>
      </c>
      <c r="S332" s="10" t="str">
        <f t="array" ref="S332">IF(O332="Completed",SUMIF(W$3:W332,"&lt;&gt;" &amp; "",W$3:W332),"")</f>
        <v/>
      </c>
      <c r="T332" s="10" t="str">
        <f t="array" ref="T332">IF(AND(J332&lt;&gt;"",O332="Completed"),SUM(IF(O$3:O332="Completed",J$3:J332,0)),"")</f>
        <v/>
      </c>
      <c r="U332" s="10" t="str">
        <f t="shared" si="44"/>
        <v/>
      </c>
      <c r="V332" s="10">
        <f>ROW()</f>
        <v>332</v>
      </c>
      <c r="W332" s="10" t="str">
        <f t="shared" si="40"/>
        <v/>
      </c>
      <c r="Z332" s="10" t="str">
        <f>IF(A332&lt;&gt;"",'Metrics planning and tracking'!$K$4,"")</f>
        <v/>
      </c>
      <c r="AA332" s="10" t="str">
        <f>IF(A332&lt;&gt;"",'Metrics planning and tracking'!$K$5,"")</f>
        <v/>
      </c>
      <c r="AB332" s="10" t="str">
        <f>IF(A332&lt;&gt;"",'Metrics planning and tracking'!$K$2,"")</f>
        <v/>
      </c>
      <c r="AC332" s="10" t="str">
        <f>IF(A332&lt;&gt;"",'Metrics planning and tracking'!$K$3,"")</f>
        <v/>
      </c>
      <c r="AD332" s="10" t="str">
        <f>IF(A332&lt;&gt;"",IF(AND(#REF!&lt;&gt;"",#REF!&lt;&gt;"",#REF!&lt;&gt;0),#REF!/#REF!*100,"NA"),"")</f>
        <v/>
      </c>
      <c r="AE332" s="10" t="str">
        <f>IF(A332&lt;&gt;"",IF(AND(#REF!&lt;&gt;"",#REF!&lt;&gt;"",#REF!&lt;&gt;0),#REF!/#REF!*100,"NA"),"")</f>
        <v/>
      </c>
      <c r="AF332" s="57" t="str">
        <f t="shared" si="41"/>
        <v/>
      </c>
      <c r="AG332" s="57" t="str">
        <f t="shared" si="42"/>
        <v/>
      </c>
      <c r="AH332" s="58" t="str">
        <f t="shared" si="43"/>
        <v/>
      </c>
      <c r="AV332" s="22" t="str">
        <f>IF(A332&lt;&gt;"",A332 &amp; "-" &amp;#REF! &amp; ROW(),"")</f>
        <v/>
      </c>
    </row>
    <row r="333" spans="11:48" x14ac:dyDescent="0.2">
      <c r="K333" s="11" t="str">
        <f>IF(AND(COUNTA(B333:C333)&gt;1,COUNTA(F333:G333)&gt;1,O333="Completed"),(G333-C333)/(C333-#REF!+1)%,"")</f>
        <v/>
      </c>
      <c r="L333" s="11" t="str">
        <f>IF(AND(COUNT(D333:E333)&gt;0,COUNTA(F333:G333)&gt;1,O333="Completed"),(G333-AG333)/(AG333-#REF!+1)%,"")</f>
        <v/>
      </c>
      <c r="M333" s="11" t="str">
        <f t="shared" si="38"/>
        <v/>
      </c>
      <c r="N333" s="11" t="str">
        <f t="shared" si="39"/>
        <v/>
      </c>
      <c r="O333" s="12"/>
      <c r="P333" s="12"/>
      <c r="R333" s="10" t="str">
        <f>IF(H333&lt;&gt;"",SUMIF(H$3:H333,"&lt;&gt;" &amp; "",H$3:H333),"")</f>
        <v/>
      </c>
      <c r="S333" s="10" t="str">
        <f t="array" ref="S333">IF(O333="Completed",SUMIF(W$3:W333,"&lt;&gt;" &amp; "",W$3:W333),"")</f>
        <v/>
      </c>
      <c r="T333" s="10" t="str">
        <f t="array" ref="T333">IF(AND(J333&lt;&gt;"",O333="Completed"),SUM(IF(O$3:O333="Completed",J$3:J333,0)),"")</f>
        <v/>
      </c>
      <c r="U333" s="10" t="str">
        <f t="shared" si="44"/>
        <v/>
      </c>
      <c r="V333" s="10">
        <f>ROW()</f>
        <v>333</v>
      </c>
      <c r="W333" s="10" t="str">
        <f t="shared" si="40"/>
        <v/>
      </c>
      <c r="Z333" s="10" t="str">
        <f>IF(A333&lt;&gt;"",'Metrics planning and tracking'!$K$4,"")</f>
        <v/>
      </c>
      <c r="AA333" s="10" t="str">
        <f>IF(A333&lt;&gt;"",'Metrics planning and tracking'!$K$5,"")</f>
        <v/>
      </c>
      <c r="AB333" s="10" t="str">
        <f>IF(A333&lt;&gt;"",'Metrics planning and tracking'!$K$2,"")</f>
        <v/>
      </c>
      <c r="AC333" s="10" t="str">
        <f>IF(A333&lt;&gt;"",'Metrics planning and tracking'!$K$3,"")</f>
        <v/>
      </c>
      <c r="AD333" s="10" t="str">
        <f>IF(A333&lt;&gt;"",IF(AND(#REF!&lt;&gt;"",#REF!&lt;&gt;"",#REF!&lt;&gt;0),#REF!/#REF!*100,"NA"),"")</f>
        <v/>
      </c>
      <c r="AE333" s="10" t="str">
        <f>IF(A333&lt;&gt;"",IF(AND(#REF!&lt;&gt;"",#REF!&lt;&gt;"",#REF!&lt;&gt;0),#REF!/#REF!*100,"NA"),"")</f>
        <v/>
      </c>
      <c r="AF333" s="57" t="str">
        <f t="shared" si="41"/>
        <v/>
      </c>
      <c r="AG333" s="57" t="str">
        <f t="shared" si="42"/>
        <v/>
      </c>
      <c r="AH333" s="58" t="str">
        <f t="shared" si="43"/>
        <v/>
      </c>
      <c r="AV333" s="22" t="str">
        <f>IF(A333&lt;&gt;"",A333 &amp; "-" &amp;#REF! &amp; ROW(),"")</f>
        <v/>
      </c>
    </row>
    <row r="334" spans="11:48" x14ac:dyDescent="0.2">
      <c r="K334" s="11" t="str">
        <f>IF(AND(COUNTA(B334:C334)&gt;1,COUNTA(F334:G334)&gt;1,O334="Completed"),(G334-C334)/(C334-#REF!+1)%,"")</f>
        <v/>
      </c>
      <c r="L334" s="11" t="str">
        <f>IF(AND(COUNT(D334:E334)&gt;0,COUNTA(F334:G334)&gt;1,O334="Completed"),(G334-AG334)/(AG334-#REF!+1)%,"")</f>
        <v/>
      </c>
      <c r="M334" s="11" t="str">
        <f t="shared" si="38"/>
        <v/>
      </c>
      <c r="N334" s="11" t="str">
        <f t="shared" si="39"/>
        <v/>
      </c>
      <c r="O334" s="12"/>
      <c r="P334" s="12"/>
      <c r="R334" s="10" t="str">
        <f>IF(H334&lt;&gt;"",SUMIF(H$3:H334,"&lt;&gt;" &amp; "",H$3:H334),"")</f>
        <v/>
      </c>
      <c r="S334" s="10" t="str">
        <f t="array" ref="S334">IF(O334="Completed",SUMIF(W$3:W334,"&lt;&gt;" &amp; "",W$3:W334),"")</f>
        <v/>
      </c>
      <c r="T334" s="10" t="str">
        <f t="array" ref="T334">IF(AND(J334&lt;&gt;"",O334="Completed"),SUM(IF(O$3:O334="Completed",J$3:J334,0)),"")</f>
        <v/>
      </c>
      <c r="U334" s="10" t="str">
        <f t="shared" si="44"/>
        <v/>
      </c>
      <c r="V334" s="10">
        <f>ROW()</f>
        <v>334</v>
      </c>
      <c r="W334" s="10" t="str">
        <f t="shared" si="40"/>
        <v/>
      </c>
      <c r="Z334" s="10" t="str">
        <f>IF(A334&lt;&gt;"",'Metrics planning and tracking'!$K$4,"")</f>
        <v/>
      </c>
      <c r="AA334" s="10" t="str">
        <f>IF(A334&lt;&gt;"",'Metrics planning and tracking'!$K$5,"")</f>
        <v/>
      </c>
      <c r="AB334" s="10" t="str">
        <f>IF(A334&lt;&gt;"",'Metrics planning and tracking'!$K$2,"")</f>
        <v/>
      </c>
      <c r="AC334" s="10" t="str">
        <f>IF(A334&lt;&gt;"",'Metrics planning and tracking'!$K$3,"")</f>
        <v/>
      </c>
      <c r="AD334" s="10" t="str">
        <f>IF(A334&lt;&gt;"",IF(AND(#REF!&lt;&gt;"",#REF!&lt;&gt;"",#REF!&lt;&gt;0),#REF!/#REF!*100,"NA"),"")</f>
        <v/>
      </c>
      <c r="AE334" s="10" t="str">
        <f>IF(A334&lt;&gt;"",IF(AND(#REF!&lt;&gt;"",#REF!&lt;&gt;"",#REF!&lt;&gt;0),#REF!/#REF!*100,"NA"),"")</f>
        <v/>
      </c>
      <c r="AF334" s="57" t="str">
        <f t="shared" si="41"/>
        <v/>
      </c>
      <c r="AG334" s="57" t="str">
        <f t="shared" si="42"/>
        <v/>
      </c>
      <c r="AH334" s="58" t="str">
        <f t="shared" si="43"/>
        <v/>
      </c>
      <c r="AV334" s="22" t="str">
        <f>IF(A334&lt;&gt;"",A334 &amp; "-" &amp;#REF! &amp; ROW(),"")</f>
        <v/>
      </c>
    </row>
    <row r="335" spans="11:48" x14ac:dyDescent="0.2">
      <c r="K335" s="11" t="str">
        <f>IF(AND(COUNTA(B335:C335)&gt;1,COUNTA(F335:G335)&gt;1,O335="Completed"),(G335-C335)/(C335-#REF!+1)%,"")</f>
        <v/>
      </c>
      <c r="L335" s="11" t="str">
        <f>IF(AND(COUNT(D335:E335)&gt;0,COUNTA(F335:G335)&gt;1,O335="Completed"),(G335-AG335)/(AG335-#REF!+1)%,"")</f>
        <v/>
      </c>
      <c r="M335" s="11" t="str">
        <f t="shared" si="38"/>
        <v/>
      </c>
      <c r="N335" s="11" t="str">
        <f t="shared" si="39"/>
        <v/>
      </c>
      <c r="O335" s="12"/>
      <c r="P335" s="12"/>
      <c r="R335" s="10" t="str">
        <f>IF(H335&lt;&gt;"",SUMIF(H$3:H335,"&lt;&gt;" &amp; "",H$3:H335),"")</f>
        <v/>
      </c>
      <c r="S335" s="10" t="str">
        <f t="array" ref="S335">IF(O335="Completed",SUMIF(W$3:W335,"&lt;&gt;" &amp; "",W$3:W335),"")</f>
        <v/>
      </c>
      <c r="T335" s="10" t="str">
        <f t="array" ref="T335">IF(AND(J335&lt;&gt;"",O335="Completed"),SUM(IF(O$3:O335="Completed",J$3:J335,0)),"")</f>
        <v/>
      </c>
      <c r="U335" s="10" t="str">
        <f t="shared" si="44"/>
        <v/>
      </c>
      <c r="V335" s="10">
        <f>ROW()</f>
        <v>335</v>
      </c>
      <c r="W335" s="10" t="str">
        <f t="shared" si="40"/>
        <v/>
      </c>
      <c r="Z335" s="10" t="str">
        <f>IF(A335&lt;&gt;"",'Metrics planning and tracking'!$K$4,"")</f>
        <v/>
      </c>
      <c r="AA335" s="10" t="str">
        <f>IF(A335&lt;&gt;"",'Metrics planning and tracking'!$K$5,"")</f>
        <v/>
      </c>
      <c r="AB335" s="10" t="str">
        <f>IF(A335&lt;&gt;"",'Metrics planning and tracking'!$K$2,"")</f>
        <v/>
      </c>
      <c r="AC335" s="10" t="str">
        <f>IF(A335&lt;&gt;"",'Metrics planning and tracking'!$K$3,"")</f>
        <v/>
      </c>
      <c r="AD335" s="10" t="str">
        <f>IF(A335&lt;&gt;"",IF(AND(#REF!&lt;&gt;"",#REF!&lt;&gt;"",#REF!&lt;&gt;0),#REF!/#REF!*100,"NA"),"")</f>
        <v/>
      </c>
      <c r="AE335" s="10" t="str">
        <f>IF(A335&lt;&gt;"",IF(AND(#REF!&lt;&gt;"",#REF!&lt;&gt;"",#REF!&lt;&gt;0),#REF!/#REF!*100,"NA"),"")</f>
        <v/>
      </c>
      <c r="AF335" s="57" t="str">
        <f t="shared" si="41"/>
        <v/>
      </c>
      <c r="AG335" s="57" t="str">
        <f t="shared" si="42"/>
        <v/>
      </c>
      <c r="AH335" s="58" t="str">
        <f t="shared" si="43"/>
        <v/>
      </c>
      <c r="AV335" s="22" t="str">
        <f>IF(A335&lt;&gt;"",A335 &amp; "-" &amp;#REF! &amp; ROW(),"")</f>
        <v/>
      </c>
    </row>
    <row r="336" spans="11:48" x14ac:dyDescent="0.2">
      <c r="K336" s="11" t="str">
        <f>IF(AND(COUNTA(B336:C336)&gt;1,COUNTA(F336:G336)&gt;1,O336="Completed"),(G336-C336)/(C336-#REF!+1)%,"")</f>
        <v/>
      </c>
      <c r="L336" s="11" t="str">
        <f>IF(AND(COUNT(D336:E336)&gt;0,COUNTA(F336:G336)&gt;1,O336="Completed"),(G336-AG336)/(AG336-#REF!+1)%,"")</f>
        <v/>
      </c>
      <c r="M336" s="11" t="str">
        <f t="shared" si="38"/>
        <v/>
      </c>
      <c r="N336" s="11" t="str">
        <f t="shared" si="39"/>
        <v/>
      </c>
      <c r="O336" s="12"/>
      <c r="P336" s="12"/>
      <c r="R336" s="10" t="str">
        <f>IF(H336&lt;&gt;"",SUMIF(H$3:H336,"&lt;&gt;" &amp; "",H$3:H336),"")</f>
        <v/>
      </c>
      <c r="S336" s="10" t="str">
        <f t="array" ref="S336">IF(O336="Completed",SUMIF(W$3:W336,"&lt;&gt;" &amp; "",W$3:W336),"")</f>
        <v/>
      </c>
      <c r="T336" s="10" t="str">
        <f t="array" ref="T336">IF(AND(J336&lt;&gt;"",O336="Completed"),SUM(IF(O$3:O336="Completed",J$3:J336,0)),"")</f>
        <v/>
      </c>
      <c r="U336" s="10" t="str">
        <f t="shared" si="44"/>
        <v/>
      </c>
      <c r="V336" s="10">
        <f>ROW()</f>
        <v>336</v>
      </c>
      <c r="W336" s="10" t="str">
        <f t="shared" si="40"/>
        <v/>
      </c>
      <c r="Z336" s="10" t="str">
        <f>IF(A336&lt;&gt;"",'Metrics planning and tracking'!$K$4,"")</f>
        <v/>
      </c>
      <c r="AA336" s="10" t="str">
        <f>IF(A336&lt;&gt;"",'Metrics planning and tracking'!$K$5,"")</f>
        <v/>
      </c>
      <c r="AB336" s="10" t="str">
        <f>IF(A336&lt;&gt;"",'Metrics planning and tracking'!$K$2,"")</f>
        <v/>
      </c>
      <c r="AC336" s="10" t="str">
        <f>IF(A336&lt;&gt;"",'Metrics planning and tracking'!$K$3,"")</f>
        <v/>
      </c>
      <c r="AD336" s="10" t="str">
        <f>IF(A336&lt;&gt;"",IF(AND(#REF!&lt;&gt;"",#REF!&lt;&gt;"",#REF!&lt;&gt;0),#REF!/#REF!*100,"NA"),"")</f>
        <v/>
      </c>
      <c r="AE336" s="10" t="str">
        <f>IF(A336&lt;&gt;"",IF(AND(#REF!&lt;&gt;"",#REF!&lt;&gt;"",#REF!&lt;&gt;0),#REF!/#REF!*100,"NA"),"")</f>
        <v/>
      </c>
      <c r="AF336" s="57" t="str">
        <f t="shared" si="41"/>
        <v/>
      </c>
      <c r="AG336" s="57" t="str">
        <f t="shared" si="42"/>
        <v/>
      </c>
      <c r="AH336" s="58" t="str">
        <f t="shared" si="43"/>
        <v/>
      </c>
      <c r="AV336" s="22" t="str">
        <f>IF(A336&lt;&gt;"",A336 &amp; "-" &amp;#REF! &amp; ROW(),"")</f>
        <v/>
      </c>
    </row>
    <row r="337" spans="11:48" x14ac:dyDescent="0.2">
      <c r="K337" s="11" t="str">
        <f>IF(AND(COUNTA(B337:C337)&gt;1,COUNTA(F337:G337)&gt;1,O337="Completed"),(G337-C337)/(C337-#REF!+1)%,"")</f>
        <v/>
      </c>
      <c r="L337" s="11" t="str">
        <f>IF(AND(COUNT(D337:E337)&gt;0,COUNTA(F337:G337)&gt;1,O337="Completed"),(G337-AG337)/(AG337-#REF!+1)%,"")</f>
        <v/>
      </c>
      <c r="M337" s="11" t="str">
        <f t="shared" si="38"/>
        <v/>
      </c>
      <c r="N337" s="11" t="str">
        <f t="shared" si="39"/>
        <v/>
      </c>
      <c r="O337" s="12"/>
      <c r="P337" s="12"/>
      <c r="R337" s="10" t="str">
        <f>IF(H337&lt;&gt;"",SUMIF(H$3:H337,"&lt;&gt;" &amp; "",H$3:H337),"")</f>
        <v/>
      </c>
      <c r="S337" s="10" t="str">
        <f t="array" ref="S337">IF(O337="Completed",SUMIF(W$3:W337,"&lt;&gt;" &amp; "",W$3:W337),"")</f>
        <v/>
      </c>
      <c r="T337" s="10" t="str">
        <f t="array" ref="T337">IF(AND(J337&lt;&gt;"",O337="Completed"),SUM(IF(O$3:O337="Completed",J$3:J337,0)),"")</f>
        <v/>
      </c>
      <c r="U337" s="10" t="str">
        <f t="shared" si="44"/>
        <v/>
      </c>
      <c r="V337" s="10">
        <f>ROW()</f>
        <v>337</v>
      </c>
      <c r="W337" s="10" t="str">
        <f t="shared" si="40"/>
        <v/>
      </c>
      <c r="Z337" s="10" t="str">
        <f>IF(A337&lt;&gt;"",'Metrics planning and tracking'!$K$4,"")</f>
        <v/>
      </c>
      <c r="AA337" s="10" t="str">
        <f>IF(A337&lt;&gt;"",'Metrics planning and tracking'!$K$5,"")</f>
        <v/>
      </c>
      <c r="AB337" s="10" t="str">
        <f>IF(A337&lt;&gt;"",'Metrics planning and tracking'!$K$2,"")</f>
        <v/>
      </c>
      <c r="AC337" s="10" t="str">
        <f>IF(A337&lt;&gt;"",'Metrics planning and tracking'!$K$3,"")</f>
        <v/>
      </c>
      <c r="AD337" s="10" t="str">
        <f>IF(A337&lt;&gt;"",IF(AND(#REF!&lt;&gt;"",#REF!&lt;&gt;"",#REF!&lt;&gt;0),#REF!/#REF!*100,"NA"),"")</f>
        <v/>
      </c>
      <c r="AE337" s="10" t="str">
        <f>IF(A337&lt;&gt;"",IF(AND(#REF!&lt;&gt;"",#REF!&lt;&gt;"",#REF!&lt;&gt;0),#REF!/#REF!*100,"NA"),"")</f>
        <v/>
      </c>
      <c r="AF337" s="57" t="str">
        <f t="shared" si="41"/>
        <v/>
      </c>
      <c r="AG337" s="57" t="str">
        <f t="shared" si="42"/>
        <v/>
      </c>
      <c r="AH337" s="58" t="str">
        <f t="shared" si="43"/>
        <v/>
      </c>
      <c r="AV337" s="22" t="str">
        <f>IF(A337&lt;&gt;"",A337 &amp; "-" &amp;#REF! &amp; ROW(),"")</f>
        <v/>
      </c>
    </row>
    <row r="338" spans="11:48" x14ac:dyDescent="0.2">
      <c r="K338" s="11" t="str">
        <f>IF(AND(COUNTA(B338:C338)&gt;1,COUNTA(F338:G338)&gt;1,O338="Completed"),(G338-C338)/(C338-#REF!+1)%,"")</f>
        <v/>
      </c>
      <c r="L338" s="11" t="str">
        <f>IF(AND(COUNT(D338:E338)&gt;0,COUNTA(F338:G338)&gt;1,O338="Completed"),(G338-AG338)/(AG338-#REF!+1)%,"")</f>
        <v/>
      </c>
      <c r="M338" s="11" t="str">
        <f t="shared" si="38"/>
        <v/>
      </c>
      <c r="N338" s="11" t="str">
        <f t="shared" si="39"/>
        <v/>
      </c>
      <c r="O338" s="12"/>
      <c r="P338" s="12"/>
      <c r="R338" s="10" t="str">
        <f>IF(H338&lt;&gt;"",SUMIF(H$3:H338,"&lt;&gt;" &amp; "",H$3:H338),"")</f>
        <v/>
      </c>
      <c r="S338" s="10" t="str">
        <f t="array" ref="S338">IF(O338="Completed",SUMIF(W$3:W338,"&lt;&gt;" &amp; "",W$3:W338),"")</f>
        <v/>
      </c>
      <c r="T338" s="10" t="str">
        <f t="array" ref="T338">IF(AND(J338&lt;&gt;"",O338="Completed"),SUM(IF(O$3:O338="Completed",J$3:J338,0)),"")</f>
        <v/>
      </c>
      <c r="U338" s="10" t="str">
        <f t="shared" si="44"/>
        <v/>
      </c>
      <c r="V338" s="10">
        <f>ROW()</f>
        <v>338</v>
      </c>
      <c r="W338" s="10" t="str">
        <f t="shared" si="40"/>
        <v/>
      </c>
      <c r="Z338" s="10" t="str">
        <f>IF(A338&lt;&gt;"",'Metrics planning and tracking'!$K$4,"")</f>
        <v/>
      </c>
      <c r="AA338" s="10" t="str">
        <f>IF(A338&lt;&gt;"",'Metrics planning and tracking'!$K$5,"")</f>
        <v/>
      </c>
      <c r="AB338" s="10" t="str">
        <f>IF(A338&lt;&gt;"",'Metrics planning and tracking'!$K$2,"")</f>
        <v/>
      </c>
      <c r="AC338" s="10" t="str">
        <f>IF(A338&lt;&gt;"",'Metrics planning and tracking'!$K$3,"")</f>
        <v/>
      </c>
      <c r="AD338" s="10" t="str">
        <f>IF(A338&lt;&gt;"",IF(AND(#REF!&lt;&gt;"",#REF!&lt;&gt;"",#REF!&lt;&gt;0),#REF!/#REF!*100,"NA"),"")</f>
        <v/>
      </c>
      <c r="AE338" s="10" t="str">
        <f>IF(A338&lt;&gt;"",IF(AND(#REF!&lt;&gt;"",#REF!&lt;&gt;"",#REF!&lt;&gt;0),#REF!/#REF!*100,"NA"),"")</f>
        <v/>
      </c>
      <c r="AF338" s="57" t="str">
        <f t="shared" si="41"/>
        <v/>
      </c>
      <c r="AG338" s="57" t="str">
        <f t="shared" si="42"/>
        <v/>
      </c>
      <c r="AH338" s="58" t="str">
        <f t="shared" si="43"/>
        <v/>
      </c>
      <c r="AV338" s="22" t="str">
        <f>IF(A338&lt;&gt;"",A338 &amp; "-" &amp;#REF! &amp; ROW(),"")</f>
        <v/>
      </c>
    </row>
    <row r="339" spans="11:48" x14ac:dyDescent="0.2">
      <c r="K339" s="11" t="str">
        <f>IF(AND(COUNTA(B339:C339)&gt;1,COUNTA(F339:G339)&gt;1,O339="Completed"),(G339-C339)/(C339-#REF!+1)%,"")</f>
        <v/>
      </c>
      <c r="L339" s="11" t="str">
        <f>IF(AND(COUNT(D339:E339)&gt;0,COUNTA(F339:G339)&gt;1,O339="Completed"),(G339-AG339)/(AG339-#REF!+1)%,"")</f>
        <v/>
      </c>
      <c r="M339" s="11" t="str">
        <f t="shared" si="38"/>
        <v/>
      </c>
      <c r="N339" s="11" t="str">
        <f t="shared" si="39"/>
        <v/>
      </c>
      <c r="O339" s="12"/>
      <c r="P339" s="12"/>
      <c r="R339" s="10" t="str">
        <f>IF(H339&lt;&gt;"",SUMIF(H$3:H339,"&lt;&gt;" &amp; "",H$3:H339),"")</f>
        <v/>
      </c>
      <c r="S339" s="10" t="str">
        <f t="array" ref="S339">IF(O339="Completed",SUMIF(W$3:W339,"&lt;&gt;" &amp; "",W$3:W339),"")</f>
        <v/>
      </c>
      <c r="T339" s="10" t="str">
        <f t="array" ref="T339">IF(AND(J339&lt;&gt;"",O339="Completed"),SUM(IF(O$3:O339="Completed",J$3:J339,0)),"")</f>
        <v/>
      </c>
      <c r="U339" s="10" t="str">
        <f t="shared" si="44"/>
        <v/>
      </c>
      <c r="V339" s="10">
        <f>ROW()</f>
        <v>339</v>
      </c>
      <c r="W339" s="10" t="str">
        <f t="shared" si="40"/>
        <v/>
      </c>
      <c r="Z339" s="10" t="str">
        <f>IF(A339&lt;&gt;"",'Metrics planning and tracking'!$K$4,"")</f>
        <v/>
      </c>
      <c r="AA339" s="10" t="str">
        <f>IF(A339&lt;&gt;"",'Metrics planning and tracking'!$K$5,"")</f>
        <v/>
      </c>
      <c r="AB339" s="10" t="str">
        <f>IF(A339&lt;&gt;"",'Metrics planning and tracking'!$K$2,"")</f>
        <v/>
      </c>
      <c r="AC339" s="10" t="str">
        <f>IF(A339&lt;&gt;"",'Metrics planning and tracking'!$K$3,"")</f>
        <v/>
      </c>
      <c r="AD339" s="10" t="str">
        <f>IF(A339&lt;&gt;"",IF(AND(#REF!&lt;&gt;"",#REF!&lt;&gt;"",#REF!&lt;&gt;0),#REF!/#REF!*100,"NA"),"")</f>
        <v/>
      </c>
      <c r="AE339" s="10" t="str">
        <f>IF(A339&lt;&gt;"",IF(AND(#REF!&lt;&gt;"",#REF!&lt;&gt;"",#REF!&lt;&gt;0),#REF!/#REF!*100,"NA"),"")</f>
        <v/>
      </c>
      <c r="AF339" s="57" t="str">
        <f t="shared" si="41"/>
        <v/>
      </c>
      <c r="AG339" s="57" t="str">
        <f t="shared" si="42"/>
        <v/>
      </c>
      <c r="AH339" s="58" t="str">
        <f t="shared" si="43"/>
        <v/>
      </c>
      <c r="AV339" s="22" t="str">
        <f>IF(A339&lt;&gt;"",A339 &amp; "-" &amp;#REF! &amp; ROW(),"")</f>
        <v/>
      </c>
    </row>
    <row r="340" spans="11:48" x14ac:dyDescent="0.2">
      <c r="K340" s="11" t="str">
        <f>IF(AND(COUNTA(B340:C340)&gt;1,COUNTA(F340:G340)&gt;1,O340="Completed"),(G340-C340)/(C340-#REF!+1)%,"")</f>
        <v/>
      </c>
      <c r="L340" s="11" t="str">
        <f>IF(AND(COUNT(D340:E340)&gt;0,COUNTA(F340:G340)&gt;1,O340="Completed"),(G340-AG340)/(AG340-#REF!+1)%,"")</f>
        <v/>
      </c>
      <c r="M340" s="11" t="str">
        <f t="shared" si="38"/>
        <v/>
      </c>
      <c r="N340" s="11" t="str">
        <f t="shared" si="39"/>
        <v/>
      </c>
      <c r="O340" s="12"/>
      <c r="P340" s="12"/>
      <c r="R340" s="10" t="str">
        <f>IF(H340&lt;&gt;"",SUMIF(H$3:H340,"&lt;&gt;" &amp; "",H$3:H340),"")</f>
        <v/>
      </c>
      <c r="S340" s="10" t="str">
        <f t="array" ref="S340">IF(O340="Completed",SUMIF(W$3:W340,"&lt;&gt;" &amp; "",W$3:W340),"")</f>
        <v/>
      </c>
      <c r="T340" s="10" t="str">
        <f t="array" ref="T340">IF(AND(J340&lt;&gt;"",O340="Completed"),SUM(IF(O$3:O340="Completed",J$3:J340,0)),"")</f>
        <v/>
      </c>
      <c r="U340" s="10" t="str">
        <f t="shared" si="44"/>
        <v/>
      </c>
      <c r="V340" s="10">
        <f>ROW()</f>
        <v>340</v>
      </c>
      <c r="W340" s="10" t="str">
        <f t="shared" si="40"/>
        <v/>
      </c>
      <c r="Z340" s="10" t="str">
        <f>IF(A340&lt;&gt;"",'Metrics planning and tracking'!$K$4,"")</f>
        <v/>
      </c>
      <c r="AA340" s="10" t="str">
        <f>IF(A340&lt;&gt;"",'Metrics planning and tracking'!$K$5,"")</f>
        <v/>
      </c>
      <c r="AB340" s="10" t="str">
        <f>IF(A340&lt;&gt;"",'Metrics planning and tracking'!$K$2,"")</f>
        <v/>
      </c>
      <c r="AC340" s="10" t="str">
        <f>IF(A340&lt;&gt;"",'Metrics planning and tracking'!$K$3,"")</f>
        <v/>
      </c>
      <c r="AD340" s="10" t="str">
        <f>IF(A340&lt;&gt;"",IF(AND(#REF!&lt;&gt;"",#REF!&lt;&gt;"",#REF!&lt;&gt;0),#REF!/#REF!*100,"NA"),"")</f>
        <v/>
      </c>
      <c r="AE340" s="10" t="str">
        <f>IF(A340&lt;&gt;"",IF(AND(#REF!&lt;&gt;"",#REF!&lt;&gt;"",#REF!&lt;&gt;0),#REF!/#REF!*100,"NA"),"")</f>
        <v/>
      </c>
      <c r="AF340" s="57" t="str">
        <f t="shared" si="41"/>
        <v/>
      </c>
      <c r="AG340" s="57" t="str">
        <f t="shared" si="42"/>
        <v/>
      </c>
      <c r="AH340" s="58" t="str">
        <f t="shared" si="43"/>
        <v/>
      </c>
      <c r="AV340" s="22" t="str">
        <f>IF(A340&lt;&gt;"",A340 &amp; "-" &amp;#REF! &amp; ROW(),"")</f>
        <v/>
      </c>
    </row>
    <row r="341" spans="11:48" x14ac:dyDescent="0.2">
      <c r="K341" s="11" t="str">
        <f>IF(AND(COUNTA(B341:C341)&gt;1,COUNTA(F341:G341)&gt;1,O341="Completed"),(G341-C341)/(C341-#REF!+1)%,"")</f>
        <v/>
      </c>
      <c r="L341" s="11" t="str">
        <f>IF(AND(COUNT(D341:E341)&gt;0,COUNTA(F341:G341)&gt;1,O341="Completed"),(G341-AG341)/(AG341-#REF!+1)%,"")</f>
        <v/>
      </c>
      <c r="M341" s="11" t="str">
        <f t="shared" si="38"/>
        <v/>
      </c>
      <c r="N341" s="11" t="str">
        <f t="shared" si="39"/>
        <v/>
      </c>
      <c r="O341" s="12"/>
      <c r="P341" s="12"/>
      <c r="R341" s="10" t="str">
        <f>IF(H341&lt;&gt;"",SUMIF(H$3:H341,"&lt;&gt;" &amp; "",H$3:H341),"")</f>
        <v/>
      </c>
      <c r="S341" s="10" t="str">
        <f t="array" ref="S341">IF(O341="Completed",SUMIF(W$3:W341,"&lt;&gt;" &amp; "",W$3:W341),"")</f>
        <v/>
      </c>
      <c r="T341" s="10" t="str">
        <f t="array" ref="T341">IF(AND(J341&lt;&gt;"",O341="Completed"),SUM(IF(O$3:O341="Completed",J$3:J341,0)),"")</f>
        <v/>
      </c>
      <c r="U341" s="10" t="str">
        <f t="shared" si="44"/>
        <v/>
      </c>
      <c r="V341" s="10">
        <f>ROW()</f>
        <v>341</v>
      </c>
      <c r="W341" s="10" t="str">
        <f t="shared" si="40"/>
        <v/>
      </c>
      <c r="Z341" s="10" t="str">
        <f>IF(A341&lt;&gt;"",'Metrics planning and tracking'!$K$4,"")</f>
        <v/>
      </c>
      <c r="AA341" s="10" t="str">
        <f>IF(A341&lt;&gt;"",'Metrics planning and tracking'!$K$5,"")</f>
        <v/>
      </c>
      <c r="AB341" s="10" t="str">
        <f>IF(A341&lt;&gt;"",'Metrics planning and tracking'!$K$2,"")</f>
        <v/>
      </c>
      <c r="AC341" s="10" t="str">
        <f>IF(A341&lt;&gt;"",'Metrics planning and tracking'!$K$3,"")</f>
        <v/>
      </c>
      <c r="AD341" s="10" t="str">
        <f>IF(A341&lt;&gt;"",IF(AND(#REF!&lt;&gt;"",#REF!&lt;&gt;"",#REF!&lt;&gt;0),#REF!/#REF!*100,"NA"),"")</f>
        <v/>
      </c>
      <c r="AE341" s="10" t="str">
        <f>IF(A341&lt;&gt;"",IF(AND(#REF!&lt;&gt;"",#REF!&lt;&gt;"",#REF!&lt;&gt;0),#REF!/#REF!*100,"NA"),"")</f>
        <v/>
      </c>
      <c r="AF341" s="57" t="str">
        <f t="shared" si="41"/>
        <v/>
      </c>
      <c r="AG341" s="57" t="str">
        <f t="shared" si="42"/>
        <v/>
      </c>
      <c r="AH341" s="58" t="str">
        <f t="shared" si="43"/>
        <v/>
      </c>
      <c r="AV341" s="22" t="str">
        <f>IF(A341&lt;&gt;"",A341 &amp; "-" &amp;#REF! &amp; ROW(),"")</f>
        <v/>
      </c>
    </row>
    <row r="342" spans="11:48" x14ac:dyDescent="0.2">
      <c r="K342" s="11" t="str">
        <f>IF(AND(COUNTA(B342:C342)&gt;1,COUNTA(F342:G342)&gt;1,O342="Completed"),(G342-C342)/(C342-#REF!+1)%,"")</f>
        <v/>
      </c>
      <c r="L342" s="11" t="str">
        <f>IF(AND(COUNT(D342:E342)&gt;0,COUNTA(F342:G342)&gt;1,O342="Completed"),(G342-AG342)/(AG342-#REF!+1)%,"")</f>
        <v/>
      </c>
      <c r="M342" s="11" t="str">
        <f t="shared" ref="M342:M405" si="45">IF(AND(T342&lt;&gt;"",T342&lt;&gt;0,R342&lt;&gt;"",R342&lt;&gt;0),(T342-R342)/R342%,IF(AND(H342&lt;&gt;"",H342&lt;&gt;0,OR(J342="",J342=0)),"Actual Effort reqd.",""))</f>
        <v/>
      </c>
      <c r="N342" s="11" t="str">
        <f t="shared" ref="N342:N405" si="46">IF(AND(T342&lt;&gt;"",T342&lt;&gt;0,S342&lt;&gt;"",S342&lt;&gt;0),(T342-S342)/S342%,IF(AND(I342&lt;&gt;"",I342&lt;&gt;0,OR(J342="",J342=0)),"Actual Effort reqd.",""))</f>
        <v/>
      </c>
      <c r="O342" s="12"/>
      <c r="P342" s="12"/>
      <c r="R342" s="10" t="str">
        <f>IF(H342&lt;&gt;"",SUMIF(H$3:H342,"&lt;&gt;" &amp; "",H$3:H342),"")</f>
        <v/>
      </c>
      <c r="S342" s="10" t="str">
        <f t="array" ref="S342">IF(O342="Completed",SUMIF(W$3:W342,"&lt;&gt;" &amp; "",W$3:W342),"")</f>
        <v/>
      </c>
      <c r="T342" s="10" t="str">
        <f t="array" ref="T342">IF(AND(J342&lt;&gt;"",O342="Completed"),SUM(IF(O$3:O342="Completed",J$3:J342,0)),"")</f>
        <v/>
      </c>
      <c r="U342" s="10" t="str">
        <f t="shared" si="44"/>
        <v/>
      </c>
      <c r="V342" s="10">
        <f>ROW()</f>
        <v>342</v>
      </c>
      <c r="W342" s="10" t="str">
        <f t="shared" ref="W342:W405" si="47">IF(O342="Completed",IF(COUNT($I$3:$I$596)&gt;0,IF(I342&lt;&gt;"",I342,H342),""),"")</f>
        <v/>
      </c>
      <c r="Z342" s="10" t="str">
        <f>IF(A342&lt;&gt;"",'Metrics planning and tracking'!$K$4,"")</f>
        <v/>
      </c>
      <c r="AA342" s="10" t="str">
        <f>IF(A342&lt;&gt;"",'Metrics planning and tracking'!$K$5,"")</f>
        <v/>
      </c>
      <c r="AB342" s="10" t="str">
        <f>IF(A342&lt;&gt;"",'Metrics planning and tracking'!$K$2,"")</f>
        <v/>
      </c>
      <c r="AC342" s="10" t="str">
        <f>IF(A342&lt;&gt;"",'Metrics planning and tracking'!$K$3,"")</f>
        <v/>
      </c>
      <c r="AD342" s="10" t="str">
        <f>IF(A342&lt;&gt;"",IF(AND(#REF!&lt;&gt;"",#REF!&lt;&gt;"",#REF!&lt;&gt;0),#REF!/#REF!*100,"NA"),"")</f>
        <v/>
      </c>
      <c r="AE342" s="10" t="str">
        <f>IF(A342&lt;&gt;"",IF(AND(#REF!&lt;&gt;"",#REF!&lt;&gt;"",#REF!&lt;&gt;0),#REF!/#REF!*100,"NA"),"")</f>
        <v/>
      </c>
      <c r="AF342" s="57" t="str">
        <f t="shared" ref="AF342:AF405" si="48">IF($O342="Completed",IF(D342&lt;&gt;"",D342,IF(B342&lt;&gt;"",B342,"")),"")</f>
        <v/>
      </c>
      <c r="AG342" s="57" t="str">
        <f t="shared" ref="AG342:AG405" si="49">IF($O342="Completed",IF(E342&lt;&gt;"",E342,IF(C342&lt;&gt;"",C342,"")),"")</f>
        <v/>
      </c>
      <c r="AH342" s="58" t="str">
        <f t="shared" ref="AH342:AH405" si="50">IF(O342="Completed",IF(L342&lt;&gt;"",L342,IF(K342&lt;&gt;"",K342,"")),"")</f>
        <v/>
      </c>
      <c r="AV342" s="22" t="str">
        <f>IF(A342&lt;&gt;"",A342 &amp; "-" &amp;#REF! &amp; ROW(),"")</f>
        <v/>
      </c>
    </row>
    <row r="343" spans="11:48" x14ac:dyDescent="0.2">
      <c r="K343" s="11" t="str">
        <f>IF(AND(COUNTA(B343:C343)&gt;1,COUNTA(F343:G343)&gt;1,O343="Completed"),(G343-C343)/(C343-#REF!+1)%,"")</f>
        <v/>
      </c>
      <c r="L343" s="11" t="str">
        <f>IF(AND(COUNT(D343:E343)&gt;0,COUNTA(F343:G343)&gt;1,O343="Completed"),(G343-AG343)/(AG343-#REF!+1)%,"")</f>
        <v/>
      </c>
      <c r="M343" s="11" t="str">
        <f t="shared" si="45"/>
        <v/>
      </c>
      <c r="N343" s="11" t="str">
        <f t="shared" si="46"/>
        <v/>
      </c>
      <c r="O343" s="12"/>
      <c r="P343" s="12"/>
      <c r="R343" s="10" t="str">
        <f>IF(H343&lt;&gt;"",SUMIF(H$3:H343,"&lt;&gt;" &amp; "",H$3:H343),"")</f>
        <v/>
      </c>
      <c r="S343" s="10" t="str">
        <f t="array" ref="S343">IF(O343="Completed",SUMIF(W$3:W343,"&lt;&gt;" &amp; "",W$3:W343),"")</f>
        <v/>
      </c>
      <c r="T343" s="10" t="str">
        <f t="array" ref="T343">IF(AND(J343&lt;&gt;"",O343="Completed"),SUM(IF(O$3:O343="Completed",J$3:J343,0)),"")</f>
        <v/>
      </c>
      <c r="U343" s="10" t="str">
        <f t="shared" si="44"/>
        <v/>
      </c>
      <c r="V343" s="10">
        <f>ROW()</f>
        <v>343</v>
      </c>
      <c r="W343" s="10" t="str">
        <f t="shared" si="47"/>
        <v/>
      </c>
      <c r="Z343" s="10" t="str">
        <f>IF(A343&lt;&gt;"",'Metrics planning and tracking'!$K$4,"")</f>
        <v/>
      </c>
      <c r="AA343" s="10" t="str">
        <f>IF(A343&lt;&gt;"",'Metrics planning and tracking'!$K$5,"")</f>
        <v/>
      </c>
      <c r="AB343" s="10" t="str">
        <f>IF(A343&lt;&gt;"",'Metrics planning and tracking'!$K$2,"")</f>
        <v/>
      </c>
      <c r="AC343" s="10" t="str">
        <f>IF(A343&lt;&gt;"",'Metrics planning and tracking'!$K$3,"")</f>
        <v/>
      </c>
      <c r="AD343" s="10" t="str">
        <f>IF(A343&lt;&gt;"",IF(AND(#REF!&lt;&gt;"",#REF!&lt;&gt;"",#REF!&lt;&gt;0),#REF!/#REF!*100,"NA"),"")</f>
        <v/>
      </c>
      <c r="AE343" s="10" t="str">
        <f>IF(A343&lt;&gt;"",IF(AND(#REF!&lt;&gt;"",#REF!&lt;&gt;"",#REF!&lt;&gt;0),#REF!/#REF!*100,"NA"),"")</f>
        <v/>
      </c>
      <c r="AF343" s="57" t="str">
        <f t="shared" si="48"/>
        <v/>
      </c>
      <c r="AG343" s="57" t="str">
        <f t="shared" si="49"/>
        <v/>
      </c>
      <c r="AH343" s="58" t="str">
        <f t="shared" si="50"/>
        <v/>
      </c>
      <c r="AV343" s="22" t="str">
        <f>IF(A343&lt;&gt;"",A343 &amp; "-" &amp;#REF! &amp; ROW(),"")</f>
        <v/>
      </c>
    </row>
    <row r="344" spans="11:48" x14ac:dyDescent="0.2">
      <c r="K344" s="11" t="str">
        <f>IF(AND(COUNTA(B344:C344)&gt;1,COUNTA(F344:G344)&gt;1,O344="Completed"),(G344-C344)/(C344-#REF!+1)%,"")</f>
        <v/>
      </c>
      <c r="L344" s="11" t="str">
        <f>IF(AND(COUNT(D344:E344)&gt;0,COUNTA(F344:G344)&gt;1,O344="Completed"),(G344-AG344)/(AG344-#REF!+1)%,"")</f>
        <v/>
      </c>
      <c r="M344" s="11" t="str">
        <f t="shared" si="45"/>
        <v/>
      </c>
      <c r="N344" s="11" t="str">
        <f t="shared" si="46"/>
        <v/>
      </c>
      <c r="O344" s="12"/>
      <c r="P344" s="12"/>
      <c r="R344" s="10" t="str">
        <f>IF(H344&lt;&gt;"",SUMIF(H$3:H344,"&lt;&gt;" &amp; "",H$3:H344),"")</f>
        <v/>
      </c>
      <c r="S344" s="10" t="str">
        <f t="array" ref="S344">IF(O344="Completed",SUMIF(W$3:W344,"&lt;&gt;" &amp; "",W$3:W344),"")</f>
        <v/>
      </c>
      <c r="T344" s="10" t="str">
        <f t="array" ref="T344">IF(AND(J344&lt;&gt;"",O344="Completed"),SUM(IF(O$3:O344="Completed",J$3:J344,0)),"")</f>
        <v/>
      </c>
      <c r="U344" s="10" t="str">
        <f t="shared" si="44"/>
        <v/>
      </c>
      <c r="V344" s="10">
        <f>ROW()</f>
        <v>344</v>
      </c>
      <c r="W344" s="10" t="str">
        <f t="shared" si="47"/>
        <v/>
      </c>
      <c r="Z344" s="10" t="str">
        <f>IF(A344&lt;&gt;"",'Metrics planning and tracking'!$K$4,"")</f>
        <v/>
      </c>
      <c r="AA344" s="10" t="str">
        <f>IF(A344&lt;&gt;"",'Metrics planning and tracking'!$K$5,"")</f>
        <v/>
      </c>
      <c r="AB344" s="10" t="str">
        <f>IF(A344&lt;&gt;"",'Metrics planning and tracking'!$K$2,"")</f>
        <v/>
      </c>
      <c r="AC344" s="10" t="str">
        <f>IF(A344&lt;&gt;"",'Metrics planning and tracking'!$K$3,"")</f>
        <v/>
      </c>
      <c r="AD344" s="10" t="str">
        <f>IF(A344&lt;&gt;"",IF(AND(#REF!&lt;&gt;"",#REF!&lt;&gt;"",#REF!&lt;&gt;0),#REF!/#REF!*100,"NA"),"")</f>
        <v/>
      </c>
      <c r="AE344" s="10" t="str">
        <f>IF(A344&lt;&gt;"",IF(AND(#REF!&lt;&gt;"",#REF!&lt;&gt;"",#REF!&lt;&gt;0),#REF!/#REF!*100,"NA"),"")</f>
        <v/>
      </c>
      <c r="AF344" s="57" t="str">
        <f t="shared" si="48"/>
        <v/>
      </c>
      <c r="AG344" s="57" t="str">
        <f t="shared" si="49"/>
        <v/>
      </c>
      <c r="AH344" s="58" t="str">
        <f t="shared" si="50"/>
        <v/>
      </c>
      <c r="AV344" s="22" t="str">
        <f>IF(A344&lt;&gt;"",A344 &amp; "-" &amp;#REF! &amp; ROW(),"")</f>
        <v/>
      </c>
    </row>
    <row r="345" spans="11:48" x14ac:dyDescent="0.2">
      <c r="K345" s="11" t="str">
        <f>IF(AND(COUNTA(B345:C345)&gt;1,COUNTA(F345:G345)&gt;1,O345="Completed"),(G345-C345)/(C345-#REF!+1)%,"")</f>
        <v/>
      </c>
      <c r="L345" s="11" t="str">
        <f>IF(AND(COUNT(D345:E345)&gt;0,COUNTA(F345:G345)&gt;1,O345="Completed"),(G345-AG345)/(AG345-#REF!+1)%,"")</f>
        <v/>
      </c>
      <c r="M345" s="11" t="str">
        <f t="shared" si="45"/>
        <v/>
      </c>
      <c r="N345" s="11" t="str">
        <f t="shared" si="46"/>
        <v/>
      </c>
      <c r="O345" s="12"/>
      <c r="P345" s="12"/>
      <c r="R345" s="10" t="str">
        <f>IF(H345&lt;&gt;"",SUMIF(H$3:H345,"&lt;&gt;" &amp; "",H$3:H345),"")</f>
        <v/>
      </c>
      <c r="S345" s="10" t="str">
        <f t="array" ref="S345">IF(O345="Completed",SUMIF(W$3:W345,"&lt;&gt;" &amp; "",W$3:W345),"")</f>
        <v/>
      </c>
      <c r="T345" s="10" t="str">
        <f t="array" ref="T345">IF(AND(J345&lt;&gt;"",O345="Completed"),SUM(IF(O$3:O345="Completed",J$3:J345,0)),"")</f>
        <v/>
      </c>
      <c r="U345" s="10" t="str">
        <f t="shared" si="44"/>
        <v/>
      </c>
      <c r="V345" s="10">
        <f>ROW()</f>
        <v>345</v>
      </c>
      <c r="W345" s="10" t="str">
        <f t="shared" si="47"/>
        <v/>
      </c>
      <c r="Z345" s="10" t="str">
        <f>IF(A345&lt;&gt;"",'Metrics planning and tracking'!$K$4,"")</f>
        <v/>
      </c>
      <c r="AA345" s="10" t="str">
        <f>IF(A345&lt;&gt;"",'Metrics planning and tracking'!$K$5,"")</f>
        <v/>
      </c>
      <c r="AB345" s="10" t="str">
        <f>IF(A345&lt;&gt;"",'Metrics planning and tracking'!$K$2,"")</f>
        <v/>
      </c>
      <c r="AC345" s="10" t="str">
        <f>IF(A345&lt;&gt;"",'Metrics planning and tracking'!$K$3,"")</f>
        <v/>
      </c>
      <c r="AD345" s="10" t="str">
        <f>IF(A345&lt;&gt;"",IF(AND(#REF!&lt;&gt;"",#REF!&lt;&gt;"",#REF!&lt;&gt;0),#REF!/#REF!*100,"NA"),"")</f>
        <v/>
      </c>
      <c r="AE345" s="10" t="str">
        <f>IF(A345&lt;&gt;"",IF(AND(#REF!&lt;&gt;"",#REF!&lt;&gt;"",#REF!&lt;&gt;0),#REF!/#REF!*100,"NA"),"")</f>
        <v/>
      </c>
      <c r="AF345" s="57" t="str">
        <f t="shared" si="48"/>
        <v/>
      </c>
      <c r="AG345" s="57" t="str">
        <f t="shared" si="49"/>
        <v/>
      </c>
      <c r="AH345" s="58" t="str">
        <f t="shared" si="50"/>
        <v/>
      </c>
      <c r="AV345" s="22" t="str">
        <f>IF(A345&lt;&gt;"",A345 &amp; "-" &amp;#REF! &amp; ROW(),"")</f>
        <v/>
      </c>
    </row>
    <row r="346" spans="11:48" x14ac:dyDescent="0.2">
      <c r="K346" s="11" t="str">
        <f>IF(AND(COUNTA(B346:C346)&gt;1,COUNTA(F346:G346)&gt;1,O346="Completed"),(G346-C346)/(C346-#REF!+1)%,"")</f>
        <v/>
      </c>
      <c r="L346" s="11" t="str">
        <f>IF(AND(COUNT(D346:E346)&gt;0,COUNTA(F346:G346)&gt;1,O346="Completed"),(G346-AG346)/(AG346-#REF!+1)%,"")</f>
        <v/>
      </c>
      <c r="M346" s="11" t="str">
        <f t="shared" si="45"/>
        <v/>
      </c>
      <c r="N346" s="11" t="str">
        <f t="shared" si="46"/>
        <v/>
      </c>
      <c r="O346" s="12"/>
      <c r="P346" s="12"/>
      <c r="R346" s="10" t="str">
        <f>IF(H346&lt;&gt;"",SUMIF(H$3:H346,"&lt;&gt;" &amp; "",H$3:H346),"")</f>
        <v/>
      </c>
      <c r="S346" s="10" t="str">
        <f t="array" ref="S346">IF(O346="Completed",SUMIF(W$3:W346,"&lt;&gt;" &amp; "",W$3:W346),"")</f>
        <v/>
      </c>
      <c r="T346" s="10" t="str">
        <f t="array" ref="T346">IF(AND(J346&lt;&gt;"",O346="Completed"),SUM(IF(O$3:O346="Completed",J$3:J346,0)),"")</f>
        <v/>
      </c>
      <c r="U346" s="10" t="str">
        <f t="shared" si="44"/>
        <v/>
      </c>
      <c r="V346" s="10">
        <f>ROW()</f>
        <v>346</v>
      </c>
      <c r="W346" s="10" t="str">
        <f t="shared" si="47"/>
        <v/>
      </c>
      <c r="Z346" s="10" t="str">
        <f>IF(A346&lt;&gt;"",'Metrics planning and tracking'!$K$4,"")</f>
        <v/>
      </c>
      <c r="AA346" s="10" t="str">
        <f>IF(A346&lt;&gt;"",'Metrics planning and tracking'!$K$5,"")</f>
        <v/>
      </c>
      <c r="AB346" s="10" t="str">
        <f>IF(A346&lt;&gt;"",'Metrics planning and tracking'!$K$2,"")</f>
        <v/>
      </c>
      <c r="AC346" s="10" t="str">
        <f>IF(A346&lt;&gt;"",'Metrics planning and tracking'!$K$3,"")</f>
        <v/>
      </c>
      <c r="AD346" s="10" t="str">
        <f>IF(A346&lt;&gt;"",IF(AND(#REF!&lt;&gt;"",#REF!&lt;&gt;"",#REF!&lt;&gt;0),#REF!/#REF!*100,"NA"),"")</f>
        <v/>
      </c>
      <c r="AE346" s="10" t="str">
        <f>IF(A346&lt;&gt;"",IF(AND(#REF!&lt;&gt;"",#REF!&lt;&gt;"",#REF!&lt;&gt;0),#REF!/#REF!*100,"NA"),"")</f>
        <v/>
      </c>
      <c r="AF346" s="57" t="str">
        <f t="shared" si="48"/>
        <v/>
      </c>
      <c r="AG346" s="57" t="str">
        <f t="shared" si="49"/>
        <v/>
      </c>
      <c r="AH346" s="58" t="str">
        <f t="shared" si="50"/>
        <v/>
      </c>
      <c r="AV346" s="22" t="str">
        <f>IF(A346&lt;&gt;"",A346 &amp; "-" &amp;#REF! &amp; ROW(),"")</f>
        <v/>
      </c>
    </row>
    <row r="347" spans="11:48" x14ac:dyDescent="0.2">
      <c r="K347" s="11" t="str">
        <f>IF(AND(COUNTA(B347:C347)&gt;1,COUNTA(F347:G347)&gt;1,O347="Completed"),(G347-C347)/(C347-#REF!+1)%,"")</f>
        <v/>
      </c>
      <c r="L347" s="11" t="str">
        <f>IF(AND(COUNT(D347:E347)&gt;0,COUNTA(F347:G347)&gt;1,O347="Completed"),(G347-AG347)/(AG347-#REF!+1)%,"")</f>
        <v/>
      </c>
      <c r="M347" s="11" t="str">
        <f t="shared" si="45"/>
        <v/>
      </c>
      <c r="N347" s="11" t="str">
        <f t="shared" si="46"/>
        <v/>
      </c>
      <c r="O347" s="12"/>
      <c r="P347" s="12"/>
      <c r="R347" s="10" t="str">
        <f>IF(H347&lt;&gt;"",SUMIF(H$3:H347,"&lt;&gt;" &amp; "",H$3:H347),"")</f>
        <v/>
      </c>
      <c r="S347" s="10" t="str">
        <f t="array" ref="S347">IF(O347="Completed",SUMIF(W$3:W347,"&lt;&gt;" &amp; "",W$3:W347),"")</f>
        <v/>
      </c>
      <c r="T347" s="10" t="str">
        <f t="array" ref="T347">IF(AND(J347&lt;&gt;"",O347="Completed"),SUM(IF(O$3:O347="Completed",J$3:J347,0)),"")</f>
        <v/>
      </c>
      <c r="U347" s="10" t="str">
        <f t="shared" si="44"/>
        <v/>
      </c>
      <c r="V347" s="10">
        <f>ROW()</f>
        <v>347</v>
      </c>
      <c r="W347" s="10" t="str">
        <f t="shared" si="47"/>
        <v/>
      </c>
      <c r="Z347" s="10" t="str">
        <f>IF(A347&lt;&gt;"",'Metrics planning and tracking'!$K$4,"")</f>
        <v/>
      </c>
      <c r="AA347" s="10" t="str">
        <f>IF(A347&lt;&gt;"",'Metrics planning and tracking'!$K$5,"")</f>
        <v/>
      </c>
      <c r="AB347" s="10" t="str">
        <f>IF(A347&lt;&gt;"",'Metrics planning and tracking'!$K$2,"")</f>
        <v/>
      </c>
      <c r="AC347" s="10" t="str">
        <f>IF(A347&lt;&gt;"",'Metrics planning and tracking'!$K$3,"")</f>
        <v/>
      </c>
      <c r="AD347" s="10" t="str">
        <f>IF(A347&lt;&gt;"",IF(AND(#REF!&lt;&gt;"",#REF!&lt;&gt;"",#REF!&lt;&gt;0),#REF!/#REF!*100,"NA"),"")</f>
        <v/>
      </c>
      <c r="AE347" s="10" t="str">
        <f>IF(A347&lt;&gt;"",IF(AND(#REF!&lt;&gt;"",#REF!&lt;&gt;"",#REF!&lt;&gt;0),#REF!/#REF!*100,"NA"),"")</f>
        <v/>
      </c>
      <c r="AF347" s="57" t="str">
        <f t="shared" si="48"/>
        <v/>
      </c>
      <c r="AG347" s="57" t="str">
        <f t="shared" si="49"/>
        <v/>
      </c>
      <c r="AH347" s="58" t="str">
        <f t="shared" si="50"/>
        <v/>
      </c>
      <c r="AV347" s="22" t="str">
        <f>IF(A347&lt;&gt;"",A347 &amp; "-" &amp;#REF! &amp; ROW(),"")</f>
        <v/>
      </c>
    </row>
    <row r="348" spans="11:48" x14ac:dyDescent="0.2">
      <c r="K348" s="11" t="str">
        <f>IF(AND(COUNTA(B348:C348)&gt;1,COUNTA(F348:G348)&gt;1,O348="Completed"),(G348-C348)/(C348-#REF!+1)%,"")</f>
        <v/>
      </c>
      <c r="L348" s="11" t="str">
        <f>IF(AND(COUNT(D348:E348)&gt;0,COUNTA(F348:G348)&gt;1,O348="Completed"),(G348-AG348)/(AG348-#REF!+1)%,"")</f>
        <v/>
      </c>
      <c r="M348" s="11" t="str">
        <f t="shared" si="45"/>
        <v/>
      </c>
      <c r="N348" s="11" t="str">
        <f t="shared" si="46"/>
        <v/>
      </c>
      <c r="O348" s="12"/>
      <c r="P348" s="12"/>
      <c r="R348" s="10" t="str">
        <f>IF(H348&lt;&gt;"",SUMIF(H$3:H348,"&lt;&gt;" &amp; "",H$3:H348),"")</f>
        <v/>
      </c>
      <c r="S348" s="10" t="str">
        <f t="array" ref="S348">IF(O348="Completed",SUMIF(W$3:W348,"&lt;&gt;" &amp; "",W$3:W348),"")</f>
        <v/>
      </c>
      <c r="T348" s="10" t="str">
        <f t="array" ref="T348">IF(AND(J348&lt;&gt;"",O348="Completed"),SUM(IF(O$3:O348="Completed",J$3:J348,0)),"")</f>
        <v/>
      </c>
      <c r="U348" s="10" t="str">
        <f t="shared" si="44"/>
        <v/>
      </c>
      <c r="V348" s="10">
        <f>ROW()</f>
        <v>348</v>
      </c>
      <c r="W348" s="10" t="str">
        <f t="shared" si="47"/>
        <v/>
      </c>
      <c r="Z348" s="10" t="str">
        <f>IF(A348&lt;&gt;"",'Metrics planning and tracking'!$K$4,"")</f>
        <v/>
      </c>
      <c r="AA348" s="10" t="str">
        <f>IF(A348&lt;&gt;"",'Metrics planning and tracking'!$K$5,"")</f>
        <v/>
      </c>
      <c r="AB348" s="10" t="str">
        <f>IF(A348&lt;&gt;"",'Metrics planning and tracking'!$K$2,"")</f>
        <v/>
      </c>
      <c r="AC348" s="10" t="str">
        <f>IF(A348&lt;&gt;"",'Metrics planning and tracking'!$K$3,"")</f>
        <v/>
      </c>
      <c r="AD348" s="10" t="str">
        <f>IF(A348&lt;&gt;"",IF(AND(#REF!&lt;&gt;"",#REF!&lt;&gt;"",#REF!&lt;&gt;0),#REF!/#REF!*100,"NA"),"")</f>
        <v/>
      </c>
      <c r="AE348" s="10" t="str">
        <f>IF(A348&lt;&gt;"",IF(AND(#REF!&lt;&gt;"",#REF!&lt;&gt;"",#REF!&lt;&gt;0),#REF!/#REF!*100,"NA"),"")</f>
        <v/>
      </c>
      <c r="AF348" s="57" t="str">
        <f t="shared" si="48"/>
        <v/>
      </c>
      <c r="AG348" s="57" t="str">
        <f t="shared" si="49"/>
        <v/>
      </c>
      <c r="AH348" s="58" t="str">
        <f t="shared" si="50"/>
        <v/>
      </c>
      <c r="AV348" s="22" t="str">
        <f>IF(A348&lt;&gt;"",A348 &amp; "-" &amp;#REF! &amp; ROW(),"")</f>
        <v/>
      </c>
    </row>
    <row r="349" spans="11:48" x14ac:dyDescent="0.2">
      <c r="K349" s="11" t="str">
        <f>IF(AND(COUNTA(B349:C349)&gt;1,COUNTA(F349:G349)&gt;1,O349="Completed"),(G349-C349)/(C349-#REF!+1)%,"")</f>
        <v/>
      </c>
      <c r="L349" s="11" t="str">
        <f>IF(AND(COUNT(D349:E349)&gt;0,COUNTA(F349:G349)&gt;1,O349="Completed"),(G349-AG349)/(AG349-#REF!+1)%,"")</f>
        <v/>
      </c>
      <c r="M349" s="11" t="str">
        <f t="shared" si="45"/>
        <v/>
      </c>
      <c r="N349" s="11" t="str">
        <f t="shared" si="46"/>
        <v/>
      </c>
      <c r="O349" s="12"/>
      <c r="P349" s="12"/>
      <c r="R349" s="10" t="str">
        <f>IF(H349&lt;&gt;"",SUMIF(H$3:H349,"&lt;&gt;" &amp; "",H$3:H349),"")</f>
        <v/>
      </c>
      <c r="S349" s="10" t="str">
        <f t="array" ref="S349">IF(O349="Completed",SUMIF(W$3:W349,"&lt;&gt;" &amp; "",W$3:W349),"")</f>
        <v/>
      </c>
      <c r="T349" s="10" t="str">
        <f t="array" ref="T349">IF(AND(J349&lt;&gt;"",O349="Completed"),SUM(IF(O$3:O349="Completed",J$3:J349,0)),"")</f>
        <v/>
      </c>
      <c r="U349" s="10" t="str">
        <f t="shared" si="44"/>
        <v/>
      </c>
      <c r="V349" s="10">
        <f>ROW()</f>
        <v>349</v>
      </c>
      <c r="W349" s="10" t="str">
        <f t="shared" si="47"/>
        <v/>
      </c>
      <c r="Z349" s="10" t="str">
        <f>IF(A349&lt;&gt;"",'Metrics planning and tracking'!$K$4,"")</f>
        <v/>
      </c>
      <c r="AA349" s="10" t="str">
        <f>IF(A349&lt;&gt;"",'Metrics planning and tracking'!$K$5,"")</f>
        <v/>
      </c>
      <c r="AB349" s="10" t="str">
        <f>IF(A349&lt;&gt;"",'Metrics planning and tracking'!$K$2,"")</f>
        <v/>
      </c>
      <c r="AC349" s="10" t="str">
        <f>IF(A349&lt;&gt;"",'Metrics planning and tracking'!$K$3,"")</f>
        <v/>
      </c>
      <c r="AD349" s="10" t="str">
        <f>IF(A349&lt;&gt;"",IF(AND(#REF!&lt;&gt;"",#REF!&lt;&gt;"",#REF!&lt;&gt;0),#REF!/#REF!*100,"NA"),"")</f>
        <v/>
      </c>
      <c r="AE349" s="10" t="str">
        <f>IF(A349&lt;&gt;"",IF(AND(#REF!&lt;&gt;"",#REF!&lt;&gt;"",#REF!&lt;&gt;0),#REF!/#REF!*100,"NA"),"")</f>
        <v/>
      </c>
      <c r="AF349" s="57" t="str">
        <f t="shared" si="48"/>
        <v/>
      </c>
      <c r="AG349" s="57" t="str">
        <f t="shared" si="49"/>
        <v/>
      </c>
      <c r="AH349" s="58" t="str">
        <f t="shared" si="50"/>
        <v/>
      </c>
      <c r="AV349" s="22" t="str">
        <f>IF(A349&lt;&gt;"",A349 &amp; "-" &amp;#REF! &amp; ROW(),"")</f>
        <v/>
      </c>
    </row>
    <row r="350" spans="11:48" x14ac:dyDescent="0.2">
      <c r="K350" s="11" t="str">
        <f>IF(AND(COUNTA(B350:C350)&gt;1,COUNTA(F350:G350)&gt;1,O350="Completed"),(G350-C350)/(C350-#REF!+1)%,"")</f>
        <v/>
      </c>
      <c r="L350" s="11" t="str">
        <f>IF(AND(COUNT(D350:E350)&gt;0,COUNTA(F350:G350)&gt;1,O350="Completed"),(G350-AG350)/(AG350-#REF!+1)%,"")</f>
        <v/>
      </c>
      <c r="M350" s="11" t="str">
        <f t="shared" si="45"/>
        <v/>
      </c>
      <c r="N350" s="11" t="str">
        <f t="shared" si="46"/>
        <v/>
      </c>
      <c r="O350" s="12"/>
      <c r="P350" s="12"/>
      <c r="R350" s="10" t="str">
        <f>IF(H350&lt;&gt;"",SUMIF(H$3:H350,"&lt;&gt;" &amp; "",H$3:H350),"")</f>
        <v/>
      </c>
      <c r="S350" s="10" t="str">
        <f t="array" ref="S350">IF(O350="Completed",SUMIF(W$3:W350,"&lt;&gt;" &amp; "",W$3:W350),"")</f>
        <v/>
      </c>
      <c r="T350" s="10" t="str">
        <f t="array" ref="T350">IF(AND(J350&lt;&gt;"",O350="Completed"),SUM(IF(O$3:O350="Completed",J$3:J350,0)),"")</f>
        <v/>
      </c>
      <c r="U350" s="10" t="str">
        <f t="shared" si="44"/>
        <v/>
      </c>
      <c r="V350" s="10">
        <f>ROW()</f>
        <v>350</v>
      </c>
      <c r="W350" s="10" t="str">
        <f t="shared" si="47"/>
        <v/>
      </c>
      <c r="Z350" s="10" t="str">
        <f>IF(A350&lt;&gt;"",'Metrics planning and tracking'!$K$4,"")</f>
        <v/>
      </c>
      <c r="AA350" s="10" t="str">
        <f>IF(A350&lt;&gt;"",'Metrics planning and tracking'!$K$5,"")</f>
        <v/>
      </c>
      <c r="AB350" s="10" t="str">
        <f>IF(A350&lt;&gt;"",'Metrics planning and tracking'!$K$2,"")</f>
        <v/>
      </c>
      <c r="AC350" s="10" t="str">
        <f>IF(A350&lt;&gt;"",'Metrics planning and tracking'!$K$3,"")</f>
        <v/>
      </c>
      <c r="AD350" s="10" t="str">
        <f>IF(A350&lt;&gt;"",IF(AND(#REF!&lt;&gt;"",#REF!&lt;&gt;"",#REF!&lt;&gt;0),#REF!/#REF!*100,"NA"),"")</f>
        <v/>
      </c>
      <c r="AE350" s="10" t="str">
        <f>IF(A350&lt;&gt;"",IF(AND(#REF!&lt;&gt;"",#REF!&lt;&gt;"",#REF!&lt;&gt;0),#REF!/#REF!*100,"NA"),"")</f>
        <v/>
      </c>
      <c r="AF350" s="57" t="str">
        <f t="shared" si="48"/>
        <v/>
      </c>
      <c r="AG350" s="57" t="str">
        <f t="shared" si="49"/>
        <v/>
      </c>
      <c r="AH350" s="58" t="str">
        <f t="shared" si="50"/>
        <v/>
      </c>
      <c r="AV350" s="22" t="str">
        <f>IF(A350&lt;&gt;"",A350 &amp; "-" &amp;#REF! &amp; ROW(),"")</f>
        <v/>
      </c>
    </row>
    <row r="351" spans="11:48" x14ac:dyDescent="0.2">
      <c r="K351" s="11" t="str">
        <f>IF(AND(COUNTA(B351:C351)&gt;1,COUNTA(F351:G351)&gt;1,O351="Completed"),(G351-C351)/(C351-#REF!+1)%,"")</f>
        <v/>
      </c>
      <c r="L351" s="11" t="str">
        <f>IF(AND(COUNT(D351:E351)&gt;0,COUNTA(F351:G351)&gt;1,O351="Completed"),(G351-AG351)/(AG351-#REF!+1)%,"")</f>
        <v/>
      </c>
      <c r="M351" s="11" t="str">
        <f t="shared" si="45"/>
        <v/>
      </c>
      <c r="N351" s="11" t="str">
        <f t="shared" si="46"/>
        <v/>
      </c>
      <c r="O351" s="12"/>
      <c r="P351" s="12"/>
      <c r="R351" s="10" t="str">
        <f>IF(H351&lt;&gt;"",SUMIF(H$3:H351,"&lt;&gt;" &amp; "",H$3:H351),"")</f>
        <v/>
      </c>
      <c r="S351" s="10" t="str">
        <f t="array" ref="S351">IF(O351="Completed",SUMIF(W$3:W351,"&lt;&gt;" &amp; "",W$3:W351),"")</f>
        <v/>
      </c>
      <c r="T351" s="10" t="str">
        <f t="array" ref="T351">IF(AND(J351&lt;&gt;"",O351="Completed"),SUM(IF(O$3:O351="Completed",J$3:J351,0)),"")</f>
        <v/>
      </c>
      <c r="U351" s="10" t="str">
        <f t="shared" si="44"/>
        <v/>
      </c>
      <c r="V351" s="10">
        <f>ROW()</f>
        <v>351</v>
      </c>
      <c r="W351" s="10" t="str">
        <f t="shared" si="47"/>
        <v/>
      </c>
      <c r="Z351" s="10" t="str">
        <f>IF(A351&lt;&gt;"",'Metrics planning and tracking'!$K$4,"")</f>
        <v/>
      </c>
      <c r="AA351" s="10" t="str">
        <f>IF(A351&lt;&gt;"",'Metrics planning and tracking'!$K$5,"")</f>
        <v/>
      </c>
      <c r="AB351" s="10" t="str">
        <f>IF(A351&lt;&gt;"",'Metrics planning and tracking'!$K$2,"")</f>
        <v/>
      </c>
      <c r="AC351" s="10" t="str">
        <f>IF(A351&lt;&gt;"",'Metrics planning and tracking'!$K$3,"")</f>
        <v/>
      </c>
      <c r="AD351" s="10" t="str">
        <f>IF(A351&lt;&gt;"",IF(AND(#REF!&lt;&gt;"",#REF!&lt;&gt;"",#REF!&lt;&gt;0),#REF!/#REF!*100,"NA"),"")</f>
        <v/>
      </c>
      <c r="AE351" s="10" t="str">
        <f>IF(A351&lt;&gt;"",IF(AND(#REF!&lt;&gt;"",#REF!&lt;&gt;"",#REF!&lt;&gt;0),#REF!/#REF!*100,"NA"),"")</f>
        <v/>
      </c>
      <c r="AF351" s="57" t="str">
        <f t="shared" si="48"/>
        <v/>
      </c>
      <c r="AG351" s="57" t="str">
        <f t="shared" si="49"/>
        <v/>
      </c>
      <c r="AH351" s="58" t="str">
        <f t="shared" si="50"/>
        <v/>
      </c>
      <c r="AV351" s="22" t="str">
        <f>IF(A351&lt;&gt;"",A351 &amp; "-" &amp;#REF! &amp; ROW(),"")</f>
        <v/>
      </c>
    </row>
    <row r="352" spans="11:48" x14ac:dyDescent="0.2">
      <c r="K352" s="11" t="str">
        <f>IF(AND(COUNTA(B352:C352)&gt;1,COUNTA(F352:G352)&gt;1,O352="Completed"),(G352-C352)/(C352-#REF!+1)%,"")</f>
        <v/>
      </c>
      <c r="L352" s="11" t="str">
        <f>IF(AND(COUNT(D352:E352)&gt;0,COUNTA(F352:G352)&gt;1,O352="Completed"),(G352-AG352)/(AG352-#REF!+1)%,"")</f>
        <v/>
      </c>
      <c r="M352" s="11" t="str">
        <f t="shared" si="45"/>
        <v/>
      </c>
      <c r="N352" s="11" t="str">
        <f t="shared" si="46"/>
        <v/>
      </c>
      <c r="O352" s="12"/>
      <c r="P352" s="12"/>
      <c r="R352" s="10" t="str">
        <f>IF(H352&lt;&gt;"",SUMIF(H$3:H352,"&lt;&gt;" &amp; "",H$3:H352),"")</f>
        <v/>
      </c>
      <c r="S352" s="10" t="str">
        <f t="array" ref="S352">IF(O352="Completed",SUMIF(W$3:W352,"&lt;&gt;" &amp; "",W$3:W352),"")</f>
        <v/>
      </c>
      <c r="T352" s="10" t="str">
        <f t="array" ref="T352">IF(AND(J352&lt;&gt;"",O352="Completed"),SUM(IF(O$3:O352="Completed",J$3:J352,0)),"")</f>
        <v/>
      </c>
      <c r="U352" s="10" t="str">
        <f t="shared" si="44"/>
        <v/>
      </c>
      <c r="V352" s="10">
        <f>ROW()</f>
        <v>352</v>
      </c>
      <c r="W352" s="10" t="str">
        <f t="shared" si="47"/>
        <v/>
      </c>
      <c r="Z352" s="10" t="str">
        <f>IF(A352&lt;&gt;"",'Metrics planning and tracking'!$K$4,"")</f>
        <v/>
      </c>
      <c r="AA352" s="10" t="str">
        <f>IF(A352&lt;&gt;"",'Metrics planning and tracking'!$K$5,"")</f>
        <v/>
      </c>
      <c r="AB352" s="10" t="str">
        <f>IF(A352&lt;&gt;"",'Metrics planning and tracking'!$K$2,"")</f>
        <v/>
      </c>
      <c r="AC352" s="10" t="str">
        <f>IF(A352&lt;&gt;"",'Metrics planning and tracking'!$K$3,"")</f>
        <v/>
      </c>
      <c r="AD352" s="10" t="str">
        <f>IF(A352&lt;&gt;"",IF(AND(#REF!&lt;&gt;"",#REF!&lt;&gt;"",#REF!&lt;&gt;0),#REF!/#REF!*100,"NA"),"")</f>
        <v/>
      </c>
      <c r="AE352" s="10" t="str">
        <f>IF(A352&lt;&gt;"",IF(AND(#REF!&lt;&gt;"",#REF!&lt;&gt;"",#REF!&lt;&gt;0),#REF!/#REF!*100,"NA"),"")</f>
        <v/>
      </c>
      <c r="AF352" s="57" t="str">
        <f t="shared" si="48"/>
        <v/>
      </c>
      <c r="AG352" s="57" t="str">
        <f t="shared" si="49"/>
        <v/>
      </c>
      <c r="AH352" s="58" t="str">
        <f t="shared" si="50"/>
        <v/>
      </c>
      <c r="AV352" s="22" t="str">
        <f>IF(A352&lt;&gt;"",A352 &amp; "-" &amp;#REF! &amp; ROW(),"")</f>
        <v/>
      </c>
    </row>
    <row r="353" spans="11:48" x14ac:dyDescent="0.2">
      <c r="K353" s="11" t="str">
        <f>IF(AND(COUNTA(B353:C353)&gt;1,COUNTA(F353:G353)&gt;1,O353="Completed"),(G353-C353)/(C353-#REF!+1)%,"")</f>
        <v/>
      </c>
      <c r="L353" s="11" t="str">
        <f>IF(AND(COUNT(D353:E353)&gt;0,COUNTA(F353:G353)&gt;1,O353="Completed"),(G353-AG353)/(AG353-#REF!+1)%,"")</f>
        <v/>
      </c>
      <c r="M353" s="11" t="str">
        <f t="shared" si="45"/>
        <v/>
      </c>
      <c r="N353" s="11" t="str">
        <f t="shared" si="46"/>
        <v/>
      </c>
      <c r="O353" s="12"/>
      <c r="P353" s="12"/>
      <c r="R353" s="10" t="str">
        <f>IF(H353&lt;&gt;"",SUMIF(H$3:H353,"&lt;&gt;" &amp; "",H$3:H353),"")</f>
        <v/>
      </c>
      <c r="S353" s="10" t="str">
        <f t="array" ref="S353">IF(O353="Completed",SUMIF(W$3:W353,"&lt;&gt;" &amp; "",W$3:W353),"")</f>
        <v/>
      </c>
      <c r="T353" s="10" t="str">
        <f t="array" ref="T353">IF(AND(J353&lt;&gt;"",O353="Completed"),SUM(IF(O$3:O353="Completed",J$3:J353,0)),"")</f>
        <v/>
      </c>
      <c r="U353" s="10" t="str">
        <f t="shared" si="44"/>
        <v/>
      </c>
      <c r="V353" s="10">
        <f>ROW()</f>
        <v>353</v>
      </c>
      <c r="W353" s="10" t="str">
        <f t="shared" si="47"/>
        <v/>
      </c>
      <c r="Z353" s="10" t="str">
        <f>IF(A353&lt;&gt;"",'Metrics planning and tracking'!$K$4,"")</f>
        <v/>
      </c>
      <c r="AA353" s="10" t="str">
        <f>IF(A353&lt;&gt;"",'Metrics planning and tracking'!$K$5,"")</f>
        <v/>
      </c>
      <c r="AB353" s="10" t="str">
        <f>IF(A353&lt;&gt;"",'Metrics planning and tracking'!$K$2,"")</f>
        <v/>
      </c>
      <c r="AC353" s="10" t="str">
        <f>IF(A353&lt;&gt;"",'Metrics planning and tracking'!$K$3,"")</f>
        <v/>
      </c>
      <c r="AD353" s="10" t="str">
        <f>IF(A353&lt;&gt;"",IF(AND(#REF!&lt;&gt;"",#REF!&lt;&gt;"",#REF!&lt;&gt;0),#REF!/#REF!*100,"NA"),"")</f>
        <v/>
      </c>
      <c r="AE353" s="10" t="str">
        <f>IF(A353&lt;&gt;"",IF(AND(#REF!&lt;&gt;"",#REF!&lt;&gt;"",#REF!&lt;&gt;0),#REF!/#REF!*100,"NA"),"")</f>
        <v/>
      </c>
      <c r="AF353" s="57" t="str">
        <f t="shared" si="48"/>
        <v/>
      </c>
      <c r="AG353" s="57" t="str">
        <f t="shared" si="49"/>
        <v/>
      </c>
      <c r="AH353" s="58" t="str">
        <f t="shared" si="50"/>
        <v/>
      </c>
      <c r="AV353" s="22" t="str">
        <f>IF(A353&lt;&gt;"",A353 &amp; "-" &amp;#REF! &amp; ROW(),"")</f>
        <v/>
      </c>
    </row>
    <row r="354" spans="11:48" x14ac:dyDescent="0.2">
      <c r="K354" s="11" t="str">
        <f>IF(AND(COUNTA(B354:C354)&gt;1,COUNTA(F354:G354)&gt;1,O354="Completed"),(G354-C354)/(C354-#REF!+1)%,"")</f>
        <v/>
      </c>
      <c r="L354" s="11" t="str">
        <f>IF(AND(COUNT(D354:E354)&gt;0,COUNTA(F354:G354)&gt;1,O354="Completed"),(G354-AG354)/(AG354-#REF!+1)%,"")</f>
        <v/>
      </c>
      <c r="M354" s="11" t="str">
        <f t="shared" si="45"/>
        <v/>
      </c>
      <c r="N354" s="11" t="str">
        <f t="shared" si="46"/>
        <v/>
      </c>
      <c r="O354" s="12"/>
      <c r="P354" s="12"/>
      <c r="R354" s="10" t="str">
        <f>IF(H354&lt;&gt;"",SUMIF(H$3:H354,"&lt;&gt;" &amp; "",H$3:H354),"")</f>
        <v/>
      </c>
      <c r="S354" s="10" t="str">
        <f t="array" ref="S354">IF(O354="Completed",SUMIF(W$3:W354,"&lt;&gt;" &amp; "",W$3:W354),"")</f>
        <v/>
      </c>
      <c r="T354" s="10" t="str">
        <f t="array" ref="T354">IF(AND(J354&lt;&gt;"",O354="Completed"),SUM(IF(O$3:O354="Completed",J$3:J354,0)),"")</f>
        <v/>
      </c>
      <c r="U354" s="10" t="str">
        <f t="shared" si="44"/>
        <v/>
      </c>
      <c r="V354" s="10">
        <f>ROW()</f>
        <v>354</v>
      </c>
      <c r="W354" s="10" t="str">
        <f t="shared" si="47"/>
        <v/>
      </c>
      <c r="Z354" s="10" t="str">
        <f>IF(A354&lt;&gt;"",'Metrics planning and tracking'!$K$4,"")</f>
        <v/>
      </c>
      <c r="AA354" s="10" t="str">
        <f>IF(A354&lt;&gt;"",'Metrics planning and tracking'!$K$5,"")</f>
        <v/>
      </c>
      <c r="AB354" s="10" t="str">
        <f>IF(A354&lt;&gt;"",'Metrics planning and tracking'!$K$2,"")</f>
        <v/>
      </c>
      <c r="AC354" s="10" t="str">
        <f>IF(A354&lt;&gt;"",'Metrics planning and tracking'!$K$3,"")</f>
        <v/>
      </c>
      <c r="AD354" s="10" t="str">
        <f>IF(A354&lt;&gt;"",IF(AND(#REF!&lt;&gt;"",#REF!&lt;&gt;"",#REF!&lt;&gt;0),#REF!/#REF!*100,"NA"),"")</f>
        <v/>
      </c>
      <c r="AE354" s="10" t="str">
        <f>IF(A354&lt;&gt;"",IF(AND(#REF!&lt;&gt;"",#REF!&lt;&gt;"",#REF!&lt;&gt;0),#REF!/#REF!*100,"NA"),"")</f>
        <v/>
      </c>
      <c r="AF354" s="57" t="str">
        <f t="shared" si="48"/>
        <v/>
      </c>
      <c r="AG354" s="57" t="str">
        <f t="shared" si="49"/>
        <v/>
      </c>
      <c r="AH354" s="58" t="str">
        <f t="shared" si="50"/>
        <v/>
      </c>
      <c r="AV354" s="22" t="str">
        <f>IF(A354&lt;&gt;"",A354 &amp; "-" &amp;#REF! &amp; ROW(),"")</f>
        <v/>
      </c>
    </row>
    <row r="355" spans="11:48" x14ac:dyDescent="0.2">
      <c r="K355" s="11" t="str">
        <f>IF(AND(COUNTA(B355:C355)&gt;1,COUNTA(F355:G355)&gt;1,O355="Completed"),(G355-C355)/(C355-#REF!+1)%,"")</f>
        <v/>
      </c>
      <c r="L355" s="11" t="str">
        <f>IF(AND(COUNT(D355:E355)&gt;0,COUNTA(F355:G355)&gt;1,O355="Completed"),(G355-AG355)/(AG355-#REF!+1)%,"")</f>
        <v/>
      </c>
      <c r="M355" s="11" t="str">
        <f t="shared" si="45"/>
        <v/>
      </c>
      <c r="N355" s="11" t="str">
        <f t="shared" si="46"/>
        <v/>
      </c>
      <c r="O355" s="12"/>
      <c r="P355" s="12"/>
      <c r="R355" s="10" t="str">
        <f>IF(H355&lt;&gt;"",SUMIF(H$3:H355,"&lt;&gt;" &amp; "",H$3:H355),"")</f>
        <v/>
      </c>
      <c r="S355" s="10" t="str">
        <f t="array" ref="S355">IF(O355="Completed",SUMIF(W$3:W355,"&lt;&gt;" &amp; "",W$3:W355),"")</f>
        <v/>
      </c>
      <c r="T355" s="10" t="str">
        <f t="array" ref="T355">IF(AND(J355&lt;&gt;"",O355="Completed"),SUM(IF(O$3:O355="Completed",J$3:J355,0)),"")</f>
        <v/>
      </c>
      <c r="U355" s="10" t="str">
        <f t="shared" si="44"/>
        <v/>
      </c>
      <c r="V355" s="10">
        <f>ROW()</f>
        <v>355</v>
      </c>
      <c r="W355" s="10" t="str">
        <f t="shared" si="47"/>
        <v/>
      </c>
      <c r="Z355" s="10" t="str">
        <f>IF(A355&lt;&gt;"",'Metrics planning and tracking'!$K$4,"")</f>
        <v/>
      </c>
      <c r="AA355" s="10" t="str">
        <f>IF(A355&lt;&gt;"",'Metrics planning and tracking'!$K$5,"")</f>
        <v/>
      </c>
      <c r="AB355" s="10" t="str">
        <f>IF(A355&lt;&gt;"",'Metrics planning and tracking'!$K$2,"")</f>
        <v/>
      </c>
      <c r="AC355" s="10" t="str">
        <f>IF(A355&lt;&gt;"",'Metrics planning and tracking'!$K$3,"")</f>
        <v/>
      </c>
      <c r="AD355" s="10" t="str">
        <f>IF(A355&lt;&gt;"",IF(AND(#REF!&lt;&gt;"",#REF!&lt;&gt;"",#REF!&lt;&gt;0),#REF!/#REF!*100,"NA"),"")</f>
        <v/>
      </c>
      <c r="AE355" s="10" t="str">
        <f>IF(A355&lt;&gt;"",IF(AND(#REF!&lt;&gt;"",#REF!&lt;&gt;"",#REF!&lt;&gt;0),#REF!/#REF!*100,"NA"),"")</f>
        <v/>
      </c>
      <c r="AF355" s="57" t="str">
        <f t="shared" si="48"/>
        <v/>
      </c>
      <c r="AG355" s="57" t="str">
        <f t="shared" si="49"/>
        <v/>
      </c>
      <c r="AH355" s="58" t="str">
        <f t="shared" si="50"/>
        <v/>
      </c>
      <c r="AV355" s="22" t="str">
        <f>IF(A355&lt;&gt;"",A355 &amp; "-" &amp;#REF! &amp; ROW(),"")</f>
        <v/>
      </c>
    </row>
    <row r="356" spans="11:48" x14ac:dyDescent="0.2">
      <c r="K356" s="11" t="str">
        <f>IF(AND(COUNTA(B356:C356)&gt;1,COUNTA(F356:G356)&gt;1,O356="Completed"),(G356-C356)/(C356-#REF!+1)%,"")</f>
        <v/>
      </c>
      <c r="L356" s="11" t="str">
        <f>IF(AND(COUNT(D356:E356)&gt;0,COUNTA(F356:G356)&gt;1,O356="Completed"),(G356-AG356)/(AG356-#REF!+1)%,"")</f>
        <v/>
      </c>
      <c r="M356" s="11" t="str">
        <f t="shared" si="45"/>
        <v/>
      </c>
      <c r="N356" s="11" t="str">
        <f t="shared" si="46"/>
        <v/>
      </c>
      <c r="O356" s="12"/>
      <c r="P356" s="12"/>
      <c r="R356" s="10" t="str">
        <f>IF(H356&lt;&gt;"",SUMIF(H$3:H356,"&lt;&gt;" &amp; "",H$3:H356),"")</f>
        <v/>
      </c>
      <c r="S356" s="10" t="str">
        <f t="array" ref="S356">IF(O356="Completed",SUMIF(W$3:W356,"&lt;&gt;" &amp; "",W$3:W356),"")</f>
        <v/>
      </c>
      <c r="T356" s="10" t="str">
        <f t="array" ref="T356">IF(AND(J356&lt;&gt;"",O356="Completed"),SUM(IF(O$3:O356="Completed",J$3:J356,0)),"")</f>
        <v/>
      </c>
      <c r="U356" s="10" t="str">
        <f t="shared" si="44"/>
        <v/>
      </c>
      <c r="V356" s="10">
        <f>ROW()</f>
        <v>356</v>
      </c>
      <c r="W356" s="10" t="str">
        <f t="shared" si="47"/>
        <v/>
      </c>
      <c r="Z356" s="10" t="str">
        <f>IF(A356&lt;&gt;"",'Metrics planning and tracking'!$K$4,"")</f>
        <v/>
      </c>
      <c r="AA356" s="10" t="str">
        <f>IF(A356&lt;&gt;"",'Metrics planning and tracking'!$K$5,"")</f>
        <v/>
      </c>
      <c r="AB356" s="10" t="str">
        <f>IF(A356&lt;&gt;"",'Metrics planning and tracking'!$K$2,"")</f>
        <v/>
      </c>
      <c r="AC356" s="10" t="str">
        <f>IF(A356&lt;&gt;"",'Metrics planning and tracking'!$K$3,"")</f>
        <v/>
      </c>
      <c r="AD356" s="10" t="str">
        <f>IF(A356&lt;&gt;"",IF(AND(#REF!&lt;&gt;"",#REF!&lt;&gt;"",#REF!&lt;&gt;0),#REF!/#REF!*100,"NA"),"")</f>
        <v/>
      </c>
      <c r="AE356" s="10" t="str">
        <f>IF(A356&lt;&gt;"",IF(AND(#REF!&lt;&gt;"",#REF!&lt;&gt;"",#REF!&lt;&gt;0),#REF!/#REF!*100,"NA"),"")</f>
        <v/>
      </c>
      <c r="AF356" s="57" t="str">
        <f t="shared" si="48"/>
        <v/>
      </c>
      <c r="AG356" s="57" t="str">
        <f t="shared" si="49"/>
        <v/>
      </c>
      <c r="AH356" s="58" t="str">
        <f t="shared" si="50"/>
        <v/>
      </c>
      <c r="AV356" s="22" t="str">
        <f>IF(A356&lt;&gt;"",A356 &amp; "-" &amp;#REF! &amp; ROW(),"")</f>
        <v/>
      </c>
    </row>
    <row r="357" spans="11:48" x14ac:dyDescent="0.2">
      <c r="K357" s="11" t="str">
        <f>IF(AND(COUNTA(B357:C357)&gt;1,COUNTA(F357:G357)&gt;1,O357="Completed"),(G357-C357)/(C357-#REF!+1)%,"")</f>
        <v/>
      </c>
      <c r="L357" s="11" t="str">
        <f>IF(AND(COUNT(D357:E357)&gt;0,COUNTA(F357:G357)&gt;1,O357="Completed"),(G357-AG357)/(AG357-#REF!+1)%,"")</f>
        <v/>
      </c>
      <c r="M357" s="11" t="str">
        <f t="shared" si="45"/>
        <v/>
      </c>
      <c r="N357" s="11" t="str">
        <f t="shared" si="46"/>
        <v/>
      </c>
      <c r="O357" s="12"/>
      <c r="P357" s="12"/>
      <c r="R357" s="10" t="str">
        <f>IF(H357&lt;&gt;"",SUMIF(H$3:H357,"&lt;&gt;" &amp; "",H$3:H357),"")</f>
        <v/>
      </c>
      <c r="S357" s="10" t="str">
        <f t="array" ref="S357">IF(O357="Completed",SUMIF(W$3:W357,"&lt;&gt;" &amp; "",W$3:W357),"")</f>
        <v/>
      </c>
      <c r="T357" s="10" t="str">
        <f t="array" ref="T357">IF(AND(J357&lt;&gt;"",O357="Completed"),SUM(IF(O$3:O357="Completed",J$3:J357,0)),"")</f>
        <v/>
      </c>
      <c r="U357" s="10" t="str">
        <f t="shared" si="44"/>
        <v/>
      </c>
      <c r="V357" s="10">
        <f>ROW()</f>
        <v>357</v>
      </c>
      <c r="W357" s="10" t="str">
        <f t="shared" si="47"/>
        <v/>
      </c>
      <c r="Z357" s="10" t="str">
        <f>IF(A357&lt;&gt;"",'Metrics planning and tracking'!$K$4,"")</f>
        <v/>
      </c>
      <c r="AA357" s="10" t="str">
        <f>IF(A357&lt;&gt;"",'Metrics planning and tracking'!$K$5,"")</f>
        <v/>
      </c>
      <c r="AB357" s="10" t="str">
        <f>IF(A357&lt;&gt;"",'Metrics planning and tracking'!$K$2,"")</f>
        <v/>
      </c>
      <c r="AC357" s="10" t="str">
        <f>IF(A357&lt;&gt;"",'Metrics planning and tracking'!$K$3,"")</f>
        <v/>
      </c>
      <c r="AD357" s="10" t="str">
        <f>IF(A357&lt;&gt;"",IF(AND(#REF!&lt;&gt;"",#REF!&lt;&gt;"",#REF!&lt;&gt;0),#REF!/#REF!*100,"NA"),"")</f>
        <v/>
      </c>
      <c r="AE357" s="10" t="str">
        <f>IF(A357&lt;&gt;"",IF(AND(#REF!&lt;&gt;"",#REF!&lt;&gt;"",#REF!&lt;&gt;0),#REF!/#REF!*100,"NA"),"")</f>
        <v/>
      </c>
      <c r="AF357" s="57" t="str">
        <f t="shared" si="48"/>
        <v/>
      </c>
      <c r="AG357" s="57" t="str">
        <f t="shared" si="49"/>
        <v/>
      </c>
      <c r="AH357" s="58" t="str">
        <f t="shared" si="50"/>
        <v/>
      </c>
      <c r="AV357" s="22" t="str">
        <f>IF(A357&lt;&gt;"",A357 &amp; "-" &amp;#REF! &amp; ROW(),"")</f>
        <v/>
      </c>
    </row>
    <row r="358" spans="11:48" x14ac:dyDescent="0.2">
      <c r="K358" s="11" t="str">
        <f>IF(AND(COUNTA(B358:C358)&gt;1,COUNTA(F358:G358)&gt;1,O358="Completed"),(G358-C358)/(C358-#REF!+1)%,"")</f>
        <v/>
      </c>
      <c r="L358" s="11" t="str">
        <f>IF(AND(COUNT(D358:E358)&gt;0,COUNTA(F358:G358)&gt;1,O358="Completed"),(G358-AG358)/(AG358-#REF!+1)%,"")</f>
        <v/>
      </c>
      <c r="M358" s="11" t="str">
        <f t="shared" si="45"/>
        <v/>
      </c>
      <c r="N358" s="11" t="str">
        <f t="shared" si="46"/>
        <v/>
      </c>
      <c r="O358" s="12"/>
      <c r="P358" s="12"/>
      <c r="R358" s="10" t="str">
        <f>IF(H358&lt;&gt;"",SUMIF(H$3:H358,"&lt;&gt;" &amp; "",H$3:H358),"")</f>
        <v/>
      </c>
      <c r="S358" s="10" t="str">
        <f t="array" ref="S358">IF(O358="Completed",SUMIF(W$3:W358,"&lt;&gt;" &amp; "",W$3:W358),"")</f>
        <v/>
      </c>
      <c r="T358" s="10" t="str">
        <f t="array" ref="T358">IF(AND(J358&lt;&gt;"",O358="Completed"),SUM(IF(O$3:O358="Completed",J$3:J358,0)),"")</f>
        <v/>
      </c>
      <c r="U358" s="10" t="str">
        <f t="shared" si="44"/>
        <v/>
      </c>
      <c r="V358" s="10">
        <f>ROW()</f>
        <v>358</v>
      </c>
      <c r="W358" s="10" t="str">
        <f t="shared" si="47"/>
        <v/>
      </c>
      <c r="Z358" s="10" t="str">
        <f>IF(A358&lt;&gt;"",'Metrics planning and tracking'!$K$4,"")</f>
        <v/>
      </c>
      <c r="AA358" s="10" t="str">
        <f>IF(A358&lt;&gt;"",'Metrics planning and tracking'!$K$5,"")</f>
        <v/>
      </c>
      <c r="AB358" s="10" t="str">
        <f>IF(A358&lt;&gt;"",'Metrics planning and tracking'!$K$2,"")</f>
        <v/>
      </c>
      <c r="AC358" s="10" t="str">
        <f>IF(A358&lt;&gt;"",'Metrics planning and tracking'!$K$3,"")</f>
        <v/>
      </c>
      <c r="AD358" s="10" t="str">
        <f>IF(A358&lt;&gt;"",IF(AND(#REF!&lt;&gt;"",#REF!&lt;&gt;"",#REF!&lt;&gt;0),#REF!/#REF!*100,"NA"),"")</f>
        <v/>
      </c>
      <c r="AE358" s="10" t="str">
        <f>IF(A358&lt;&gt;"",IF(AND(#REF!&lt;&gt;"",#REF!&lt;&gt;"",#REF!&lt;&gt;0),#REF!/#REF!*100,"NA"),"")</f>
        <v/>
      </c>
      <c r="AF358" s="57" t="str">
        <f t="shared" si="48"/>
        <v/>
      </c>
      <c r="AG358" s="57" t="str">
        <f t="shared" si="49"/>
        <v/>
      </c>
      <c r="AH358" s="58" t="str">
        <f t="shared" si="50"/>
        <v/>
      </c>
      <c r="AV358" s="22" t="str">
        <f>IF(A358&lt;&gt;"",A358 &amp; "-" &amp;#REF! &amp; ROW(),"")</f>
        <v/>
      </c>
    </row>
    <row r="359" spans="11:48" x14ac:dyDescent="0.2">
      <c r="K359" s="11" t="str">
        <f>IF(AND(COUNTA(B359:C359)&gt;1,COUNTA(F359:G359)&gt;1,O359="Completed"),(G359-C359)/(C359-#REF!+1)%,"")</f>
        <v/>
      </c>
      <c r="L359" s="11" t="str">
        <f>IF(AND(COUNT(D359:E359)&gt;0,COUNTA(F359:G359)&gt;1,O359="Completed"),(G359-AG359)/(AG359-#REF!+1)%,"")</f>
        <v/>
      </c>
      <c r="M359" s="11" t="str">
        <f t="shared" si="45"/>
        <v/>
      </c>
      <c r="N359" s="11" t="str">
        <f t="shared" si="46"/>
        <v/>
      </c>
      <c r="O359" s="12"/>
      <c r="P359" s="12"/>
      <c r="R359" s="10" t="str">
        <f>IF(H359&lt;&gt;"",SUMIF(H$3:H359,"&lt;&gt;" &amp; "",H$3:H359),"")</f>
        <v/>
      </c>
      <c r="S359" s="10" t="str">
        <f t="array" ref="S359">IF(O359="Completed",SUMIF(W$3:W359,"&lt;&gt;" &amp; "",W$3:W359),"")</f>
        <v/>
      </c>
      <c r="T359" s="10" t="str">
        <f t="array" ref="T359">IF(AND(J359&lt;&gt;"",O359="Completed"),SUM(IF(O$3:O359="Completed",J$3:J359,0)),"")</f>
        <v/>
      </c>
      <c r="U359" s="10" t="str">
        <f t="shared" si="44"/>
        <v/>
      </c>
      <c r="V359" s="10">
        <f>ROW()</f>
        <v>359</v>
      </c>
      <c r="W359" s="10" t="str">
        <f t="shared" si="47"/>
        <v/>
      </c>
      <c r="Z359" s="10" t="str">
        <f>IF(A359&lt;&gt;"",'Metrics planning and tracking'!$K$4,"")</f>
        <v/>
      </c>
      <c r="AA359" s="10" t="str">
        <f>IF(A359&lt;&gt;"",'Metrics planning and tracking'!$K$5,"")</f>
        <v/>
      </c>
      <c r="AB359" s="10" t="str">
        <f>IF(A359&lt;&gt;"",'Metrics planning and tracking'!$K$2,"")</f>
        <v/>
      </c>
      <c r="AC359" s="10" t="str">
        <f>IF(A359&lt;&gt;"",'Metrics planning and tracking'!$K$3,"")</f>
        <v/>
      </c>
      <c r="AD359" s="10" t="str">
        <f>IF(A359&lt;&gt;"",IF(AND(#REF!&lt;&gt;"",#REF!&lt;&gt;"",#REF!&lt;&gt;0),#REF!/#REF!*100,"NA"),"")</f>
        <v/>
      </c>
      <c r="AE359" s="10" t="str">
        <f>IF(A359&lt;&gt;"",IF(AND(#REF!&lt;&gt;"",#REF!&lt;&gt;"",#REF!&lt;&gt;0),#REF!/#REF!*100,"NA"),"")</f>
        <v/>
      </c>
      <c r="AF359" s="57" t="str">
        <f t="shared" si="48"/>
        <v/>
      </c>
      <c r="AG359" s="57" t="str">
        <f t="shared" si="49"/>
        <v/>
      </c>
      <c r="AH359" s="58" t="str">
        <f t="shared" si="50"/>
        <v/>
      </c>
      <c r="AV359" s="22" t="str">
        <f>IF(A359&lt;&gt;"",A359 &amp; "-" &amp;#REF! &amp; ROW(),"")</f>
        <v/>
      </c>
    </row>
    <row r="360" spans="11:48" x14ac:dyDescent="0.2">
      <c r="K360" s="11" t="str">
        <f>IF(AND(COUNTA(B360:C360)&gt;1,COUNTA(F360:G360)&gt;1,O360="Completed"),(G360-C360)/(C360-#REF!+1)%,"")</f>
        <v/>
      </c>
      <c r="L360" s="11" t="str">
        <f>IF(AND(COUNT(D360:E360)&gt;0,COUNTA(F360:G360)&gt;1,O360="Completed"),(G360-AG360)/(AG360-#REF!+1)%,"")</f>
        <v/>
      </c>
      <c r="M360" s="11" t="str">
        <f t="shared" si="45"/>
        <v/>
      </c>
      <c r="N360" s="11" t="str">
        <f t="shared" si="46"/>
        <v/>
      </c>
      <c r="O360" s="12"/>
      <c r="P360" s="12"/>
      <c r="R360" s="10" t="str">
        <f>IF(H360&lt;&gt;"",SUMIF(H$3:H360,"&lt;&gt;" &amp; "",H$3:H360),"")</f>
        <v/>
      </c>
      <c r="S360" s="10" t="str">
        <f t="array" ref="S360">IF(O360="Completed",SUMIF(W$3:W360,"&lt;&gt;" &amp; "",W$3:W360),"")</f>
        <v/>
      </c>
      <c r="T360" s="10" t="str">
        <f t="array" ref="T360">IF(AND(J360&lt;&gt;"",O360="Completed"),SUM(IF(O$3:O360="Completed",J$3:J360,0)),"")</f>
        <v/>
      </c>
      <c r="U360" s="10" t="str">
        <f t="shared" si="44"/>
        <v/>
      </c>
      <c r="V360" s="10">
        <f>ROW()</f>
        <v>360</v>
      </c>
      <c r="W360" s="10" t="str">
        <f t="shared" si="47"/>
        <v/>
      </c>
      <c r="Z360" s="10" t="str">
        <f>IF(A360&lt;&gt;"",'Metrics planning and tracking'!$K$4,"")</f>
        <v/>
      </c>
      <c r="AA360" s="10" t="str">
        <f>IF(A360&lt;&gt;"",'Metrics planning and tracking'!$K$5,"")</f>
        <v/>
      </c>
      <c r="AB360" s="10" t="str">
        <f>IF(A360&lt;&gt;"",'Metrics planning and tracking'!$K$2,"")</f>
        <v/>
      </c>
      <c r="AC360" s="10" t="str">
        <f>IF(A360&lt;&gt;"",'Metrics planning and tracking'!$K$3,"")</f>
        <v/>
      </c>
      <c r="AD360" s="10" t="str">
        <f>IF(A360&lt;&gt;"",IF(AND(#REF!&lt;&gt;"",#REF!&lt;&gt;"",#REF!&lt;&gt;0),#REF!/#REF!*100,"NA"),"")</f>
        <v/>
      </c>
      <c r="AE360" s="10" t="str">
        <f>IF(A360&lt;&gt;"",IF(AND(#REF!&lt;&gt;"",#REF!&lt;&gt;"",#REF!&lt;&gt;0),#REF!/#REF!*100,"NA"),"")</f>
        <v/>
      </c>
      <c r="AF360" s="57" t="str">
        <f t="shared" si="48"/>
        <v/>
      </c>
      <c r="AG360" s="57" t="str">
        <f t="shared" si="49"/>
        <v/>
      </c>
      <c r="AH360" s="58" t="str">
        <f t="shared" si="50"/>
        <v/>
      </c>
      <c r="AV360" s="22" t="str">
        <f>IF(A360&lt;&gt;"",A360 &amp; "-" &amp;#REF! &amp; ROW(),"")</f>
        <v/>
      </c>
    </row>
    <row r="361" spans="11:48" x14ac:dyDescent="0.2">
      <c r="K361" s="11" t="str">
        <f>IF(AND(COUNTA(B361:C361)&gt;1,COUNTA(F361:G361)&gt;1,O361="Completed"),(G361-C361)/(C361-#REF!+1)%,"")</f>
        <v/>
      </c>
      <c r="L361" s="11" t="str">
        <f>IF(AND(COUNT(D361:E361)&gt;0,COUNTA(F361:G361)&gt;1,O361="Completed"),(G361-AG361)/(AG361-#REF!+1)%,"")</f>
        <v/>
      </c>
      <c r="M361" s="11" t="str">
        <f t="shared" si="45"/>
        <v/>
      </c>
      <c r="N361" s="11" t="str">
        <f t="shared" si="46"/>
        <v/>
      </c>
      <c r="O361" s="12"/>
      <c r="P361" s="12"/>
      <c r="R361" s="10" t="str">
        <f>IF(H361&lt;&gt;"",SUMIF(H$3:H361,"&lt;&gt;" &amp; "",H$3:H361),"")</f>
        <v/>
      </c>
      <c r="S361" s="10" t="str">
        <f t="array" ref="S361">IF(O361="Completed",SUMIF(W$3:W361,"&lt;&gt;" &amp; "",W$3:W361),"")</f>
        <v/>
      </c>
      <c r="T361" s="10" t="str">
        <f t="array" ref="T361">IF(AND(J361&lt;&gt;"",O361="Completed"),SUM(IF(O$3:O361="Completed",J$3:J361,0)),"")</f>
        <v/>
      </c>
      <c r="U361" s="10" t="str">
        <f t="shared" si="44"/>
        <v/>
      </c>
      <c r="V361" s="10">
        <f>ROW()</f>
        <v>361</v>
      </c>
      <c r="W361" s="10" t="str">
        <f t="shared" si="47"/>
        <v/>
      </c>
      <c r="Z361" s="10" t="str">
        <f>IF(A361&lt;&gt;"",'Metrics planning and tracking'!$K$4,"")</f>
        <v/>
      </c>
      <c r="AA361" s="10" t="str">
        <f>IF(A361&lt;&gt;"",'Metrics planning and tracking'!$K$5,"")</f>
        <v/>
      </c>
      <c r="AB361" s="10" t="str">
        <f>IF(A361&lt;&gt;"",'Metrics planning and tracking'!$K$2,"")</f>
        <v/>
      </c>
      <c r="AC361" s="10" t="str">
        <f>IF(A361&lt;&gt;"",'Metrics planning and tracking'!$K$3,"")</f>
        <v/>
      </c>
      <c r="AD361" s="10" t="str">
        <f>IF(A361&lt;&gt;"",IF(AND(#REF!&lt;&gt;"",#REF!&lt;&gt;"",#REF!&lt;&gt;0),#REF!/#REF!*100,"NA"),"")</f>
        <v/>
      </c>
      <c r="AE361" s="10" t="str">
        <f>IF(A361&lt;&gt;"",IF(AND(#REF!&lt;&gt;"",#REF!&lt;&gt;"",#REF!&lt;&gt;0),#REF!/#REF!*100,"NA"),"")</f>
        <v/>
      </c>
      <c r="AF361" s="57" t="str">
        <f t="shared" si="48"/>
        <v/>
      </c>
      <c r="AG361" s="57" t="str">
        <f t="shared" si="49"/>
        <v/>
      </c>
      <c r="AH361" s="58" t="str">
        <f t="shared" si="50"/>
        <v/>
      </c>
      <c r="AV361" s="22" t="str">
        <f>IF(A361&lt;&gt;"",A361 &amp; "-" &amp;#REF! &amp; ROW(),"")</f>
        <v/>
      </c>
    </row>
    <row r="362" spans="11:48" x14ac:dyDescent="0.2">
      <c r="K362" s="11" t="str">
        <f>IF(AND(COUNTA(B362:C362)&gt;1,COUNTA(F362:G362)&gt;1,O362="Completed"),(G362-C362)/(C362-#REF!+1)%,"")</f>
        <v/>
      </c>
      <c r="L362" s="11" t="str">
        <f>IF(AND(COUNT(D362:E362)&gt;0,COUNTA(F362:G362)&gt;1,O362="Completed"),(G362-AG362)/(AG362-#REF!+1)%,"")</f>
        <v/>
      </c>
      <c r="M362" s="11" t="str">
        <f t="shared" si="45"/>
        <v/>
      </c>
      <c r="N362" s="11" t="str">
        <f t="shared" si="46"/>
        <v/>
      </c>
      <c r="O362" s="12"/>
      <c r="P362" s="12"/>
      <c r="R362" s="10" t="str">
        <f>IF(H362&lt;&gt;"",SUMIF(H$3:H362,"&lt;&gt;" &amp; "",H$3:H362),"")</f>
        <v/>
      </c>
      <c r="S362" s="10" t="str">
        <f t="array" ref="S362">IF(O362="Completed",SUMIF(W$3:W362,"&lt;&gt;" &amp; "",W$3:W362),"")</f>
        <v/>
      </c>
      <c r="T362" s="10" t="str">
        <f t="array" ref="T362">IF(AND(J362&lt;&gt;"",O362="Completed"),SUM(IF(O$3:O362="Completed",J$3:J362,0)),"")</f>
        <v/>
      </c>
      <c r="U362" s="10" t="str">
        <f t="shared" si="44"/>
        <v/>
      </c>
      <c r="V362" s="10">
        <f>ROW()</f>
        <v>362</v>
      </c>
      <c r="W362" s="10" t="str">
        <f t="shared" si="47"/>
        <v/>
      </c>
      <c r="Z362" s="10" t="str">
        <f>IF(A362&lt;&gt;"",'Metrics planning and tracking'!$K$4,"")</f>
        <v/>
      </c>
      <c r="AA362" s="10" t="str">
        <f>IF(A362&lt;&gt;"",'Metrics planning and tracking'!$K$5,"")</f>
        <v/>
      </c>
      <c r="AB362" s="10" t="str">
        <f>IF(A362&lt;&gt;"",'Metrics planning and tracking'!$K$2,"")</f>
        <v/>
      </c>
      <c r="AC362" s="10" t="str">
        <f>IF(A362&lt;&gt;"",'Metrics planning and tracking'!$K$3,"")</f>
        <v/>
      </c>
      <c r="AD362" s="10" t="str">
        <f>IF(A362&lt;&gt;"",IF(AND(#REF!&lt;&gt;"",#REF!&lt;&gt;"",#REF!&lt;&gt;0),#REF!/#REF!*100,"NA"),"")</f>
        <v/>
      </c>
      <c r="AE362" s="10" t="str">
        <f>IF(A362&lt;&gt;"",IF(AND(#REF!&lt;&gt;"",#REF!&lt;&gt;"",#REF!&lt;&gt;0),#REF!/#REF!*100,"NA"),"")</f>
        <v/>
      </c>
      <c r="AF362" s="57" t="str">
        <f t="shared" si="48"/>
        <v/>
      </c>
      <c r="AG362" s="57" t="str">
        <f t="shared" si="49"/>
        <v/>
      </c>
      <c r="AH362" s="58" t="str">
        <f t="shared" si="50"/>
        <v/>
      </c>
      <c r="AV362" s="22" t="str">
        <f>IF(A362&lt;&gt;"",A362 &amp; "-" &amp;#REF! &amp; ROW(),"")</f>
        <v/>
      </c>
    </row>
    <row r="363" spans="11:48" x14ac:dyDescent="0.2">
      <c r="K363" s="11" t="str">
        <f>IF(AND(COUNTA(B363:C363)&gt;1,COUNTA(F363:G363)&gt;1,O363="Completed"),(G363-C363)/(C363-#REF!+1)%,"")</f>
        <v/>
      </c>
      <c r="L363" s="11" t="str">
        <f>IF(AND(COUNT(D363:E363)&gt;0,COUNTA(F363:G363)&gt;1,O363="Completed"),(G363-AG363)/(AG363-#REF!+1)%,"")</f>
        <v/>
      </c>
      <c r="M363" s="11" t="str">
        <f t="shared" si="45"/>
        <v/>
      </c>
      <c r="N363" s="11" t="str">
        <f t="shared" si="46"/>
        <v/>
      </c>
      <c r="O363" s="12"/>
      <c r="P363" s="12"/>
      <c r="R363" s="10" t="str">
        <f>IF(H363&lt;&gt;"",SUMIF(H$3:H363,"&lt;&gt;" &amp; "",H$3:H363),"")</f>
        <v/>
      </c>
      <c r="S363" s="10" t="str">
        <f t="array" ref="S363">IF(O363="Completed",SUMIF(W$3:W363,"&lt;&gt;" &amp; "",W$3:W363),"")</f>
        <v/>
      </c>
      <c r="T363" s="10" t="str">
        <f t="array" ref="T363">IF(AND(J363&lt;&gt;"",O363="Completed"),SUM(IF(O$3:O363="Completed",J$3:J363,0)),"")</f>
        <v/>
      </c>
      <c r="U363" s="10" t="str">
        <f t="shared" si="44"/>
        <v/>
      </c>
      <c r="V363" s="10">
        <f>ROW()</f>
        <v>363</v>
      </c>
      <c r="W363" s="10" t="str">
        <f t="shared" si="47"/>
        <v/>
      </c>
      <c r="Z363" s="10" t="str">
        <f>IF(A363&lt;&gt;"",'Metrics planning and tracking'!$K$4,"")</f>
        <v/>
      </c>
      <c r="AA363" s="10" t="str">
        <f>IF(A363&lt;&gt;"",'Metrics planning and tracking'!$K$5,"")</f>
        <v/>
      </c>
      <c r="AB363" s="10" t="str">
        <f>IF(A363&lt;&gt;"",'Metrics planning and tracking'!$K$2,"")</f>
        <v/>
      </c>
      <c r="AC363" s="10" t="str">
        <f>IF(A363&lt;&gt;"",'Metrics planning and tracking'!$K$3,"")</f>
        <v/>
      </c>
      <c r="AD363" s="10" t="str">
        <f>IF(A363&lt;&gt;"",IF(AND(#REF!&lt;&gt;"",#REF!&lt;&gt;"",#REF!&lt;&gt;0),#REF!/#REF!*100,"NA"),"")</f>
        <v/>
      </c>
      <c r="AE363" s="10" t="str">
        <f>IF(A363&lt;&gt;"",IF(AND(#REF!&lt;&gt;"",#REF!&lt;&gt;"",#REF!&lt;&gt;0),#REF!/#REF!*100,"NA"),"")</f>
        <v/>
      </c>
      <c r="AF363" s="57" t="str">
        <f t="shared" si="48"/>
        <v/>
      </c>
      <c r="AG363" s="57" t="str">
        <f t="shared" si="49"/>
        <v/>
      </c>
      <c r="AH363" s="58" t="str">
        <f t="shared" si="50"/>
        <v/>
      </c>
      <c r="AV363" s="22" t="str">
        <f>IF(A363&lt;&gt;"",A363 &amp; "-" &amp;#REF! &amp; ROW(),"")</f>
        <v/>
      </c>
    </row>
    <row r="364" spans="11:48" x14ac:dyDescent="0.2">
      <c r="K364" s="11" t="str">
        <f>IF(AND(COUNTA(B364:C364)&gt;1,COUNTA(F364:G364)&gt;1,O364="Completed"),(G364-C364)/(C364-#REF!+1)%,"")</f>
        <v/>
      </c>
      <c r="L364" s="11" t="str">
        <f>IF(AND(COUNT(D364:E364)&gt;0,COUNTA(F364:G364)&gt;1,O364="Completed"),(G364-AG364)/(AG364-#REF!+1)%,"")</f>
        <v/>
      </c>
      <c r="M364" s="11" t="str">
        <f t="shared" si="45"/>
        <v/>
      </c>
      <c r="N364" s="11" t="str">
        <f t="shared" si="46"/>
        <v/>
      </c>
      <c r="O364" s="12"/>
      <c r="P364" s="12"/>
      <c r="R364" s="10" t="str">
        <f>IF(H364&lt;&gt;"",SUMIF(H$3:H364,"&lt;&gt;" &amp; "",H$3:H364),"")</f>
        <v/>
      </c>
      <c r="S364" s="10" t="str">
        <f t="array" ref="S364">IF(O364="Completed",SUMIF(W$3:W364,"&lt;&gt;" &amp; "",W$3:W364),"")</f>
        <v/>
      </c>
      <c r="T364" s="10" t="str">
        <f t="array" ref="T364">IF(AND(J364&lt;&gt;"",O364="Completed"),SUM(IF(O$3:O364="Completed",J$3:J364,0)),"")</f>
        <v/>
      </c>
      <c r="U364" s="10" t="str">
        <f t="shared" si="44"/>
        <v/>
      </c>
      <c r="V364" s="10">
        <f>ROW()</f>
        <v>364</v>
      </c>
      <c r="W364" s="10" t="str">
        <f t="shared" si="47"/>
        <v/>
      </c>
      <c r="Z364" s="10" t="str">
        <f>IF(A364&lt;&gt;"",'Metrics planning and tracking'!$K$4,"")</f>
        <v/>
      </c>
      <c r="AA364" s="10" t="str">
        <f>IF(A364&lt;&gt;"",'Metrics planning and tracking'!$K$5,"")</f>
        <v/>
      </c>
      <c r="AB364" s="10" t="str">
        <f>IF(A364&lt;&gt;"",'Metrics planning and tracking'!$K$2,"")</f>
        <v/>
      </c>
      <c r="AC364" s="10" t="str">
        <f>IF(A364&lt;&gt;"",'Metrics planning and tracking'!$K$3,"")</f>
        <v/>
      </c>
      <c r="AD364" s="10" t="str">
        <f>IF(A364&lt;&gt;"",IF(AND(#REF!&lt;&gt;"",#REF!&lt;&gt;"",#REF!&lt;&gt;0),#REF!/#REF!*100,"NA"),"")</f>
        <v/>
      </c>
      <c r="AE364" s="10" t="str">
        <f>IF(A364&lt;&gt;"",IF(AND(#REF!&lt;&gt;"",#REF!&lt;&gt;"",#REF!&lt;&gt;0),#REF!/#REF!*100,"NA"),"")</f>
        <v/>
      </c>
      <c r="AF364" s="57" t="str">
        <f t="shared" si="48"/>
        <v/>
      </c>
      <c r="AG364" s="57" t="str">
        <f t="shared" si="49"/>
        <v/>
      </c>
      <c r="AH364" s="58" t="str">
        <f t="shared" si="50"/>
        <v/>
      </c>
      <c r="AV364" s="22" t="str">
        <f>IF(A364&lt;&gt;"",A364 &amp; "-" &amp;#REF! &amp; ROW(),"")</f>
        <v/>
      </c>
    </row>
    <row r="365" spans="11:48" x14ac:dyDescent="0.2">
      <c r="K365" s="11" t="str">
        <f>IF(AND(COUNTA(B365:C365)&gt;1,COUNTA(F365:G365)&gt;1,O365="Completed"),(G365-C365)/(C365-#REF!+1)%,"")</f>
        <v/>
      </c>
      <c r="L365" s="11" t="str">
        <f>IF(AND(COUNT(D365:E365)&gt;0,COUNTA(F365:G365)&gt;1,O365="Completed"),(G365-AG365)/(AG365-#REF!+1)%,"")</f>
        <v/>
      </c>
      <c r="M365" s="11" t="str">
        <f t="shared" si="45"/>
        <v/>
      </c>
      <c r="N365" s="11" t="str">
        <f t="shared" si="46"/>
        <v/>
      </c>
      <c r="O365" s="12"/>
      <c r="P365" s="12"/>
      <c r="R365" s="10" t="str">
        <f>IF(H365&lt;&gt;"",SUMIF(H$3:H365,"&lt;&gt;" &amp; "",H$3:H365),"")</f>
        <v/>
      </c>
      <c r="S365" s="10" t="str">
        <f t="array" ref="S365">IF(O365="Completed",SUMIF(W$3:W365,"&lt;&gt;" &amp; "",W$3:W365),"")</f>
        <v/>
      </c>
      <c r="T365" s="10" t="str">
        <f t="array" ref="T365">IF(AND(J365&lt;&gt;"",O365="Completed"),SUM(IF(O$3:O365="Completed",J$3:J365,0)),"")</f>
        <v/>
      </c>
      <c r="U365" s="10" t="str">
        <f t="shared" si="44"/>
        <v/>
      </c>
      <c r="V365" s="10">
        <f>ROW()</f>
        <v>365</v>
      </c>
      <c r="W365" s="10" t="str">
        <f t="shared" si="47"/>
        <v/>
      </c>
      <c r="Z365" s="10" t="str">
        <f>IF(A365&lt;&gt;"",'Metrics planning and tracking'!$K$4,"")</f>
        <v/>
      </c>
      <c r="AA365" s="10" t="str">
        <f>IF(A365&lt;&gt;"",'Metrics planning and tracking'!$K$5,"")</f>
        <v/>
      </c>
      <c r="AB365" s="10" t="str">
        <f>IF(A365&lt;&gt;"",'Metrics planning and tracking'!$K$2,"")</f>
        <v/>
      </c>
      <c r="AC365" s="10" t="str">
        <f>IF(A365&lt;&gt;"",'Metrics planning and tracking'!$K$3,"")</f>
        <v/>
      </c>
      <c r="AD365" s="10" t="str">
        <f>IF(A365&lt;&gt;"",IF(AND(#REF!&lt;&gt;"",#REF!&lt;&gt;"",#REF!&lt;&gt;0),#REF!/#REF!*100,"NA"),"")</f>
        <v/>
      </c>
      <c r="AE365" s="10" t="str">
        <f>IF(A365&lt;&gt;"",IF(AND(#REF!&lt;&gt;"",#REF!&lt;&gt;"",#REF!&lt;&gt;0),#REF!/#REF!*100,"NA"),"")</f>
        <v/>
      </c>
      <c r="AF365" s="57" t="str">
        <f t="shared" si="48"/>
        <v/>
      </c>
      <c r="AG365" s="57" t="str">
        <f t="shared" si="49"/>
        <v/>
      </c>
      <c r="AH365" s="58" t="str">
        <f t="shared" si="50"/>
        <v/>
      </c>
      <c r="AV365" s="22" t="str">
        <f>IF(A365&lt;&gt;"",A365 &amp; "-" &amp;#REF! &amp; ROW(),"")</f>
        <v/>
      </c>
    </row>
    <row r="366" spans="11:48" x14ac:dyDescent="0.2">
      <c r="K366" s="11" t="str">
        <f>IF(AND(COUNTA(B366:C366)&gt;1,COUNTA(F366:G366)&gt;1,O366="Completed"),(G366-C366)/(C366-#REF!+1)%,"")</f>
        <v/>
      </c>
      <c r="L366" s="11" t="str">
        <f>IF(AND(COUNT(D366:E366)&gt;0,COUNTA(F366:G366)&gt;1,O366="Completed"),(G366-AG366)/(AG366-#REF!+1)%,"")</f>
        <v/>
      </c>
      <c r="M366" s="11" t="str">
        <f t="shared" si="45"/>
        <v/>
      </c>
      <c r="N366" s="11" t="str">
        <f t="shared" si="46"/>
        <v/>
      </c>
      <c r="O366" s="12"/>
      <c r="P366" s="12"/>
      <c r="R366" s="10" t="str">
        <f>IF(H366&lt;&gt;"",SUMIF(H$3:H366,"&lt;&gt;" &amp; "",H$3:H366),"")</f>
        <v/>
      </c>
      <c r="S366" s="10" t="str">
        <f t="array" ref="S366">IF(O366="Completed",SUMIF(W$3:W366,"&lt;&gt;" &amp; "",W$3:W366),"")</f>
        <v/>
      </c>
      <c r="T366" s="10" t="str">
        <f t="array" ref="T366">IF(AND(J366&lt;&gt;"",O366="Completed"),SUM(IF(O$3:O366="Completed",J$3:J366,0)),"")</f>
        <v/>
      </c>
      <c r="U366" s="10" t="str">
        <f t="shared" si="44"/>
        <v/>
      </c>
      <c r="V366" s="10">
        <f>ROW()</f>
        <v>366</v>
      </c>
      <c r="W366" s="10" t="str">
        <f t="shared" si="47"/>
        <v/>
      </c>
      <c r="Z366" s="10" t="str">
        <f>IF(A366&lt;&gt;"",'Metrics planning and tracking'!$K$4,"")</f>
        <v/>
      </c>
      <c r="AA366" s="10" t="str">
        <f>IF(A366&lt;&gt;"",'Metrics planning and tracking'!$K$5,"")</f>
        <v/>
      </c>
      <c r="AB366" s="10" t="str">
        <f>IF(A366&lt;&gt;"",'Metrics planning and tracking'!$K$2,"")</f>
        <v/>
      </c>
      <c r="AC366" s="10" t="str">
        <f>IF(A366&lt;&gt;"",'Metrics planning and tracking'!$K$3,"")</f>
        <v/>
      </c>
      <c r="AD366" s="10" t="str">
        <f>IF(A366&lt;&gt;"",IF(AND(#REF!&lt;&gt;"",#REF!&lt;&gt;"",#REF!&lt;&gt;0),#REF!/#REF!*100,"NA"),"")</f>
        <v/>
      </c>
      <c r="AE366" s="10" t="str">
        <f>IF(A366&lt;&gt;"",IF(AND(#REF!&lt;&gt;"",#REF!&lt;&gt;"",#REF!&lt;&gt;0),#REF!/#REF!*100,"NA"),"")</f>
        <v/>
      </c>
      <c r="AF366" s="57" t="str">
        <f t="shared" si="48"/>
        <v/>
      </c>
      <c r="AG366" s="57" t="str">
        <f t="shared" si="49"/>
        <v/>
      </c>
      <c r="AH366" s="58" t="str">
        <f t="shared" si="50"/>
        <v/>
      </c>
      <c r="AV366" s="22" t="str">
        <f>IF(A366&lt;&gt;"",A366 &amp; "-" &amp;#REF! &amp; ROW(),"")</f>
        <v/>
      </c>
    </row>
    <row r="367" spans="11:48" x14ac:dyDescent="0.2">
      <c r="K367" s="11" t="str">
        <f>IF(AND(COUNTA(B367:C367)&gt;1,COUNTA(F367:G367)&gt;1,O367="Completed"),(G367-C367)/(C367-#REF!+1)%,"")</f>
        <v/>
      </c>
      <c r="L367" s="11" t="str">
        <f>IF(AND(COUNT(D367:E367)&gt;0,COUNTA(F367:G367)&gt;1,O367="Completed"),(G367-AG367)/(AG367-#REF!+1)%,"")</f>
        <v/>
      </c>
      <c r="M367" s="11" t="str">
        <f t="shared" si="45"/>
        <v/>
      </c>
      <c r="N367" s="11" t="str">
        <f t="shared" si="46"/>
        <v/>
      </c>
      <c r="O367" s="12"/>
      <c r="P367" s="12"/>
      <c r="R367" s="10" t="str">
        <f>IF(H367&lt;&gt;"",SUMIF(H$3:H367,"&lt;&gt;" &amp; "",H$3:H367),"")</f>
        <v/>
      </c>
      <c r="S367" s="10" t="str">
        <f t="array" ref="S367">IF(O367="Completed",SUMIF(W$3:W367,"&lt;&gt;" &amp; "",W$3:W367),"")</f>
        <v/>
      </c>
      <c r="T367" s="10" t="str">
        <f t="array" ref="T367">IF(AND(J367&lt;&gt;"",O367="Completed"),SUM(IF(O$3:O367="Completed",J$3:J367,0)),"")</f>
        <v/>
      </c>
      <c r="U367" s="10" t="str">
        <f t="shared" si="44"/>
        <v/>
      </c>
      <c r="V367" s="10">
        <f>ROW()</f>
        <v>367</v>
      </c>
      <c r="W367" s="10" t="str">
        <f t="shared" si="47"/>
        <v/>
      </c>
      <c r="Z367" s="10" t="str">
        <f>IF(A367&lt;&gt;"",'Metrics planning and tracking'!$K$4,"")</f>
        <v/>
      </c>
      <c r="AA367" s="10" t="str">
        <f>IF(A367&lt;&gt;"",'Metrics planning and tracking'!$K$5,"")</f>
        <v/>
      </c>
      <c r="AB367" s="10" t="str">
        <f>IF(A367&lt;&gt;"",'Metrics planning and tracking'!$K$2,"")</f>
        <v/>
      </c>
      <c r="AC367" s="10" t="str">
        <f>IF(A367&lt;&gt;"",'Metrics planning and tracking'!$K$3,"")</f>
        <v/>
      </c>
      <c r="AD367" s="10" t="str">
        <f>IF(A367&lt;&gt;"",IF(AND(#REF!&lt;&gt;"",#REF!&lt;&gt;"",#REF!&lt;&gt;0),#REF!/#REF!*100,"NA"),"")</f>
        <v/>
      </c>
      <c r="AE367" s="10" t="str">
        <f>IF(A367&lt;&gt;"",IF(AND(#REF!&lt;&gt;"",#REF!&lt;&gt;"",#REF!&lt;&gt;0),#REF!/#REF!*100,"NA"),"")</f>
        <v/>
      </c>
      <c r="AF367" s="57" t="str">
        <f t="shared" si="48"/>
        <v/>
      </c>
      <c r="AG367" s="57" t="str">
        <f t="shared" si="49"/>
        <v/>
      </c>
      <c r="AH367" s="58" t="str">
        <f t="shared" si="50"/>
        <v/>
      </c>
      <c r="AV367" s="22" t="str">
        <f>IF(A367&lt;&gt;"",A367 &amp; "-" &amp;#REF! &amp; ROW(),"")</f>
        <v/>
      </c>
    </row>
    <row r="368" spans="11:48" x14ac:dyDescent="0.2">
      <c r="K368" s="11" t="str">
        <f>IF(AND(COUNTA(B368:C368)&gt;1,COUNTA(F368:G368)&gt;1,O368="Completed"),(G368-C368)/(C368-#REF!+1)%,"")</f>
        <v/>
      </c>
      <c r="L368" s="11" t="str">
        <f>IF(AND(COUNT(D368:E368)&gt;0,COUNTA(F368:G368)&gt;1,O368="Completed"),(G368-AG368)/(AG368-#REF!+1)%,"")</f>
        <v/>
      </c>
      <c r="M368" s="11" t="str">
        <f t="shared" si="45"/>
        <v/>
      </c>
      <c r="N368" s="11" t="str">
        <f t="shared" si="46"/>
        <v/>
      </c>
      <c r="O368" s="12"/>
      <c r="P368" s="12"/>
      <c r="R368" s="10" t="str">
        <f>IF(H368&lt;&gt;"",SUMIF(H$3:H368,"&lt;&gt;" &amp; "",H$3:H368),"")</f>
        <v/>
      </c>
      <c r="S368" s="10" t="str">
        <f t="array" ref="S368">IF(O368="Completed",SUMIF(W$3:W368,"&lt;&gt;" &amp; "",W$3:W368),"")</f>
        <v/>
      </c>
      <c r="T368" s="10" t="str">
        <f t="array" ref="T368">IF(AND(J368&lt;&gt;"",O368="Completed"),SUM(IF(O$3:O368="Completed",J$3:J368,0)),"")</f>
        <v/>
      </c>
      <c r="U368" s="10" t="str">
        <f t="shared" si="44"/>
        <v/>
      </c>
      <c r="V368" s="10">
        <f>ROW()</f>
        <v>368</v>
      </c>
      <c r="W368" s="10" t="str">
        <f t="shared" si="47"/>
        <v/>
      </c>
      <c r="Z368" s="10" t="str">
        <f>IF(A368&lt;&gt;"",'Metrics planning and tracking'!$K$4,"")</f>
        <v/>
      </c>
      <c r="AA368" s="10" t="str">
        <f>IF(A368&lt;&gt;"",'Metrics planning and tracking'!$K$5,"")</f>
        <v/>
      </c>
      <c r="AB368" s="10" t="str">
        <f>IF(A368&lt;&gt;"",'Metrics planning and tracking'!$K$2,"")</f>
        <v/>
      </c>
      <c r="AC368" s="10" t="str">
        <f>IF(A368&lt;&gt;"",'Metrics planning and tracking'!$K$3,"")</f>
        <v/>
      </c>
      <c r="AD368" s="10" t="str">
        <f>IF(A368&lt;&gt;"",IF(AND(#REF!&lt;&gt;"",#REF!&lt;&gt;"",#REF!&lt;&gt;0),#REF!/#REF!*100,"NA"),"")</f>
        <v/>
      </c>
      <c r="AE368" s="10" t="str">
        <f>IF(A368&lt;&gt;"",IF(AND(#REF!&lt;&gt;"",#REF!&lt;&gt;"",#REF!&lt;&gt;0),#REF!/#REF!*100,"NA"),"")</f>
        <v/>
      </c>
      <c r="AF368" s="57" t="str">
        <f t="shared" si="48"/>
        <v/>
      </c>
      <c r="AG368" s="57" t="str">
        <f t="shared" si="49"/>
        <v/>
      </c>
      <c r="AH368" s="58" t="str">
        <f t="shared" si="50"/>
        <v/>
      </c>
      <c r="AV368" s="22" t="str">
        <f>IF(A368&lt;&gt;"",A368 &amp; "-" &amp;#REF! &amp; ROW(),"")</f>
        <v/>
      </c>
    </row>
    <row r="369" spans="11:48" x14ac:dyDescent="0.2">
      <c r="K369" s="11" t="str">
        <f>IF(AND(COUNTA(B369:C369)&gt;1,COUNTA(F369:G369)&gt;1,O369="Completed"),(G369-C369)/(C369-#REF!+1)%,"")</f>
        <v/>
      </c>
      <c r="L369" s="11" t="str">
        <f>IF(AND(COUNT(D369:E369)&gt;0,COUNTA(F369:G369)&gt;1,O369="Completed"),(G369-AG369)/(AG369-#REF!+1)%,"")</f>
        <v/>
      </c>
      <c r="M369" s="11" t="str">
        <f t="shared" si="45"/>
        <v/>
      </c>
      <c r="N369" s="11" t="str">
        <f t="shared" si="46"/>
        <v/>
      </c>
      <c r="O369" s="12"/>
      <c r="P369" s="12"/>
      <c r="R369" s="10" t="str">
        <f>IF(H369&lt;&gt;"",SUMIF(H$3:H369,"&lt;&gt;" &amp; "",H$3:H369),"")</f>
        <v/>
      </c>
      <c r="S369" s="10" t="str">
        <f t="array" ref="S369">IF(O369="Completed",SUMIF(W$3:W369,"&lt;&gt;" &amp; "",W$3:W369),"")</f>
        <v/>
      </c>
      <c r="T369" s="10" t="str">
        <f t="array" ref="T369">IF(AND(J369&lt;&gt;"",O369="Completed"),SUM(IF(O$3:O369="Completed",J$3:J369,0)),"")</f>
        <v/>
      </c>
      <c r="U369" s="10" t="str">
        <f t="shared" si="44"/>
        <v/>
      </c>
      <c r="V369" s="10">
        <f>ROW()</f>
        <v>369</v>
      </c>
      <c r="W369" s="10" t="str">
        <f t="shared" si="47"/>
        <v/>
      </c>
      <c r="Z369" s="10" t="str">
        <f>IF(A369&lt;&gt;"",'Metrics planning and tracking'!$K$4,"")</f>
        <v/>
      </c>
      <c r="AA369" s="10" t="str">
        <f>IF(A369&lt;&gt;"",'Metrics planning and tracking'!$K$5,"")</f>
        <v/>
      </c>
      <c r="AB369" s="10" t="str">
        <f>IF(A369&lt;&gt;"",'Metrics planning and tracking'!$K$2,"")</f>
        <v/>
      </c>
      <c r="AC369" s="10" t="str">
        <f>IF(A369&lt;&gt;"",'Metrics planning and tracking'!$K$3,"")</f>
        <v/>
      </c>
      <c r="AD369" s="10" t="str">
        <f>IF(A369&lt;&gt;"",IF(AND(#REF!&lt;&gt;"",#REF!&lt;&gt;"",#REF!&lt;&gt;0),#REF!/#REF!*100,"NA"),"")</f>
        <v/>
      </c>
      <c r="AE369" s="10" t="str">
        <f>IF(A369&lt;&gt;"",IF(AND(#REF!&lt;&gt;"",#REF!&lt;&gt;"",#REF!&lt;&gt;0),#REF!/#REF!*100,"NA"),"")</f>
        <v/>
      </c>
      <c r="AF369" s="57" t="str">
        <f t="shared" si="48"/>
        <v/>
      </c>
      <c r="AG369" s="57" t="str">
        <f t="shared" si="49"/>
        <v/>
      </c>
      <c r="AH369" s="58" t="str">
        <f t="shared" si="50"/>
        <v/>
      </c>
      <c r="AV369" s="22" t="str">
        <f>IF(A369&lt;&gt;"",A369 &amp; "-" &amp;#REF! &amp; ROW(),"")</f>
        <v/>
      </c>
    </row>
    <row r="370" spans="11:48" x14ac:dyDescent="0.2">
      <c r="K370" s="11" t="str">
        <f>IF(AND(COUNTA(B370:C370)&gt;1,COUNTA(F370:G370)&gt;1,O370="Completed"),(G370-C370)/(C370-#REF!+1)%,"")</f>
        <v/>
      </c>
      <c r="L370" s="11" t="str">
        <f>IF(AND(COUNT(D370:E370)&gt;0,COUNTA(F370:G370)&gt;1,O370="Completed"),(G370-AG370)/(AG370-#REF!+1)%,"")</f>
        <v/>
      </c>
      <c r="M370" s="11" t="str">
        <f t="shared" si="45"/>
        <v/>
      </c>
      <c r="N370" s="11" t="str">
        <f t="shared" si="46"/>
        <v/>
      </c>
      <c r="O370" s="12"/>
      <c r="P370" s="12"/>
      <c r="R370" s="10" t="str">
        <f>IF(H370&lt;&gt;"",SUMIF(H$3:H370,"&lt;&gt;" &amp; "",H$3:H370),"")</f>
        <v/>
      </c>
      <c r="S370" s="10" t="str">
        <f t="array" ref="S370">IF(O370="Completed",SUMIF(W$3:W370,"&lt;&gt;" &amp; "",W$3:W370),"")</f>
        <v/>
      </c>
      <c r="T370" s="10" t="str">
        <f t="array" ref="T370">IF(AND(J370&lt;&gt;"",O370="Completed"),SUM(IF(O$3:O370="Completed",J$3:J370,0)),"")</f>
        <v/>
      </c>
      <c r="U370" s="10" t="str">
        <f t="shared" si="44"/>
        <v/>
      </c>
      <c r="V370" s="10">
        <f>ROW()</f>
        <v>370</v>
      </c>
      <c r="W370" s="10" t="str">
        <f t="shared" si="47"/>
        <v/>
      </c>
      <c r="Z370" s="10" t="str">
        <f>IF(A370&lt;&gt;"",'Metrics planning and tracking'!$K$4,"")</f>
        <v/>
      </c>
      <c r="AA370" s="10" t="str">
        <f>IF(A370&lt;&gt;"",'Metrics planning and tracking'!$K$5,"")</f>
        <v/>
      </c>
      <c r="AB370" s="10" t="str">
        <f>IF(A370&lt;&gt;"",'Metrics planning and tracking'!$K$2,"")</f>
        <v/>
      </c>
      <c r="AC370" s="10" t="str">
        <f>IF(A370&lt;&gt;"",'Metrics planning and tracking'!$K$3,"")</f>
        <v/>
      </c>
      <c r="AD370" s="10" t="str">
        <f>IF(A370&lt;&gt;"",IF(AND(#REF!&lt;&gt;"",#REF!&lt;&gt;"",#REF!&lt;&gt;0),#REF!/#REF!*100,"NA"),"")</f>
        <v/>
      </c>
      <c r="AE370" s="10" t="str">
        <f>IF(A370&lt;&gt;"",IF(AND(#REF!&lt;&gt;"",#REF!&lt;&gt;"",#REF!&lt;&gt;0),#REF!/#REF!*100,"NA"),"")</f>
        <v/>
      </c>
      <c r="AF370" s="57" t="str">
        <f t="shared" si="48"/>
        <v/>
      </c>
      <c r="AG370" s="57" t="str">
        <f t="shared" si="49"/>
        <v/>
      </c>
      <c r="AH370" s="58" t="str">
        <f t="shared" si="50"/>
        <v/>
      </c>
      <c r="AV370" s="22" t="str">
        <f>IF(A370&lt;&gt;"",A370 &amp; "-" &amp;#REF! &amp; ROW(),"")</f>
        <v/>
      </c>
    </row>
    <row r="371" spans="11:48" x14ac:dyDescent="0.2">
      <c r="K371" s="11" t="str">
        <f>IF(AND(COUNTA(B371:C371)&gt;1,COUNTA(F371:G371)&gt;1,O371="Completed"),(G371-C371)/(C371-#REF!+1)%,"")</f>
        <v/>
      </c>
      <c r="L371" s="11" t="str">
        <f>IF(AND(COUNT(D371:E371)&gt;0,COUNTA(F371:G371)&gt;1,O371="Completed"),(G371-AG371)/(AG371-#REF!+1)%,"")</f>
        <v/>
      </c>
      <c r="M371" s="11" t="str">
        <f t="shared" si="45"/>
        <v/>
      </c>
      <c r="N371" s="11" t="str">
        <f t="shared" si="46"/>
        <v/>
      </c>
      <c r="O371" s="12"/>
      <c r="P371" s="12"/>
      <c r="R371" s="10" t="str">
        <f>IF(H371&lt;&gt;"",SUMIF(H$3:H371,"&lt;&gt;" &amp; "",H$3:H371),"")</f>
        <v/>
      </c>
      <c r="S371" s="10" t="str">
        <f t="array" ref="S371">IF(O371="Completed",SUMIF(W$3:W371,"&lt;&gt;" &amp; "",W$3:W371),"")</f>
        <v/>
      </c>
      <c r="T371" s="10" t="str">
        <f t="array" ref="T371">IF(AND(J371&lt;&gt;"",O371="Completed"),SUM(IF(O$3:O371="Completed",J$3:J371,0)),"")</f>
        <v/>
      </c>
      <c r="U371" s="10" t="str">
        <f t="shared" si="44"/>
        <v/>
      </c>
      <c r="V371" s="10">
        <f>ROW()</f>
        <v>371</v>
      </c>
      <c r="W371" s="10" t="str">
        <f t="shared" si="47"/>
        <v/>
      </c>
      <c r="Z371" s="10" t="str">
        <f>IF(A371&lt;&gt;"",'Metrics planning and tracking'!$K$4,"")</f>
        <v/>
      </c>
      <c r="AA371" s="10" t="str">
        <f>IF(A371&lt;&gt;"",'Metrics planning and tracking'!$K$5,"")</f>
        <v/>
      </c>
      <c r="AB371" s="10" t="str">
        <f>IF(A371&lt;&gt;"",'Metrics planning and tracking'!$K$2,"")</f>
        <v/>
      </c>
      <c r="AC371" s="10" t="str">
        <f>IF(A371&lt;&gt;"",'Metrics planning and tracking'!$K$3,"")</f>
        <v/>
      </c>
      <c r="AD371" s="10" t="str">
        <f>IF(A371&lt;&gt;"",IF(AND(#REF!&lt;&gt;"",#REF!&lt;&gt;"",#REF!&lt;&gt;0),#REF!/#REF!*100,"NA"),"")</f>
        <v/>
      </c>
      <c r="AE371" s="10" t="str">
        <f>IF(A371&lt;&gt;"",IF(AND(#REF!&lt;&gt;"",#REF!&lt;&gt;"",#REF!&lt;&gt;0),#REF!/#REF!*100,"NA"),"")</f>
        <v/>
      </c>
      <c r="AF371" s="57" t="str">
        <f t="shared" si="48"/>
        <v/>
      </c>
      <c r="AG371" s="57" t="str">
        <f t="shared" si="49"/>
        <v/>
      </c>
      <c r="AH371" s="58" t="str">
        <f t="shared" si="50"/>
        <v/>
      </c>
      <c r="AV371" s="22" t="str">
        <f>IF(A371&lt;&gt;"",A371 &amp; "-" &amp;#REF! &amp; ROW(),"")</f>
        <v/>
      </c>
    </row>
    <row r="372" spans="11:48" x14ac:dyDescent="0.2">
      <c r="K372" s="11" t="str">
        <f>IF(AND(COUNTA(B372:C372)&gt;1,COUNTA(F372:G372)&gt;1,O372="Completed"),(G372-C372)/(C372-#REF!+1)%,"")</f>
        <v/>
      </c>
      <c r="L372" s="11" t="str">
        <f>IF(AND(COUNT(D372:E372)&gt;0,COUNTA(F372:G372)&gt;1,O372="Completed"),(G372-AG372)/(AG372-#REF!+1)%,"")</f>
        <v/>
      </c>
      <c r="M372" s="11" t="str">
        <f t="shared" si="45"/>
        <v/>
      </c>
      <c r="N372" s="11" t="str">
        <f t="shared" si="46"/>
        <v/>
      </c>
      <c r="O372" s="12"/>
      <c r="P372" s="12"/>
      <c r="R372" s="10" t="str">
        <f>IF(H372&lt;&gt;"",SUMIF(H$3:H372,"&lt;&gt;" &amp; "",H$3:H372),"")</f>
        <v/>
      </c>
      <c r="S372" s="10" t="str">
        <f t="array" ref="S372">IF(O372="Completed",SUMIF(W$3:W372,"&lt;&gt;" &amp; "",W$3:W372),"")</f>
        <v/>
      </c>
      <c r="T372" s="10" t="str">
        <f t="array" ref="T372">IF(AND(J372&lt;&gt;"",O372="Completed"),SUM(IF(O$3:O372="Completed",J$3:J372,0)),"")</f>
        <v/>
      </c>
      <c r="U372" s="10" t="str">
        <f t="shared" si="44"/>
        <v/>
      </c>
      <c r="V372" s="10">
        <f>ROW()</f>
        <v>372</v>
      </c>
      <c r="W372" s="10" t="str">
        <f t="shared" si="47"/>
        <v/>
      </c>
      <c r="Z372" s="10" t="str">
        <f>IF(A372&lt;&gt;"",'Metrics planning and tracking'!$K$4,"")</f>
        <v/>
      </c>
      <c r="AA372" s="10" t="str">
        <f>IF(A372&lt;&gt;"",'Metrics planning and tracking'!$K$5,"")</f>
        <v/>
      </c>
      <c r="AB372" s="10" t="str">
        <f>IF(A372&lt;&gt;"",'Metrics planning and tracking'!$K$2,"")</f>
        <v/>
      </c>
      <c r="AC372" s="10" t="str">
        <f>IF(A372&lt;&gt;"",'Metrics planning and tracking'!$K$3,"")</f>
        <v/>
      </c>
      <c r="AD372" s="10" t="str">
        <f>IF(A372&lt;&gt;"",IF(AND(#REF!&lt;&gt;"",#REF!&lt;&gt;"",#REF!&lt;&gt;0),#REF!/#REF!*100,"NA"),"")</f>
        <v/>
      </c>
      <c r="AE372" s="10" t="str">
        <f>IF(A372&lt;&gt;"",IF(AND(#REF!&lt;&gt;"",#REF!&lt;&gt;"",#REF!&lt;&gt;0),#REF!/#REF!*100,"NA"),"")</f>
        <v/>
      </c>
      <c r="AF372" s="57" t="str">
        <f t="shared" si="48"/>
        <v/>
      </c>
      <c r="AG372" s="57" t="str">
        <f t="shared" si="49"/>
        <v/>
      </c>
      <c r="AH372" s="58" t="str">
        <f t="shared" si="50"/>
        <v/>
      </c>
      <c r="AV372" s="22" t="str">
        <f>IF(A372&lt;&gt;"",A372 &amp; "-" &amp;#REF! &amp; ROW(),"")</f>
        <v/>
      </c>
    </row>
    <row r="373" spans="11:48" x14ac:dyDescent="0.2">
      <c r="K373" s="11" t="str">
        <f>IF(AND(COUNTA(B373:C373)&gt;1,COUNTA(F373:G373)&gt;1,O373="Completed"),(G373-C373)/(C373-#REF!+1)%,"")</f>
        <v/>
      </c>
      <c r="L373" s="11" t="str">
        <f>IF(AND(COUNT(D373:E373)&gt;0,COUNTA(F373:G373)&gt;1,O373="Completed"),(G373-AG373)/(AG373-#REF!+1)%,"")</f>
        <v/>
      </c>
      <c r="M373" s="11" t="str">
        <f t="shared" si="45"/>
        <v/>
      </c>
      <c r="N373" s="11" t="str">
        <f t="shared" si="46"/>
        <v/>
      </c>
      <c r="O373" s="12"/>
      <c r="P373" s="12"/>
      <c r="R373" s="10" t="str">
        <f>IF(H373&lt;&gt;"",SUMIF(H$3:H373,"&lt;&gt;" &amp; "",H$3:H373),"")</f>
        <v/>
      </c>
      <c r="S373" s="10" t="str">
        <f t="array" ref="S373">IF(O373="Completed",SUMIF(W$3:W373,"&lt;&gt;" &amp; "",W$3:W373),"")</f>
        <v/>
      </c>
      <c r="T373" s="10" t="str">
        <f t="array" ref="T373">IF(AND(J373&lt;&gt;"",O373="Completed"),SUM(IF(O$3:O373="Completed",J$3:J373,0)),"")</f>
        <v/>
      </c>
      <c r="U373" s="10" t="str">
        <f t="shared" si="44"/>
        <v/>
      </c>
      <c r="V373" s="10">
        <f>ROW()</f>
        <v>373</v>
      </c>
      <c r="W373" s="10" t="str">
        <f t="shared" si="47"/>
        <v/>
      </c>
      <c r="Z373" s="10" t="str">
        <f>IF(A373&lt;&gt;"",'Metrics planning and tracking'!$K$4,"")</f>
        <v/>
      </c>
      <c r="AA373" s="10" t="str">
        <f>IF(A373&lt;&gt;"",'Metrics planning and tracking'!$K$5,"")</f>
        <v/>
      </c>
      <c r="AB373" s="10" t="str">
        <f>IF(A373&lt;&gt;"",'Metrics planning and tracking'!$K$2,"")</f>
        <v/>
      </c>
      <c r="AC373" s="10" t="str">
        <f>IF(A373&lt;&gt;"",'Metrics planning and tracking'!$K$3,"")</f>
        <v/>
      </c>
      <c r="AD373" s="10" t="str">
        <f>IF(A373&lt;&gt;"",IF(AND(#REF!&lt;&gt;"",#REF!&lt;&gt;"",#REF!&lt;&gt;0),#REF!/#REF!*100,"NA"),"")</f>
        <v/>
      </c>
      <c r="AE373" s="10" t="str">
        <f>IF(A373&lt;&gt;"",IF(AND(#REF!&lt;&gt;"",#REF!&lt;&gt;"",#REF!&lt;&gt;0),#REF!/#REF!*100,"NA"),"")</f>
        <v/>
      </c>
      <c r="AF373" s="57" t="str">
        <f t="shared" si="48"/>
        <v/>
      </c>
      <c r="AG373" s="57" t="str">
        <f t="shared" si="49"/>
        <v/>
      </c>
      <c r="AH373" s="58" t="str">
        <f t="shared" si="50"/>
        <v/>
      </c>
      <c r="AV373" s="22" t="str">
        <f>IF(A373&lt;&gt;"",A373 &amp; "-" &amp;#REF! &amp; ROW(),"")</f>
        <v/>
      </c>
    </row>
    <row r="374" spans="11:48" x14ac:dyDescent="0.2">
      <c r="K374" s="11" t="str">
        <f>IF(AND(COUNTA(B374:C374)&gt;1,COUNTA(F374:G374)&gt;1,O374="Completed"),(G374-C374)/(C374-#REF!+1)%,"")</f>
        <v/>
      </c>
      <c r="L374" s="11" t="str">
        <f>IF(AND(COUNT(D374:E374)&gt;0,COUNTA(F374:G374)&gt;1,O374="Completed"),(G374-AG374)/(AG374-#REF!+1)%,"")</f>
        <v/>
      </c>
      <c r="M374" s="11" t="str">
        <f t="shared" si="45"/>
        <v/>
      </c>
      <c r="N374" s="11" t="str">
        <f t="shared" si="46"/>
        <v/>
      </c>
      <c r="O374" s="12"/>
      <c r="P374" s="12"/>
      <c r="R374" s="10" t="str">
        <f>IF(H374&lt;&gt;"",SUMIF(H$3:H374,"&lt;&gt;" &amp; "",H$3:H374),"")</f>
        <v/>
      </c>
      <c r="S374" s="10" t="str">
        <f t="array" ref="S374">IF(O374="Completed",SUMIF(W$3:W374,"&lt;&gt;" &amp; "",W$3:W374),"")</f>
        <v/>
      </c>
      <c r="T374" s="10" t="str">
        <f t="array" ref="T374">IF(AND(J374&lt;&gt;"",O374="Completed"),SUM(IF(O$3:O374="Completed",J$3:J374,0)),"")</f>
        <v/>
      </c>
      <c r="U374" s="10" t="str">
        <f t="shared" si="44"/>
        <v/>
      </c>
      <c r="V374" s="10">
        <f>ROW()</f>
        <v>374</v>
      </c>
      <c r="W374" s="10" t="str">
        <f t="shared" si="47"/>
        <v/>
      </c>
      <c r="Z374" s="10" t="str">
        <f>IF(A374&lt;&gt;"",'Metrics planning and tracking'!$K$4,"")</f>
        <v/>
      </c>
      <c r="AA374" s="10" t="str">
        <f>IF(A374&lt;&gt;"",'Metrics planning and tracking'!$K$5,"")</f>
        <v/>
      </c>
      <c r="AB374" s="10" t="str">
        <f>IF(A374&lt;&gt;"",'Metrics planning and tracking'!$K$2,"")</f>
        <v/>
      </c>
      <c r="AC374" s="10" t="str">
        <f>IF(A374&lt;&gt;"",'Metrics planning and tracking'!$K$3,"")</f>
        <v/>
      </c>
      <c r="AD374" s="10" t="str">
        <f>IF(A374&lt;&gt;"",IF(AND(#REF!&lt;&gt;"",#REF!&lt;&gt;"",#REF!&lt;&gt;0),#REF!/#REF!*100,"NA"),"")</f>
        <v/>
      </c>
      <c r="AE374" s="10" t="str">
        <f>IF(A374&lt;&gt;"",IF(AND(#REF!&lt;&gt;"",#REF!&lt;&gt;"",#REF!&lt;&gt;0),#REF!/#REF!*100,"NA"),"")</f>
        <v/>
      </c>
      <c r="AF374" s="57" t="str">
        <f t="shared" si="48"/>
        <v/>
      </c>
      <c r="AG374" s="57" t="str">
        <f t="shared" si="49"/>
        <v/>
      </c>
      <c r="AH374" s="58" t="str">
        <f t="shared" si="50"/>
        <v/>
      </c>
      <c r="AV374" s="22" t="str">
        <f>IF(A374&lt;&gt;"",A374 &amp; "-" &amp;#REF! &amp; ROW(),"")</f>
        <v/>
      </c>
    </row>
    <row r="375" spans="11:48" x14ac:dyDescent="0.2">
      <c r="K375" s="11" t="str">
        <f>IF(AND(COUNTA(B375:C375)&gt;1,COUNTA(F375:G375)&gt;1,O375="Completed"),(G375-C375)/(C375-#REF!+1)%,"")</f>
        <v/>
      </c>
      <c r="L375" s="11" t="str">
        <f>IF(AND(COUNT(D375:E375)&gt;0,COUNTA(F375:G375)&gt;1,O375="Completed"),(G375-AG375)/(AG375-#REF!+1)%,"")</f>
        <v/>
      </c>
      <c r="M375" s="11" t="str">
        <f t="shared" si="45"/>
        <v/>
      </c>
      <c r="N375" s="11" t="str">
        <f t="shared" si="46"/>
        <v/>
      </c>
      <c r="O375" s="12"/>
      <c r="P375" s="12"/>
      <c r="R375" s="10" t="str">
        <f>IF(H375&lt;&gt;"",SUMIF(H$3:H375,"&lt;&gt;" &amp; "",H$3:H375),"")</f>
        <v/>
      </c>
      <c r="S375" s="10" t="str">
        <f t="array" ref="S375">IF(O375="Completed",SUMIF(W$3:W375,"&lt;&gt;" &amp; "",W$3:W375),"")</f>
        <v/>
      </c>
      <c r="T375" s="10" t="str">
        <f t="array" ref="T375">IF(AND(J375&lt;&gt;"",O375="Completed"),SUM(IF(O$3:O375="Completed",J$3:J375,0)),"")</f>
        <v/>
      </c>
      <c r="U375" s="10" t="str">
        <f t="shared" si="44"/>
        <v/>
      </c>
      <c r="V375" s="10">
        <f>ROW()</f>
        <v>375</v>
      </c>
      <c r="W375" s="10" t="str">
        <f t="shared" si="47"/>
        <v/>
      </c>
      <c r="Z375" s="10" t="str">
        <f>IF(A375&lt;&gt;"",'Metrics planning and tracking'!$K$4,"")</f>
        <v/>
      </c>
      <c r="AA375" s="10" t="str">
        <f>IF(A375&lt;&gt;"",'Metrics planning and tracking'!$K$5,"")</f>
        <v/>
      </c>
      <c r="AB375" s="10" t="str">
        <f>IF(A375&lt;&gt;"",'Metrics planning and tracking'!$K$2,"")</f>
        <v/>
      </c>
      <c r="AC375" s="10" t="str">
        <f>IF(A375&lt;&gt;"",'Metrics planning and tracking'!$K$3,"")</f>
        <v/>
      </c>
      <c r="AD375" s="10" t="str">
        <f>IF(A375&lt;&gt;"",IF(AND(#REF!&lt;&gt;"",#REF!&lt;&gt;"",#REF!&lt;&gt;0),#REF!/#REF!*100,"NA"),"")</f>
        <v/>
      </c>
      <c r="AE375" s="10" t="str">
        <f>IF(A375&lt;&gt;"",IF(AND(#REF!&lt;&gt;"",#REF!&lt;&gt;"",#REF!&lt;&gt;0),#REF!/#REF!*100,"NA"),"")</f>
        <v/>
      </c>
      <c r="AF375" s="57" t="str">
        <f t="shared" si="48"/>
        <v/>
      </c>
      <c r="AG375" s="57" t="str">
        <f t="shared" si="49"/>
        <v/>
      </c>
      <c r="AH375" s="58" t="str">
        <f t="shared" si="50"/>
        <v/>
      </c>
      <c r="AV375" s="22" t="str">
        <f>IF(A375&lt;&gt;"",A375 &amp; "-" &amp;#REF! &amp; ROW(),"")</f>
        <v/>
      </c>
    </row>
    <row r="376" spans="11:48" x14ac:dyDescent="0.2">
      <c r="K376" s="11" t="str">
        <f>IF(AND(COUNTA(B376:C376)&gt;1,COUNTA(F376:G376)&gt;1,O376="Completed"),(G376-C376)/(C376-#REF!+1)%,"")</f>
        <v/>
      </c>
      <c r="L376" s="11" t="str">
        <f>IF(AND(COUNT(D376:E376)&gt;0,COUNTA(F376:G376)&gt;1,O376="Completed"),(G376-AG376)/(AG376-#REF!+1)%,"")</f>
        <v/>
      </c>
      <c r="M376" s="11" t="str">
        <f t="shared" si="45"/>
        <v/>
      </c>
      <c r="N376" s="11" t="str">
        <f t="shared" si="46"/>
        <v/>
      </c>
      <c r="O376" s="12"/>
      <c r="P376" s="12"/>
      <c r="R376" s="10" t="str">
        <f>IF(H376&lt;&gt;"",SUMIF(H$3:H376,"&lt;&gt;" &amp; "",H$3:H376),"")</f>
        <v/>
      </c>
      <c r="S376" s="10" t="str">
        <f t="array" ref="S376">IF(O376="Completed",SUMIF(W$3:W376,"&lt;&gt;" &amp; "",W$3:W376),"")</f>
        <v/>
      </c>
      <c r="T376" s="10" t="str">
        <f t="array" ref="T376">IF(AND(J376&lt;&gt;"",O376="Completed"),SUM(IF(O$3:O376="Completed",J$3:J376,0)),"")</f>
        <v/>
      </c>
      <c r="U376" s="10" t="str">
        <f t="shared" si="44"/>
        <v/>
      </c>
      <c r="V376" s="10">
        <f>ROW()</f>
        <v>376</v>
      </c>
      <c r="W376" s="10" t="str">
        <f t="shared" si="47"/>
        <v/>
      </c>
      <c r="Z376" s="10" t="str">
        <f>IF(A376&lt;&gt;"",'Metrics planning and tracking'!$K$4,"")</f>
        <v/>
      </c>
      <c r="AA376" s="10" t="str">
        <f>IF(A376&lt;&gt;"",'Metrics planning and tracking'!$K$5,"")</f>
        <v/>
      </c>
      <c r="AB376" s="10" t="str">
        <f>IF(A376&lt;&gt;"",'Metrics planning and tracking'!$K$2,"")</f>
        <v/>
      </c>
      <c r="AC376" s="10" t="str">
        <f>IF(A376&lt;&gt;"",'Metrics planning and tracking'!$K$3,"")</f>
        <v/>
      </c>
      <c r="AD376" s="10" t="str">
        <f>IF(A376&lt;&gt;"",IF(AND(#REF!&lt;&gt;"",#REF!&lt;&gt;"",#REF!&lt;&gt;0),#REF!/#REF!*100,"NA"),"")</f>
        <v/>
      </c>
      <c r="AE376" s="10" t="str">
        <f>IF(A376&lt;&gt;"",IF(AND(#REF!&lt;&gt;"",#REF!&lt;&gt;"",#REF!&lt;&gt;0),#REF!/#REF!*100,"NA"),"")</f>
        <v/>
      </c>
      <c r="AF376" s="57" t="str">
        <f t="shared" si="48"/>
        <v/>
      </c>
      <c r="AG376" s="57" t="str">
        <f t="shared" si="49"/>
        <v/>
      </c>
      <c r="AH376" s="58" t="str">
        <f t="shared" si="50"/>
        <v/>
      </c>
      <c r="AV376" s="22" t="str">
        <f>IF(A376&lt;&gt;"",A376 &amp; "-" &amp;#REF! &amp; ROW(),"")</f>
        <v/>
      </c>
    </row>
    <row r="377" spans="11:48" x14ac:dyDescent="0.2">
      <c r="K377" s="11" t="str">
        <f>IF(AND(COUNTA(B377:C377)&gt;1,COUNTA(F377:G377)&gt;1,O377="Completed"),(G377-C377)/(C377-#REF!+1)%,"")</f>
        <v/>
      </c>
      <c r="L377" s="11" t="str">
        <f>IF(AND(COUNT(D377:E377)&gt;0,COUNTA(F377:G377)&gt;1,O377="Completed"),(G377-AG377)/(AG377-#REF!+1)%,"")</f>
        <v/>
      </c>
      <c r="M377" s="11" t="str">
        <f t="shared" si="45"/>
        <v/>
      </c>
      <c r="N377" s="11" t="str">
        <f t="shared" si="46"/>
        <v/>
      </c>
      <c r="O377" s="12"/>
      <c r="P377" s="12"/>
      <c r="R377" s="10" t="str">
        <f>IF(H377&lt;&gt;"",SUMIF(H$3:H377,"&lt;&gt;" &amp; "",H$3:H377),"")</f>
        <v/>
      </c>
      <c r="S377" s="10" t="str">
        <f t="array" ref="S377">IF(O377="Completed",SUMIF(W$3:W377,"&lt;&gt;" &amp; "",W$3:W377),"")</f>
        <v/>
      </c>
      <c r="T377" s="10" t="str">
        <f t="array" ref="T377">IF(AND(J377&lt;&gt;"",O377="Completed"),SUM(IF(O$3:O377="Completed",J$3:J377,0)),"")</f>
        <v/>
      </c>
      <c r="U377" s="10" t="str">
        <f t="shared" si="44"/>
        <v/>
      </c>
      <c r="V377" s="10">
        <f>ROW()</f>
        <v>377</v>
      </c>
      <c r="W377" s="10" t="str">
        <f t="shared" si="47"/>
        <v/>
      </c>
      <c r="Z377" s="10" t="str">
        <f>IF(A377&lt;&gt;"",'Metrics planning and tracking'!$K$4,"")</f>
        <v/>
      </c>
      <c r="AA377" s="10" t="str">
        <f>IF(A377&lt;&gt;"",'Metrics planning and tracking'!$K$5,"")</f>
        <v/>
      </c>
      <c r="AB377" s="10" t="str">
        <f>IF(A377&lt;&gt;"",'Metrics planning and tracking'!$K$2,"")</f>
        <v/>
      </c>
      <c r="AC377" s="10" t="str">
        <f>IF(A377&lt;&gt;"",'Metrics planning and tracking'!$K$3,"")</f>
        <v/>
      </c>
      <c r="AD377" s="10" t="str">
        <f>IF(A377&lt;&gt;"",IF(AND(#REF!&lt;&gt;"",#REF!&lt;&gt;"",#REF!&lt;&gt;0),#REF!/#REF!*100,"NA"),"")</f>
        <v/>
      </c>
      <c r="AE377" s="10" t="str">
        <f>IF(A377&lt;&gt;"",IF(AND(#REF!&lt;&gt;"",#REF!&lt;&gt;"",#REF!&lt;&gt;0),#REF!/#REF!*100,"NA"),"")</f>
        <v/>
      </c>
      <c r="AF377" s="57" t="str">
        <f t="shared" si="48"/>
        <v/>
      </c>
      <c r="AG377" s="57" t="str">
        <f t="shared" si="49"/>
        <v/>
      </c>
      <c r="AH377" s="58" t="str">
        <f t="shared" si="50"/>
        <v/>
      </c>
      <c r="AV377" s="22" t="str">
        <f>IF(A377&lt;&gt;"",A377 &amp; "-" &amp;#REF! &amp; ROW(),"")</f>
        <v/>
      </c>
    </row>
    <row r="378" spans="11:48" x14ac:dyDescent="0.2">
      <c r="K378" s="11" t="str">
        <f>IF(AND(COUNTA(B378:C378)&gt;1,COUNTA(F378:G378)&gt;1,O378="Completed"),(G378-C378)/(C378-#REF!+1)%,"")</f>
        <v/>
      </c>
      <c r="L378" s="11" t="str">
        <f>IF(AND(COUNT(D378:E378)&gt;0,COUNTA(F378:G378)&gt;1,O378="Completed"),(G378-AG378)/(AG378-#REF!+1)%,"")</f>
        <v/>
      </c>
      <c r="M378" s="11" t="str">
        <f t="shared" si="45"/>
        <v/>
      </c>
      <c r="N378" s="11" t="str">
        <f t="shared" si="46"/>
        <v/>
      </c>
      <c r="O378" s="12"/>
      <c r="P378" s="12"/>
      <c r="R378" s="10" t="str">
        <f>IF(H378&lt;&gt;"",SUMIF(H$3:H378,"&lt;&gt;" &amp; "",H$3:H378),"")</f>
        <v/>
      </c>
      <c r="S378" s="10" t="str">
        <f t="array" ref="S378">IF(O378="Completed",SUMIF(W$3:W378,"&lt;&gt;" &amp; "",W$3:W378),"")</f>
        <v/>
      </c>
      <c r="T378" s="10" t="str">
        <f t="array" ref="T378">IF(AND(J378&lt;&gt;"",O378="Completed"),SUM(IF(O$3:O378="Completed",J$3:J378,0)),"")</f>
        <v/>
      </c>
      <c r="U378" s="10" t="str">
        <f t="shared" si="44"/>
        <v/>
      </c>
      <c r="V378" s="10">
        <f>ROW()</f>
        <v>378</v>
      </c>
      <c r="W378" s="10" t="str">
        <f t="shared" si="47"/>
        <v/>
      </c>
      <c r="Z378" s="10" t="str">
        <f>IF(A378&lt;&gt;"",'Metrics planning and tracking'!$K$4,"")</f>
        <v/>
      </c>
      <c r="AA378" s="10" t="str">
        <f>IF(A378&lt;&gt;"",'Metrics planning and tracking'!$K$5,"")</f>
        <v/>
      </c>
      <c r="AB378" s="10" t="str">
        <f>IF(A378&lt;&gt;"",'Metrics planning and tracking'!$K$2,"")</f>
        <v/>
      </c>
      <c r="AC378" s="10" t="str">
        <f>IF(A378&lt;&gt;"",'Metrics planning and tracking'!$K$3,"")</f>
        <v/>
      </c>
      <c r="AD378" s="10" t="str">
        <f>IF(A378&lt;&gt;"",IF(AND(#REF!&lt;&gt;"",#REF!&lt;&gt;"",#REF!&lt;&gt;0),#REF!/#REF!*100,"NA"),"")</f>
        <v/>
      </c>
      <c r="AE378" s="10" t="str">
        <f>IF(A378&lt;&gt;"",IF(AND(#REF!&lt;&gt;"",#REF!&lt;&gt;"",#REF!&lt;&gt;0),#REF!/#REF!*100,"NA"),"")</f>
        <v/>
      </c>
      <c r="AF378" s="57" t="str">
        <f t="shared" si="48"/>
        <v/>
      </c>
      <c r="AG378" s="57" t="str">
        <f t="shared" si="49"/>
        <v/>
      </c>
      <c r="AH378" s="58" t="str">
        <f t="shared" si="50"/>
        <v/>
      </c>
      <c r="AV378" s="22" t="str">
        <f>IF(A378&lt;&gt;"",A378 &amp; "-" &amp;#REF! &amp; ROW(),"")</f>
        <v/>
      </c>
    </row>
    <row r="379" spans="11:48" x14ac:dyDescent="0.2">
      <c r="K379" s="11" t="str">
        <f>IF(AND(COUNTA(B379:C379)&gt;1,COUNTA(F379:G379)&gt;1,O379="Completed"),(G379-C379)/(C379-#REF!+1)%,"")</f>
        <v/>
      </c>
      <c r="L379" s="11" t="str">
        <f>IF(AND(COUNT(D379:E379)&gt;0,COUNTA(F379:G379)&gt;1,O379="Completed"),(G379-AG379)/(AG379-#REF!+1)%,"")</f>
        <v/>
      </c>
      <c r="M379" s="11" t="str">
        <f t="shared" si="45"/>
        <v/>
      </c>
      <c r="N379" s="11" t="str">
        <f t="shared" si="46"/>
        <v/>
      </c>
      <c r="O379" s="12"/>
      <c r="P379" s="12"/>
      <c r="R379" s="10" t="str">
        <f>IF(H379&lt;&gt;"",SUMIF(H$3:H379,"&lt;&gt;" &amp; "",H$3:H379),"")</f>
        <v/>
      </c>
      <c r="S379" s="10" t="str">
        <f t="array" ref="S379">IF(O379="Completed",SUMIF(W$3:W379,"&lt;&gt;" &amp; "",W$3:W379),"")</f>
        <v/>
      </c>
      <c r="T379" s="10" t="str">
        <f t="array" ref="T379">IF(AND(J379&lt;&gt;"",O379="Completed"),SUM(IF(O$3:O379="Completed",J$3:J379,0)),"")</f>
        <v/>
      </c>
      <c r="U379" s="10" t="str">
        <f t="shared" si="44"/>
        <v/>
      </c>
      <c r="V379" s="10">
        <f>ROW()</f>
        <v>379</v>
      </c>
      <c r="W379" s="10" t="str">
        <f t="shared" si="47"/>
        <v/>
      </c>
      <c r="Z379" s="10" t="str">
        <f>IF(A379&lt;&gt;"",'Metrics planning and tracking'!$K$4,"")</f>
        <v/>
      </c>
      <c r="AA379" s="10" t="str">
        <f>IF(A379&lt;&gt;"",'Metrics planning and tracking'!$K$5,"")</f>
        <v/>
      </c>
      <c r="AB379" s="10" t="str">
        <f>IF(A379&lt;&gt;"",'Metrics planning and tracking'!$K$2,"")</f>
        <v/>
      </c>
      <c r="AC379" s="10" t="str">
        <f>IF(A379&lt;&gt;"",'Metrics planning and tracking'!$K$3,"")</f>
        <v/>
      </c>
      <c r="AD379" s="10" t="str">
        <f>IF(A379&lt;&gt;"",IF(AND(#REF!&lt;&gt;"",#REF!&lt;&gt;"",#REF!&lt;&gt;0),#REF!/#REF!*100,"NA"),"")</f>
        <v/>
      </c>
      <c r="AE379" s="10" t="str">
        <f>IF(A379&lt;&gt;"",IF(AND(#REF!&lt;&gt;"",#REF!&lt;&gt;"",#REF!&lt;&gt;0),#REF!/#REF!*100,"NA"),"")</f>
        <v/>
      </c>
      <c r="AF379" s="57" t="str">
        <f t="shared" si="48"/>
        <v/>
      </c>
      <c r="AG379" s="57" t="str">
        <f t="shared" si="49"/>
        <v/>
      </c>
      <c r="AH379" s="58" t="str">
        <f t="shared" si="50"/>
        <v/>
      </c>
      <c r="AV379" s="22" t="str">
        <f>IF(A379&lt;&gt;"",A379 &amp; "-" &amp;#REF! &amp; ROW(),"")</f>
        <v/>
      </c>
    </row>
    <row r="380" spans="11:48" x14ac:dyDescent="0.2">
      <c r="K380" s="11" t="str">
        <f>IF(AND(COUNTA(B380:C380)&gt;1,COUNTA(F380:G380)&gt;1,O380="Completed"),(G380-C380)/(C380-#REF!+1)%,"")</f>
        <v/>
      </c>
      <c r="L380" s="11" t="str">
        <f>IF(AND(COUNT(D380:E380)&gt;0,COUNTA(F380:G380)&gt;1,O380="Completed"),(G380-AG380)/(AG380-#REF!+1)%,"")</f>
        <v/>
      </c>
      <c r="M380" s="11" t="str">
        <f t="shared" si="45"/>
        <v/>
      </c>
      <c r="N380" s="11" t="str">
        <f t="shared" si="46"/>
        <v/>
      </c>
      <c r="O380" s="12"/>
      <c r="P380" s="12"/>
      <c r="R380" s="10" t="str">
        <f>IF(H380&lt;&gt;"",SUMIF(H$3:H380,"&lt;&gt;" &amp; "",H$3:H380),"")</f>
        <v/>
      </c>
      <c r="S380" s="10" t="str">
        <f t="array" ref="S380">IF(O380="Completed",SUMIF(W$3:W380,"&lt;&gt;" &amp; "",W$3:W380),"")</f>
        <v/>
      </c>
      <c r="T380" s="10" t="str">
        <f t="array" ref="T380">IF(AND(J380&lt;&gt;"",O380="Completed"),SUM(IF(O$3:O380="Completed",J$3:J380,0)),"")</f>
        <v/>
      </c>
      <c r="U380" s="10" t="str">
        <f t="shared" si="44"/>
        <v/>
      </c>
      <c r="V380" s="10">
        <f>ROW()</f>
        <v>380</v>
      </c>
      <c r="W380" s="10" t="str">
        <f t="shared" si="47"/>
        <v/>
      </c>
      <c r="Z380" s="10" t="str">
        <f>IF(A380&lt;&gt;"",'Metrics planning and tracking'!$K$4,"")</f>
        <v/>
      </c>
      <c r="AA380" s="10" t="str">
        <f>IF(A380&lt;&gt;"",'Metrics planning and tracking'!$K$5,"")</f>
        <v/>
      </c>
      <c r="AB380" s="10" t="str">
        <f>IF(A380&lt;&gt;"",'Metrics planning and tracking'!$K$2,"")</f>
        <v/>
      </c>
      <c r="AC380" s="10" t="str">
        <f>IF(A380&lt;&gt;"",'Metrics planning and tracking'!$K$3,"")</f>
        <v/>
      </c>
      <c r="AD380" s="10" t="str">
        <f>IF(A380&lt;&gt;"",IF(AND(#REF!&lt;&gt;"",#REF!&lt;&gt;"",#REF!&lt;&gt;0),#REF!/#REF!*100,"NA"),"")</f>
        <v/>
      </c>
      <c r="AE380" s="10" t="str">
        <f>IF(A380&lt;&gt;"",IF(AND(#REF!&lt;&gt;"",#REF!&lt;&gt;"",#REF!&lt;&gt;0),#REF!/#REF!*100,"NA"),"")</f>
        <v/>
      </c>
      <c r="AF380" s="57" t="str">
        <f t="shared" si="48"/>
        <v/>
      </c>
      <c r="AG380" s="57" t="str">
        <f t="shared" si="49"/>
        <v/>
      </c>
      <c r="AH380" s="58" t="str">
        <f t="shared" si="50"/>
        <v/>
      </c>
      <c r="AV380" s="22" t="str">
        <f>IF(A380&lt;&gt;"",A380 &amp; "-" &amp;#REF! &amp; ROW(),"")</f>
        <v/>
      </c>
    </row>
    <row r="381" spans="11:48" x14ac:dyDescent="0.2">
      <c r="K381" s="11" t="str">
        <f>IF(AND(COUNTA(B381:C381)&gt;1,COUNTA(F381:G381)&gt;1,O381="Completed"),(G381-C381)/(C381-#REF!+1)%,"")</f>
        <v/>
      </c>
      <c r="L381" s="11" t="str">
        <f>IF(AND(COUNT(D381:E381)&gt;0,COUNTA(F381:G381)&gt;1,O381="Completed"),(G381-AG381)/(AG381-#REF!+1)%,"")</f>
        <v/>
      </c>
      <c r="M381" s="11" t="str">
        <f t="shared" si="45"/>
        <v/>
      </c>
      <c r="N381" s="11" t="str">
        <f t="shared" si="46"/>
        <v/>
      </c>
      <c r="O381" s="12"/>
      <c r="P381" s="12"/>
      <c r="R381" s="10" t="str">
        <f>IF(H381&lt;&gt;"",SUMIF(H$3:H381,"&lt;&gt;" &amp; "",H$3:H381),"")</f>
        <v/>
      </c>
      <c r="S381" s="10" t="str">
        <f t="array" ref="S381">IF(O381="Completed",SUMIF(W$3:W381,"&lt;&gt;" &amp; "",W$3:W381),"")</f>
        <v/>
      </c>
      <c r="T381" s="10" t="str">
        <f t="array" ref="T381">IF(AND(J381&lt;&gt;"",O381="Completed"),SUM(IF(O$3:O381="Completed",J$3:J381,0)),"")</f>
        <v/>
      </c>
      <c r="U381" s="10" t="str">
        <f t="shared" si="44"/>
        <v/>
      </c>
      <c r="V381" s="10">
        <f>ROW()</f>
        <v>381</v>
      </c>
      <c r="W381" s="10" t="str">
        <f t="shared" si="47"/>
        <v/>
      </c>
      <c r="Z381" s="10" t="str">
        <f>IF(A381&lt;&gt;"",'Metrics planning and tracking'!$K$4,"")</f>
        <v/>
      </c>
      <c r="AA381" s="10" t="str">
        <f>IF(A381&lt;&gt;"",'Metrics planning and tracking'!$K$5,"")</f>
        <v/>
      </c>
      <c r="AB381" s="10" t="str">
        <f>IF(A381&lt;&gt;"",'Metrics planning and tracking'!$K$2,"")</f>
        <v/>
      </c>
      <c r="AC381" s="10" t="str">
        <f>IF(A381&lt;&gt;"",'Metrics planning and tracking'!$K$3,"")</f>
        <v/>
      </c>
      <c r="AD381" s="10" t="str">
        <f>IF(A381&lt;&gt;"",IF(AND(#REF!&lt;&gt;"",#REF!&lt;&gt;"",#REF!&lt;&gt;0),#REF!/#REF!*100,"NA"),"")</f>
        <v/>
      </c>
      <c r="AE381" s="10" t="str">
        <f>IF(A381&lt;&gt;"",IF(AND(#REF!&lt;&gt;"",#REF!&lt;&gt;"",#REF!&lt;&gt;0),#REF!/#REF!*100,"NA"),"")</f>
        <v/>
      </c>
      <c r="AF381" s="57" t="str">
        <f t="shared" si="48"/>
        <v/>
      </c>
      <c r="AG381" s="57" t="str">
        <f t="shared" si="49"/>
        <v/>
      </c>
      <c r="AH381" s="58" t="str">
        <f t="shared" si="50"/>
        <v/>
      </c>
      <c r="AV381" s="22" t="str">
        <f>IF(A381&lt;&gt;"",A381 &amp; "-" &amp;#REF! &amp; ROW(),"")</f>
        <v/>
      </c>
    </row>
    <row r="382" spans="11:48" x14ac:dyDescent="0.2">
      <c r="K382" s="11" t="str">
        <f>IF(AND(COUNTA(B382:C382)&gt;1,COUNTA(F382:G382)&gt;1,O382="Completed"),(G382-C382)/(C382-#REF!+1)%,"")</f>
        <v/>
      </c>
      <c r="L382" s="11" t="str">
        <f>IF(AND(COUNT(D382:E382)&gt;0,COUNTA(F382:G382)&gt;1,O382="Completed"),(G382-AG382)/(AG382-#REF!+1)%,"")</f>
        <v/>
      </c>
      <c r="M382" s="11" t="str">
        <f t="shared" si="45"/>
        <v/>
      </c>
      <c r="N382" s="11" t="str">
        <f t="shared" si="46"/>
        <v/>
      </c>
      <c r="O382" s="12"/>
      <c r="P382" s="12"/>
      <c r="R382" s="10" t="str">
        <f>IF(H382&lt;&gt;"",SUMIF(H$3:H382,"&lt;&gt;" &amp; "",H$3:H382),"")</f>
        <v/>
      </c>
      <c r="S382" s="10" t="str">
        <f t="array" ref="S382">IF(O382="Completed",SUMIF(W$3:W382,"&lt;&gt;" &amp; "",W$3:W382),"")</f>
        <v/>
      </c>
      <c r="T382" s="10" t="str">
        <f t="array" ref="T382">IF(AND(J382&lt;&gt;"",O382="Completed"),SUM(IF(O$3:O382="Completed",J$3:J382,0)),"")</f>
        <v/>
      </c>
      <c r="U382" s="10" t="str">
        <f t="shared" si="44"/>
        <v/>
      </c>
      <c r="V382" s="10">
        <f>ROW()</f>
        <v>382</v>
      </c>
      <c r="W382" s="10" t="str">
        <f t="shared" si="47"/>
        <v/>
      </c>
      <c r="Z382" s="10" t="str">
        <f>IF(A382&lt;&gt;"",'Metrics planning and tracking'!$K$4,"")</f>
        <v/>
      </c>
      <c r="AA382" s="10" t="str">
        <f>IF(A382&lt;&gt;"",'Metrics planning and tracking'!$K$5,"")</f>
        <v/>
      </c>
      <c r="AB382" s="10" t="str">
        <f>IF(A382&lt;&gt;"",'Metrics planning and tracking'!$K$2,"")</f>
        <v/>
      </c>
      <c r="AC382" s="10" t="str">
        <f>IF(A382&lt;&gt;"",'Metrics planning and tracking'!$K$3,"")</f>
        <v/>
      </c>
      <c r="AD382" s="10" t="str">
        <f>IF(A382&lt;&gt;"",IF(AND(#REF!&lt;&gt;"",#REF!&lt;&gt;"",#REF!&lt;&gt;0),#REF!/#REF!*100,"NA"),"")</f>
        <v/>
      </c>
      <c r="AE382" s="10" t="str">
        <f>IF(A382&lt;&gt;"",IF(AND(#REF!&lt;&gt;"",#REF!&lt;&gt;"",#REF!&lt;&gt;0),#REF!/#REF!*100,"NA"),"")</f>
        <v/>
      </c>
      <c r="AF382" s="57" t="str">
        <f t="shared" si="48"/>
        <v/>
      </c>
      <c r="AG382" s="57" t="str">
        <f t="shared" si="49"/>
        <v/>
      </c>
      <c r="AH382" s="58" t="str">
        <f t="shared" si="50"/>
        <v/>
      </c>
      <c r="AV382" s="22" t="str">
        <f>IF(A382&lt;&gt;"",A382 &amp; "-" &amp;#REF! &amp; ROW(),"")</f>
        <v/>
      </c>
    </row>
    <row r="383" spans="11:48" x14ac:dyDescent="0.2">
      <c r="K383" s="11" t="str">
        <f>IF(AND(COUNTA(B383:C383)&gt;1,COUNTA(F383:G383)&gt;1,O383="Completed"),(G383-C383)/(C383-#REF!+1)%,"")</f>
        <v/>
      </c>
      <c r="L383" s="11" t="str">
        <f>IF(AND(COUNT(D383:E383)&gt;0,COUNTA(F383:G383)&gt;1,O383="Completed"),(G383-AG383)/(AG383-#REF!+1)%,"")</f>
        <v/>
      </c>
      <c r="M383" s="11" t="str">
        <f t="shared" si="45"/>
        <v/>
      </c>
      <c r="N383" s="11" t="str">
        <f t="shared" si="46"/>
        <v/>
      </c>
      <c r="O383" s="12"/>
      <c r="P383" s="12"/>
      <c r="R383" s="10" t="str">
        <f>IF(H383&lt;&gt;"",SUMIF(H$3:H383,"&lt;&gt;" &amp; "",H$3:H383),"")</f>
        <v/>
      </c>
      <c r="S383" s="10" t="str">
        <f t="array" ref="S383">IF(O383="Completed",SUMIF(W$3:W383,"&lt;&gt;" &amp; "",W$3:W383),"")</f>
        <v/>
      </c>
      <c r="T383" s="10" t="str">
        <f t="array" ref="T383">IF(AND(J383&lt;&gt;"",O383="Completed"),SUM(IF(O$3:O383="Completed",J$3:J383,0)),"")</f>
        <v/>
      </c>
      <c r="U383" s="10" t="str">
        <f t="shared" si="44"/>
        <v/>
      </c>
      <c r="V383" s="10">
        <f>ROW()</f>
        <v>383</v>
      </c>
      <c r="W383" s="10" t="str">
        <f t="shared" si="47"/>
        <v/>
      </c>
      <c r="Z383" s="10" t="str">
        <f>IF(A383&lt;&gt;"",'Metrics planning and tracking'!$K$4,"")</f>
        <v/>
      </c>
      <c r="AA383" s="10" t="str">
        <f>IF(A383&lt;&gt;"",'Metrics planning and tracking'!$K$5,"")</f>
        <v/>
      </c>
      <c r="AB383" s="10" t="str">
        <f>IF(A383&lt;&gt;"",'Metrics planning and tracking'!$K$2,"")</f>
        <v/>
      </c>
      <c r="AC383" s="10" t="str">
        <f>IF(A383&lt;&gt;"",'Metrics planning and tracking'!$K$3,"")</f>
        <v/>
      </c>
      <c r="AD383" s="10" t="str">
        <f>IF(A383&lt;&gt;"",IF(AND(#REF!&lt;&gt;"",#REF!&lt;&gt;"",#REF!&lt;&gt;0),#REF!/#REF!*100,"NA"),"")</f>
        <v/>
      </c>
      <c r="AE383" s="10" t="str">
        <f>IF(A383&lt;&gt;"",IF(AND(#REF!&lt;&gt;"",#REF!&lt;&gt;"",#REF!&lt;&gt;0),#REF!/#REF!*100,"NA"),"")</f>
        <v/>
      </c>
      <c r="AF383" s="57" t="str">
        <f t="shared" si="48"/>
        <v/>
      </c>
      <c r="AG383" s="57" t="str">
        <f t="shared" si="49"/>
        <v/>
      </c>
      <c r="AH383" s="58" t="str">
        <f t="shared" si="50"/>
        <v/>
      </c>
      <c r="AV383" s="22" t="str">
        <f>IF(A383&lt;&gt;"",A383 &amp; "-" &amp;#REF! &amp; ROW(),"")</f>
        <v/>
      </c>
    </row>
    <row r="384" spans="11:48" x14ac:dyDescent="0.2">
      <c r="K384" s="11" t="str">
        <f>IF(AND(COUNTA(B384:C384)&gt;1,COUNTA(F384:G384)&gt;1,O384="Completed"),(G384-C384)/(C384-#REF!+1)%,"")</f>
        <v/>
      </c>
      <c r="L384" s="11" t="str">
        <f>IF(AND(COUNT(D384:E384)&gt;0,COUNTA(F384:G384)&gt;1,O384="Completed"),(G384-AG384)/(AG384-#REF!+1)%,"")</f>
        <v/>
      </c>
      <c r="M384" s="11" t="str">
        <f t="shared" si="45"/>
        <v/>
      </c>
      <c r="N384" s="11" t="str">
        <f t="shared" si="46"/>
        <v/>
      </c>
      <c r="O384" s="12"/>
      <c r="P384" s="12"/>
      <c r="R384" s="10" t="str">
        <f>IF(H384&lt;&gt;"",SUMIF(H$3:H384,"&lt;&gt;" &amp; "",H$3:H384),"")</f>
        <v/>
      </c>
      <c r="S384" s="10" t="str">
        <f t="array" ref="S384">IF(O384="Completed",SUMIF(W$3:W384,"&lt;&gt;" &amp; "",W$3:W384),"")</f>
        <v/>
      </c>
      <c r="T384" s="10" t="str">
        <f t="array" ref="T384">IF(AND(J384&lt;&gt;"",O384="Completed"),SUM(IF(O$3:O384="Completed",J$3:J384,0)),"")</f>
        <v/>
      </c>
      <c r="U384" s="10" t="str">
        <f t="shared" si="44"/>
        <v/>
      </c>
      <c r="V384" s="10">
        <f>ROW()</f>
        <v>384</v>
      </c>
      <c r="W384" s="10" t="str">
        <f t="shared" si="47"/>
        <v/>
      </c>
      <c r="Z384" s="10" t="str">
        <f>IF(A384&lt;&gt;"",'Metrics planning and tracking'!$K$4,"")</f>
        <v/>
      </c>
      <c r="AA384" s="10" t="str">
        <f>IF(A384&lt;&gt;"",'Metrics planning and tracking'!$K$5,"")</f>
        <v/>
      </c>
      <c r="AB384" s="10" t="str">
        <f>IF(A384&lt;&gt;"",'Metrics planning and tracking'!$K$2,"")</f>
        <v/>
      </c>
      <c r="AC384" s="10" t="str">
        <f>IF(A384&lt;&gt;"",'Metrics planning and tracking'!$K$3,"")</f>
        <v/>
      </c>
      <c r="AD384" s="10" t="str">
        <f>IF(A384&lt;&gt;"",IF(AND(#REF!&lt;&gt;"",#REF!&lt;&gt;"",#REF!&lt;&gt;0),#REF!/#REF!*100,"NA"),"")</f>
        <v/>
      </c>
      <c r="AE384" s="10" t="str">
        <f>IF(A384&lt;&gt;"",IF(AND(#REF!&lt;&gt;"",#REF!&lt;&gt;"",#REF!&lt;&gt;0),#REF!/#REF!*100,"NA"),"")</f>
        <v/>
      </c>
      <c r="AF384" s="57" t="str">
        <f t="shared" si="48"/>
        <v/>
      </c>
      <c r="AG384" s="57" t="str">
        <f t="shared" si="49"/>
        <v/>
      </c>
      <c r="AH384" s="58" t="str">
        <f t="shared" si="50"/>
        <v/>
      </c>
      <c r="AV384" s="22" t="str">
        <f>IF(A384&lt;&gt;"",A384 &amp; "-" &amp;#REF! &amp; ROW(),"")</f>
        <v/>
      </c>
    </row>
    <row r="385" spans="11:48" x14ac:dyDescent="0.2">
      <c r="K385" s="11" t="str">
        <f>IF(AND(COUNTA(B385:C385)&gt;1,COUNTA(F385:G385)&gt;1,O385="Completed"),(G385-C385)/(C385-#REF!+1)%,"")</f>
        <v/>
      </c>
      <c r="L385" s="11" t="str">
        <f>IF(AND(COUNT(D385:E385)&gt;0,COUNTA(F385:G385)&gt;1,O385="Completed"),(G385-AG385)/(AG385-#REF!+1)%,"")</f>
        <v/>
      </c>
      <c r="M385" s="11" t="str">
        <f t="shared" si="45"/>
        <v/>
      </c>
      <c r="N385" s="11" t="str">
        <f t="shared" si="46"/>
        <v/>
      </c>
      <c r="O385" s="12"/>
      <c r="P385" s="12"/>
      <c r="R385" s="10" t="str">
        <f>IF(H385&lt;&gt;"",SUMIF(H$3:H385,"&lt;&gt;" &amp; "",H$3:H385),"")</f>
        <v/>
      </c>
      <c r="S385" s="10" t="str">
        <f t="array" ref="S385">IF(O385="Completed",SUMIF(W$3:W385,"&lt;&gt;" &amp; "",W$3:W385),"")</f>
        <v/>
      </c>
      <c r="T385" s="10" t="str">
        <f t="array" ref="T385">IF(AND(J385&lt;&gt;"",O385="Completed"),SUM(IF(O$3:O385="Completed",J$3:J385,0)),"")</f>
        <v/>
      </c>
      <c r="U385" s="10" t="str">
        <f t="shared" si="44"/>
        <v/>
      </c>
      <c r="V385" s="10">
        <f>ROW()</f>
        <v>385</v>
      </c>
      <c r="W385" s="10" t="str">
        <f t="shared" si="47"/>
        <v/>
      </c>
      <c r="Z385" s="10" t="str">
        <f>IF(A385&lt;&gt;"",'Metrics planning and tracking'!$K$4,"")</f>
        <v/>
      </c>
      <c r="AA385" s="10" t="str">
        <f>IF(A385&lt;&gt;"",'Metrics planning and tracking'!$K$5,"")</f>
        <v/>
      </c>
      <c r="AB385" s="10" t="str">
        <f>IF(A385&lt;&gt;"",'Metrics planning and tracking'!$K$2,"")</f>
        <v/>
      </c>
      <c r="AC385" s="10" t="str">
        <f>IF(A385&lt;&gt;"",'Metrics planning and tracking'!$K$3,"")</f>
        <v/>
      </c>
      <c r="AD385" s="10" t="str">
        <f>IF(A385&lt;&gt;"",IF(AND(#REF!&lt;&gt;"",#REF!&lt;&gt;"",#REF!&lt;&gt;0),#REF!/#REF!*100,"NA"),"")</f>
        <v/>
      </c>
      <c r="AE385" s="10" t="str">
        <f>IF(A385&lt;&gt;"",IF(AND(#REF!&lt;&gt;"",#REF!&lt;&gt;"",#REF!&lt;&gt;0),#REF!/#REF!*100,"NA"),"")</f>
        <v/>
      </c>
      <c r="AF385" s="57" t="str">
        <f t="shared" si="48"/>
        <v/>
      </c>
      <c r="AG385" s="57" t="str">
        <f t="shared" si="49"/>
        <v/>
      </c>
      <c r="AH385" s="58" t="str">
        <f t="shared" si="50"/>
        <v/>
      </c>
      <c r="AV385" s="22" t="str">
        <f>IF(A385&lt;&gt;"",A385 &amp; "-" &amp;#REF! &amp; ROW(),"")</f>
        <v/>
      </c>
    </row>
    <row r="386" spans="11:48" x14ac:dyDescent="0.2">
      <c r="K386" s="11" t="str">
        <f>IF(AND(COUNTA(B386:C386)&gt;1,COUNTA(F386:G386)&gt;1,O386="Completed"),(G386-C386)/(C386-#REF!+1)%,"")</f>
        <v/>
      </c>
      <c r="L386" s="11" t="str">
        <f>IF(AND(COUNT(D386:E386)&gt;0,COUNTA(F386:G386)&gt;1,O386="Completed"),(G386-AG386)/(AG386-#REF!+1)%,"")</f>
        <v/>
      </c>
      <c r="M386" s="11" t="str">
        <f t="shared" si="45"/>
        <v/>
      </c>
      <c r="N386" s="11" t="str">
        <f t="shared" si="46"/>
        <v/>
      </c>
      <c r="O386" s="12"/>
      <c r="P386" s="12"/>
      <c r="R386" s="10" t="str">
        <f>IF(H386&lt;&gt;"",SUMIF(H$3:H386,"&lt;&gt;" &amp; "",H$3:H386),"")</f>
        <v/>
      </c>
      <c r="S386" s="10" t="str">
        <f t="array" ref="S386">IF(O386="Completed",SUMIF(W$3:W386,"&lt;&gt;" &amp; "",W$3:W386),"")</f>
        <v/>
      </c>
      <c r="T386" s="10" t="str">
        <f t="array" ref="T386">IF(AND(J386&lt;&gt;"",O386="Completed"),SUM(IF(O$3:O386="Completed",J$3:J386,0)),"")</f>
        <v/>
      </c>
      <c r="U386" s="10" t="str">
        <f t="shared" si="44"/>
        <v/>
      </c>
      <c r="V386" s="10">
        <f>ROW()</f>
        <v>386</v>
      </c>
      <c r="W386" s="10" t="str">
        <f t="shared" si="47"/>
        <v/>
      </c>
      <c r="Z386" s="10" t="str">
        <f>IF(A386&lt;&gt;"",'Metrics planning and tracking'!$K$4,"")</f>
        <v/>
      </c>
      <c r="AA386" s="10" t="str">
        <f>IF(A386&lt;&gt;"",'Metrics planning and tracking'!$K$5,"")</f>
        <v/>
      </c>
      <c r="AB386" s="10" t="str">
        <f>IF(A386&lt;&gt;"",'Metrics planning and tracking'!$K$2,"")</f>
        <v/>
      </c>
      <c r="AC386" s="10" t="str">
        <f>IF(A386&lt;&gt;"",'Metrics planning and tracking'!$K$3,"")</f>
        <v/>
      </c>
      <c r="AD386" s="10" t="str">
        <f>IF(A386&lt;&gt;"",IF(AND(#REF!&lt;&gt;"",#REF!&lt;&gt;"",#REF!&lt;&gt;0),#REF!/#REF!*100,"NA"),"")</f>
        <v/>
      </c>
      <c r="AE386" s="10" t="str">
        <f>IF(A386&lt;&gt;"",IF(AND(#REF!&lt;&gt;"",#REF!&lt;&gt;"",#REF!&lt;&gt;0),#REF!/#REF!*100,"NA"),"")</f>
        <v/>
      </c>
      <c r="AF386" s="57" t="str">
        <f t="shared" si="48"/>
        <v/>
      </c>
      <c r="AG386" s="57" t="str">
        <f t="shared" si="49"/>
        <v/>
      </c>
      <c r="AH386" s="58" t="str">
        <f t="shared" si="50"/>
        <v/>
      </c>
      <c r="AV386" s="22" t="str">
        <f>IF(A386&lt;&gt;"",A386 &amp; "-" &amp;#REF! &amp; ROW(),"")</f>
        <v/>
      </c>
    </row>
    <row r="387" spans="11:48" x14ac:dyDescent="0.2">
      <c r="K387" s="11" t="str">
        <f>IF(AND(COUNTA(B387:C387)&gt;1,COUNTA(F387:G387)&gt;1,O387="Completed"),(G387-C387)/(C387-#REF!+1)%,"")</f>
        <v/>
      </c>
      <c r="L387" s="11" t="str">
        <f>IF(AND(COUNT(D387:E387)&gt;0,COUNTA(F387:G387)&gt;1,O387="Completed"),(G387-AG387)/(AG387-#REF!+1)%,"")</f>
        <v/>
      </c>
      <c r="M387" s="11" t="str">
        <f t="shared" si="45"/>
        <v/>
      </c>
      <c r="N387" s="11" t="str">
        <f t="shared" si="46"/>
        <v/>
      </c>
      <c r="O387" s="12"/>
      <c r="P387" s="12"/>
      <c r="R387" s="10" t="str">
        <f>IF(H387&lt;&gt;"",SUMIF(H$3:H387,"&lt;&gt;" &amp; "",H$3:H387),"")</f>
        <v/>
      </c>
      <c r="S387" s="10" t="str">
        <f t="array" ref="S387">IF(O387="Completed",SUMIF(W$3:W387,"&lt;&gt;" &amp; "",W$3:W387),"")</f>
        <v/>
      </c>
      <c r="T387" s="10" t="str">
        <f t="array" ref="T387">IF(AND(J387&lt;&gt;"",O387="Completed"),SUM(IF(O$3:O387="Completed",J$3:J387,0)),"")</f>
        <v/>
      </c>
      <c r="U387" s="10" t="str">
        <f t="shared" ref="U387:U450" si="51">IF(AND(A387&lt;&gt;"",P387="Yes"),ROW(),"")</f>
        <v/>
      </c>
      <c r="V387" s="10">
        <f>ROW()</f>
        <v>387</v>
      </c>
      <c r="W387" s="10" t="str">
        <f t="shared" si="47"/>
        <v/>
      </c>
      <c r="Z387" s="10" t="str">
        <f>IF(A387&lt;&gt;"",'Metrics planning and tracking'!$K$4,"")</f>
        <v/>
      </c>
      <c r="AA387" s="10" t="str">
        <f>IF(A387&lt;&gt;"",'Metrics planning and tracking'!$K$5,"")</f>
        <v/>
      </c>
      <c r="AB387" s="10" t="str">
        <f>IF(A387&lt;&gt;"",'Metrics planning and tracking'!$K$2,"")</f>
        <v/>
      </c>
      <c r="AC387" s="10" t="str">
        <f>IF(A387&lt;&gt;"",'Metrics planning and tracking'!$K$3,"")</f>
        <v/>
      </c>
      <c r="AD387" s="10" t="str">
        <f>IF(A387&lt;&gt;"",IF(AND(#REF!&lt;&gt;"",#REF!&lt;&gt;"",#REF!&lt;&gt;0),#REF!/#REF!*100,"NA"),"")</f>
        <v/>
      </c>
      <c r="AE387" s="10" t="str">
        <f>IF(A387&lt;&gt;"",IF(AND(#REF!&lt;&gt;"",#REF!&lt;&gt;"",#REF!&lt;&gt;0),#REF!/#REF!*100,"NA"),"")</f>
        <v/>
      </c>
      <c r="AF387" s="57" t="str">
        <f t="shared" si="48"/>
        <v/>
      </c>
      <c r="AG387" s="57" t="str">
        <f t="shared" si="49"/>
        <v/>
      </c>
      <c r="AH387" s="58" t="str">
        <f t="shared" si="50"/>
        <v/>
      </c>
      <c r="AV387" s="22" t="str">
        <f>IF(A387&lt;&gt;"",A387 &amp; "-" &amp;#REF! &amp; ROW(),"")</f>
        <v/>
      </c>
    </row>
    <row r="388" spans="11:48" x14ac:dyDescent="0.2">
      <c r="K388" s="11" t="str">
        <f>IF(AND(COUNTA(B388:C388)&gt;1,COUNTA(F388:G388)&gt;1,O388="Completed"),(G388-C388)/(C388-#REF!+1)%,"")</f>
        <v/>
      </c>
      <c r="L388" s="11" t="str">
        <f>IF(AND(COUNT(D388:E388)&gt;0,COUNTA(F388:G388)&gt;1,O388="Completed"),(G388-AG388)/(AG388-#REF!+1)%,"")</f>
        <v/>
      </c>
      <c r="M388" s="11" t="str">
        <f t="shared" si="45"/>
        <v/>
      </c>
      <c r="N388" s="11" t="str">
        <f t="shared" si="46"/>
        <v/>
      </c>
      <c r="O388" s="12"/>
      <c r="P388" s="12"/>
      <c r="R388" s="10" t="str">
        <f>IF(H388&lt;&gt;"",SUMIF(H$3:H388,"&lt;&gt;" &amp; "",H$3:H388),"")</f>
        <v/>
      </c>
      <c r="S388" s="10" t="str">
        <f t="array" ref="S388">IF(O388="Completed",SUMIF(W$3:W388,"&lt;&gt;" &amp; "",W$3:W388),"")</f>
        <v/>
      </c>
      <c r="T388" s="10" t="str">
        <f t="array" ref="T388">IF(AND(J388&lt;&gt;"",O388="Completed"),SUM(IF(O$3:O388="Completed",J$3:J388,0)),"")</f>
        <v/>
      </c>
      <c r="U388" s="10" t="str">
        <f t="shared" si="51"/>
        <v/>
      </c>
      <c r="V388" s="10">
        <f>ROW()</f>
        <v>388</v>
      </c>
      <c r="W388" s="10" t="str">
        <f t="shared" si="47"/>
        <v/>
      </c>
      <c r="Z388" s="10" t="str">
        <f>IF(A388&lt;&gt;"",'Metrics planning and tracking'!$K$4,"")</f>
        <v/>
      </c>
      <c r="AA388" s="10" t="str">
        <f>IF(A388&lt;&gt;"",'Metrics planning and tracking'!$K$5,"")</f>
        <v/>
      </c>
      <c r="AB388" s="10" t="str">
        <f>IF(A388&lt;&gt;"",'Metrics planning and tracking'!$K$2,"")</f>
        <v/>
      </c>
      <c r="AC388" s="10" t="str">
        <f>IF(A388&lt;&gt;"",'Metrics planning and tracking'!$K$3,"")</f>
        <v/>
      </c>
      <c r="AD388" s="10" t="str">
        <f>IF(A388&lt;&gt;"",IF(AND(#REF!&lt;&gt;"",#REF!&lt;&gt;"",#REF!&lt;&gt;0),#REF!/#REF!*100,"NA"),"")</f>
        <v/>
      </c>
      <c r="AE388" s="10" t="str">
        <f>IF(A388&lt;&gt;"",IF(AND(#REF!&lt;&gt;"",#REF!&lt;&gt;"",#REF!&lt;&gt;0),#REF!/#REF!*100,"NA"),"")</f>
        <v/>
      </c>
      <c r="AF388" s="57" t="str">
        <f t="shared" si="48"/>
        <v/>
      </c>
      <c r="AG388" s="57" t="str">
        <f t="shared" si="49"/>
        <v/>
      </c>
      <c r="AH388" s="58" t="str">
        <f t="shared" si="50"/>
        <v/>
      </c>
      <c r="AV388" s="22" t="str">
        <f>IF(A388&lt;&gt;"",A388 &amp; "-" &amp;#REF! &amp; ROW(),"")</f>
        <v/>
      </c>
    </row>
    <row r="389" spans="11:48" x14ac:dyDescent="0.2">
      <c r="K389" s="11" t="str">
        <f>IF(AND(COUNTA(B389:C389)&gt;1,COUNTA(F389:G389)&gt;1,O389="Completed"),(G389-C389)/(C389-#REF!+1)%,"")</f>
        <v/>
      </c>
      <c r="L389" s="11" t="str">
        <f>IF(AND(COUNT(D389:E389)&gt;0,COUNTA(F389:G389)&gt;1,O389="Completed"),(G389-AG389)/(AG389-#REF!+1)%,"")</f>
        <v/>
      </c>
      <c r="M389" s="11" t="str">
        <f t="shared" si="45"/>
        <v/>
      </c>
      <c r="N389" s="11" t="str">
        <f t="shared" si="46"/>
        <v/>
      </c>
      <c r="O389" s="12"/>
      <c r="P389" s="12"/>
      <c r="R389" s="10" t="str">
        <f>IF(H389&lt;&gt;"",SUMIF(H$3:H389,"&lt;&gt;" &amp; "",H$3:H389),"")</f>
        <v/>
      </c>
      <c r="S389" s="10" t="str">
        <f t="array" ref="S389">IF(O389="Completed",SUMIF(W$3:W389,"&lt;&gt;" &amp; "",W$3:W389),"")</f>
        <v/>
      </c>
      <c r="T389" s="10" t="str">
        <f t="array" ref="T389">IF(AND(J389&lt;&gt;"",O389="Completed"),SUM(IF(O$3:O389="Completed",J$3:J389,0)),"")</f>
        <v/>
      </c>
      <c r="U389" s="10" t="str">
        <f t="shared" si="51"/>
        <v/>
      </c>
      <c r="V389" s="10">
        <f>ROW()</f>
        <v>389</v>
      </c>
      <c r="W389" s="10" t="str">
        <f t="shared" si="47"/>
        <v/>
      </c>
      <c r="Z389" s="10" t="str">
        <f>IF(A389&lt;&gt;"",'Metrics planning and tracking'!$K$4,"")</f>
        <v/>
      </c>
      <c r="AA389" s="10" t="str">
        <f>IF(A389&lt;&gt;"",'Metrics planning and tracking'!$K$5,"")</f>
        <v/>
      </c>
      <c r="AB389" s="10" t="str">
        <f>IF(A389&lt;&gt;"",'Metrics planning and tracking'!$K$2,"")</f>
        <v/>
      </c>
      <c r="AC389" s="10" t="str">
        <f>IF(A389&lt;&gt;"",'Metrics planning and tracking'!$K$3,"")</f>
        <v/>
      </c>
      <c r="AD389" s="10" t="str">
        <f>IF(A389&lt;&gt;"",IF(AND(#REF!&lt;&gt;"",#REF!&lt;&gt;"",#REF!&lt;&gt;0),#REF!/#REF!*100,"NA"),"")</f>
        <v/>
      </c>
      <c r="AE389" s="10" t="str">
        <f>IF(A389&lt;&gt;"",IF(AND(#REF!&lt;&gt;"",#REF!&lt;&gt;"",#REF!&lt;&gt;0),#REF!/#REF!*100,"NA"),"")</f>
        <v/>
      </c>
      <c r="AF389" s="57" t="str">
        <f t="shared" si="48"/>
        <v/>
      </c>
      <c r="AG389" s="57" t="str">
        <f t="shared" si="49"/>
        <v/>
      </c>
      <c r="AH389" s="58" t="str">
        <f t="shared" si="50"/>
        <v/>
      </c>
      <c r="AV389" s="22" t="str">
        <f>IF(A389&lt;&gt;"",A389 &amp; "-" &amp;#REF! &amp; ROW(),"")</f>
        <v/>
      </c>
    </row>
    <row r="390" spans="11:48" x14ac:dyDescent="0.2">
      <c r="K390" s="11" t="str">
        <f>IF(AND(COUNTA(B390:C390)&gt;1,COUNTA(F390:G390)&gt;1,O390="Completed"),(G390-C390)/(C390-#REF!+1)%,"")</f>
        <v/>
      </c>
      <c r="L390" s="11" t="str">
        <f>IF(AND(COUNT(D390:E390)&gt;0,COUNTA(F390:G390)&gt;1,O390="Completed"),(G390-AG390)/(AG390-#REF!+1)%,"")</f>
        <v/>
      </c>
      <c r="M390" s="11" t="str">
        <f t="shared" si="45"/>
        <v/>
      </c>
      <c r="N390" s="11" t="str">
        <f t="shared" si="46"/>
        <v/>
      </c>
      <c r="O390" s="12"/>
      <c r="P390" s="12"/>
      <c r="R390" s="10" t="str">
        <f>IF(H390&lt;&gt;"",SUMIF(H$3:H390,"&lt;&gt;" &amp; "",H$3:H390),"")</f>
        <v/>
      </c>
      <c r="S390" s="10" t="str">
        <f t="array" ref="S390">IF(O390="Completed",SUMIF(W$3:W390,"&lt;&gt;" &amp; "",W$3:W390),"")</f>
        <v/>
      </c>
      <c r="T390" s="10" t="str">
        <f t="array" ref="T390">IF(AND(J390&lt;&gt;"",O390="Completed"),SUM(IF(O$3:O390="Completed",J$3:J390,0)),"")</f>
        <v/>
      </c>
      <c r="U390" s="10" t="str">
        <f t="shared" si="51"/>
        <v/>
      </c>
      <c r="V390" s="10">
        <f>ROW()</f>
        <v>390</v>
      </c>
      <c r="W390" s="10" t="str">
        <f t="shared" si="47"/>
        <v/>
      </c>
      <c r="Z390" s="10" t="str">
        <f>IF(A390&lt;&gt;"",'Metrics planning and tracking'!$K$4,"")</f>
        <v/>
      </c>
      <c r="AA390" s="10" t="str">
        <f>IF(A390&lt;&gt;"",'Metrics planning and tracking'!$K$5,"")</f>
        <v/>
      </c>
      <c r="AB390" s="10" t="str">
        <f>IF(A390&lt;&gt;"",'Metrics planning and tracking'!$K$2,"")</f>
        <v/>
      </c>
      <c r="AC390" s="10" t="str">
        <f>IF(A390&lt;&gt;"",'Metrics planning and tracking'!$K$3,"")</f>
        <v/>
      </c>
      <c r="AD390" s="10" t="str">
        <f>IF(A390&lt;&gt;"",IF(AND(#REF!&lt;&gt;"",#REF!&lt;&gt;"",#REF!&lt;&gt;0),#REF!/#REF!*100,"NA"),"")</f>
        <v/>
      </c>
      <c r="AE390" s="10" t="str">
        <f>IF(A390&lt;&gt;"",IF(AND(#REF!&lt;&gt;"",#REF!&lt;&gt;"",#REF!&lt;&gt;0),#REF!/#REF!*100,"NA"),"")</f>
        <v/>
      </c>
      <c r="AF390" s="57" t="str">
        <f t="shared" si="48"/>
        <v/>
      </c>
      <c r="AG390" s="57" t="str">
        <f t="shared" si="49"/>
        <v/>
      </c>
      <c r="AH390" s="58" t="str">
        <f t="shared" si="50"/>
        <v/>
      </c>
      <c r="AV390" s="22" t="str">
        <f>IF(A390&lt;&gt;"",A390 &amp; "-" &amp;#REF! &amp; ROW(),"")</f>
        <v/>
      </c>
    </row>
    <row r="391" spans="11:48" x14ac:dyDescent="0.2">
      <c r="K391" s="11" t="str">
        <f>IF(AND(COUNTA(B391:C391)&gt;1,COUNTA(F391:G391)&gt;1,O391="Completed"),(G391-C391)/(C391-#REF!+1)%,"")</f>
        <v/>
      </c>
      <c r="L391" s="11" t="str">
        <f>IF(AND(COUNT(D391:E391)&gt;0,COUNTA(F391:G391)&gt;1,O391="Completed"),(G391-AG391)/(AG391-#REF!+1)%,"")</f>
        <v/>
      </c>
      <c r="M391" s="11" t="str">
        <f t="shared" si="45"/>
        <v/>
      </c>
      <c r="N391" s="11" t="str">
        <f t="shared" si="46"/>
        <v/>
      </c>
      <c r="O391" s="12"/>
      <c r="P391" s="12"/>
      <c r="R391" s="10" t="str">
        <f>IF(H391&lt;&gt;"",SUMIF(H$3:H391,"&lt;&gt;" &amp; "",H$3:H391),"")</f>
        <v/>
      </c>
      <c r="S391" s="10" t="str">
        <f t="array" ref="S391">IF(O391="Completed",SUMIF(W$3:W391,"&lt;&gt;" &amp; "",W$3:W391),"")</f>
        <v/>
      </c>
      <c r="T391" s="10" t="str">
        <f t="array" ref="T391">IF(AND(J391&lt;&gt;"",O391="Completed"),SUM(IF(O$3:O391="Completed",J$3:J391,0)),"")</f>
        <v/>
      </c>
      <c r="U391" s="10" t="str">
        <f t="shared" si="51"/>
        <v/>
      </c>
      <c r="V391" s="10">
        <f>ROW()</f>
        <v>391</v>
      </c>
      <c r="W391" s="10" t="str">
        <f t="shared" si="47"/>
        <v/>
      </c>
      <c r="Z391" s="10" t="str">
        <f>IF(A391&lt;&gt;"",'Metrics planning and tracking'!$K$4,"")</f>
        <v/>
      </c>
      <c r="AA391" s="10" t="str">
        <f>IF(A391&lt;&gt;"",'Metrics planning and tracking'!$K$5,"")</f>
        <v/>
      </c>
      <c r="AB391" s="10" t="str">
        <f>IF(A391&lt;&gt;"",'Metrics planning and tracking'!$K$2,"")</f>
        <v/>
      </c>
      <c r="AC391" s="10" t="str">
        <f>IF(A391&lt;&gt;"",'Metrics planning and tracking'!$K$3,"")</f>
        <v/>
      </c>
      <c r="AD391" s="10" t="str">
        <f>IF(A391&lt;&gt;"",IF(AND(#REF!&lt;&gt;"",#REF!&lt;&gt;"",#REF!&lt;&gt;0),#REF!/#REF!*100,"NA"),"")</f>
        <v/>
      </c>
      <c r="AE391" s="10" t="str">
        <f>IF(A391&lt;&gt;"",IF(AND(#REF!&lt;&gt;"",#REF!&lt;&gt;"",#REF!&lt;&gt;0),#REF!/#REF!*100,"NA"),"")</f>
        <v/>
      </c>
      <c r="AF391" s="57" t="str">
        <f t="shared" si="48"/>
        <v/>
      </c>
      <c r="AG391" s="57" t="str">
        <f t="shared" si="49"/>
        <v/>
      </c>
      <c r="AH391" s="58" t="str">
        <f t="shared" si="50"/>
        <v/>
      </c>
      <c r="AV391" s="22" t="str">
        <f>IF(A391&lt;&gt;"",A391 &amp; "-" &amp;#REF! &amp; ROW(),"")</f>
        <v/>
      </c>
    </row>
    <row r="392" spans="11:48" x14ac:dyDescent="0.2">
      <c r="K392" s="11" t="str">
        <f>IF(AND(COUNTA(B392:C392)&gt;1,COUNTA(F392:G392)&gt;1,O392="Completed"),(G392-C392)/(C392-#REF!+1)%,"")</f>
        <v/>
      </c>
      <c r="L392" s="11" t="str">
        <f>IF(AND(COUNT(D392:E392)&gt;0,COUNTA(F392:G392)&gt;1,O392="Completed"),(G392-AG392)/(AG392-#REF!+1)%,"")</f>
        <v/>
      </c>
      <c r="M392" s="11" t="str">
        <f t="shared" si="45"/>
        <v/>
      </c>
      <c r="N392" s="11" t="str">
        <f t="shared" si="46"/>
        <v/>
      </c>
      <c r="O392" s="12"/>
      <c r="P392" s="12"/>
      <c r="R392" s="10" t="str">
        <f>IF(H392&lt;&gt;"",SUMIF(H$3:H392,"&lt;&gt;" &amp; "",H$3:H392),"")</f>
        <v/>
      </c>
      <c r="S392" s="10" t="str">
        <f t="array" ref="S392">IF(O392="Completed",SUMIF(W$3:W392,"&lt;&gt;" &amp; "",W$3:W392),"")</f>
        <v/>
      </c>
      <c r="T392" s="10" t="str">
        <f t="array" ref="T392">IF(AND(J392&lt;&gt;"",O392="Completed"),SUM(IF(O$3:O392="Completed",J$3:J392,0)),"")</f>
        <v/>
      </c>
      <c r="U392" s="10" t="str">
        <f t="shared" si="51"/>
        <v/>
      </c>
      <c r="V392" s="10">
        <f>ROW()</f>
        <v>392</v>
      </c>
      <c r="W392" s="10" t="str">
        <f t="shared" si="47"/>
        <v/>
      </c>
      <c r="Z392" s="10" t="str">
        <f>IF(A392&lt;&gt;"",'Metrics planning and tracking'!$K$4,"")</f>
        <v/>
      </c>
      <c r="AA392" s="10" t="str">
        <f>IF(A392&lt;&gt;"",'Metrics planning and tracking'!$K$5,"")</f>
        <v/>
      </c>
      <c r="AB392" s="10" t="str">
        <f>IF(A392&lt;&gt;"",'Metrics planning and tracking'!$K$2,"")</f>
        <v/>
      </c>
      <c r="AC392" s="10" t="str">
        <f>IF(A392&lt;&gt;"",'Metrics planning and tracking'!$K$3,"")</f>
        <v/>
      </c>
      <c r="AD392" s="10" t="str">
        <f>IF(A392&lt;&gt;"",IF(AND(#REF!&lt;&gt;"",#REF!&lt;&gt;"",#REF!&lt;&gt;0),#REF!/#REF!*100,"NA"),"")</f>
        <v/>
      </c>
      <c r="AE392" s="10" t="str">
        <f>IF(A392&lt;&gt;"",IF(AND(#REF!&lt;&gt;"",#REF!&lt;&gt;"",#REF!&lt;&gt;0),#REF!/#REF!*100,"NA"),"")</f>
        <v/>
      </c>
      <c r="AF392" s="57" t="str">
        <f t="shared" si="48"/>
        <v/>
      </c>
      <c r="AG392" s="57" t="str">
        <f t="shared" si="49"/>
        <v/>
      </c>
      <c r="AH392" s="58" t="str">
        <f t="shared" si="50"/>
        <v/>
      </c>
      <c r="AV392" s="22" t="str">
        <f>IF(A392&lt;&gt;"",A392 &amp; "-" &amp;#REF! &amp; ROW(),"")</f>
        <v/>
      </c>
    </row>
    <row r="393" spans="11:48" x14ac:dyDescent="0.2">
      <c r="K393" s="11" t="str">
        <f>IF(AND(COUNTA(B393:C393)&gt;1,COUNTA(F393:G393)&gt;1,O393="Completed"),(G393-C393)/(C393-#REF!+1)%,"")</f>
        <v/>
      </c>
      <c r="L393" s="11" t="str">
        <f>IF(AND(COUNT(D393:E393)&gt;0,COUNTA(F393:G393)&gt;1,O393="Completed"),(G393-AG393)/(AG393-#REF!+1)%,"")</f>
        <v/>
      </c>
      <c r="M393" s="11" t="str">
        <f t="shared" si="45"/>
        <v/>
      </c>
      <c r="N393" s="11" t="str">
        <f t="shared" si="46"/>
        <v/>
      </c>
      <c r="O393" s="12"/>
      <c r="P393" s="12"/>
      <c r="R393" s="10" t="str">
        <f>IF(H393&lt;&gt;"",SUMIF(H$3:H393,"&lt;&gt;" &amp; "",H$3:H393),"")</f>
        <v/>
      </c>
      <c r="S393" s="10" t="str">
        <f t="array" ref="S393">IF(O393="Completed",SUMIF(W$3:W393,"&lt;&gt;" &amp; "",W$3:W393),"")</f>
        <v/>
      </c>
      <c r="T393" s="10" t="str">
        <f t="array" ref="T393">IF(AND(J393&lt;&gt;"",O393="Completed"),SUM(IF(O$3:O393="Completed",J$3:J393,0)),"")</f>
        <v/>
      </c>
      <c r="U393" s="10" t="str">
        <f t="shared" si="51"/>
        <v/>
      </c>
      <c r="V393" s="10">
        <f>ROW()</f>
        <v>393</v>
      </c>
      <c r="W393" s="10" t="str">
        <f t="shared" si="47"/>
        <v/>
      </c>
      <c r="Z393" s="10" t="str">
        <f>IF(A393&lt;&gt;"",'Metrics planning and tracking'!$K$4,"")</f>
        <v/>
      </c>
      <c r="AA393" s="10" t="str">
        <f>IF(A393&lt;&gt;"",'Metrics planning and tracking'!$K$5,"")</f>
        <v/>
      </c>
      <c r="AB393" s="10" t="str">
        <f>IF(A393&lt;&gt;"",'Metrics planning and tracking'!$K$2,"")</f>
        <v/>
      </c>
      <c r="AC393" s="10" t="str">
        <f>IF(A393&lt;&gt;"",'Metrics planning and tracking'!$K$3,"")</f>
        <v/>
      </c>
      <c r="AD393" s="10" t="str">
        <f>IF(A393&lt;&gt;"",IF(AND(#REF!&lt;&gt;"",#REF!&lt;&gt;"",#REF!&lt;&gt;0),#REF!/#REF!*100,"NA"),"")</f>
        <v/>
      </c>
      <c r="AE393" s="10" t="str">
        <f>IF(A393&lt;&gt;"",IF(AND(#REF!&lt;&gt;"",#REF!&lt;&gt;"",#REF!&lt;&gt;0),#REF!/#REF!*100,"NA"),"")</f>
        <v/>
      </c>
      <c r="AF393" s="57" t="str">
        <f t="shared" si="48"/>
        <v/>
      </c>
      <c r="AG393" s="57" t="str">
        <f t="shared" si="49"/>
        <v/>
      </c>
      <c r="AH393" s="58" t="str">
        <f t="shared" si="50"/>
        <v/>
      </c>
      <c r="AV393" s="22" t="str">
        <f>IF(A393&lt;&gt;"",A393 &amp; "-" &amp;#REF! &amp; ROW(),"")</f>
        <v/>
      </c>
    </row>
    <row r="394" spans="11:48" x14ac:dyDescent="0.2">
      <c r="K394" s="11" t="str">
        <f>IF(AND(COUNTA(B394:C394)&gt;1,COUNTA(F394:G394)&gt;1,O394="Completed"),(G394-C394)/(C394-#REF!+1)%,"")</f>
        <v/>
      </c>
      <c r="L394" s="11" t="str">
        <f>IF(AND(COUNT(D394:E394)&gt;0,COUNTA(F394:G394)&gt;1,O394="Completed"),(G394-AG394)/(AG394-#REF!+1)%,"")</f>
        <v/>
      </c>
      <c r="M394" s="11" t="str">
        <f t="shared" si="45"/>
        <v/>
      </c>
      <c r="N394" s="11" t="str">
        <f t="shared" si="46"/>
        <v/>
      </c>
      <c r="O394" s="12"/>
      <c r="P394" s="12"/>
      <c r="R394" s="10" t="str">
        <f>IF(H394&lt;&gt;"",SUMIF(H$3:H394,"&lt;&gt;" &amp; "",H$3:H394),"")</f>
        <v/>
      </c>
      <c r="S394" s="10" t="str">
        <f t="array" ref="S394">IF(O394="Completed",SUMIF(W$3:W394,"&lt;&gt;" &amp; "",W$3:W394),"")</f>
        <v/>
      </c>
      <c r="T394" s="10" t="str">
        <f t="array" ref="T394">IF(AND(J394&lt;&gt;"",O394="Completed"),SUM(IF(O$3:O394="Completed",J$3:J394,0)),"")</f>
        <v/>
      </c>
      <c r="U394" s="10" t="str">
        <f t="shared" si="51"/>
        <v/>
      </c>
      <c r="V394" s="10">
        <f>ROW()</f>
        <v>394</v>
      </c>
      <c r="W394" s="10" t="str">
        <f t="shared" si="47"/>
        <v/>
      </c>
      <c r="Z394" s="10" t="str">
        <f>IF(A394&lt;&gt;"",'Metrics planning and tracking'!$K$4,"")</f>
        <v/>
      </c>
      <c r="AA394" s="10" t="str">
        <f>IF(A394&lt;&gt;"",'Metrics planning and tracking'!$K$5,"")</f>
        <v/>
      </c>
      <c r="AB394" s="10" t="str">
        <f>IF(A394&lt;&gt;"",'Metrics planning and tracking'!$K$2,"")</f>
        <v/>
      </c>
      <c r="AC394" s="10" t="str">
        <f>IF(A394&lt;&gt;"",'Metrics planning and tracking'!$K$3,"")</f>
        <v/>
      </c>
      <c r="AD394" s="10" t="str">
        <f>IF(A394&lt;&gt;"",IF(AND(#REF!&lt;&gt;"",#REF!&lt;&gt;"",#REF!&lt;&gt;0),#REF!/#REF!*100,"NA"),"")</f>
        <v/>
      </c>
      <c r="AE394" s="10" t="str">
        <f>IF(A394&lt;&gt;"",IF(AND(#REF!&lt;&gt;"",#REF!&lt;&gt;"",#REF!&lt;&gt;0),#REF!/#REF!*100,"NA"),"")</f>
        <v/>
      </c>
      <c r="AF394" s="57" t="str">
        <f t="shared" si="48"/>
        <v/>
      </c>
      <c r="AG394" s="57" t="str">
        <f t="shared" si="49"/>
        <v/>
      </c>
      <c r="AH394" s="58" t="str">
        <f t="shared" si="50"/>
        <v/>
      </c>
      <c r="AV394" s="22" t="str">
        <f>IF(A394&lt;&gt;"",A394 &amp; "-" &amp;#REF! &amp; ROW(),"")</f>
        <v/>
      </c>
    </row>
    <row r="395" spans="11:48" x14ac:dyDescent="0.2">
      <c r="K395" s="11" t="str">
        <f>IF(AND(COUNTA(B395:C395)&gt;1,COUNTA(F395:G395)&gt;1,O395="Completed"),(G395-C395)/(C395-#REF!+1)%,"")</f>
        <v/>
      </c>
      <c r="L395" s="11" t="str">
        <f>IF(AND(COUNT(D395:E395)&gt;0,COUNTA(F395:G395)&gt;1,O395="Completed"),(G395-AG395)/(AG395-#REF!+1)%,"")</f>
        <v/>
      </c>
      <c r="M395" s="11" t="str">
        <f t="shared" si="45"/>
        <v/>
      </c>
      <c r="N395" s="11" t="str">
        <f t="shared" si="46"/>
        <v/>
      </c>
      <c r="O395" s="12"/>
      <c r="P395" s="12"/>
      <c r="R395" s="10" t="str">
        <f>IF(H395&lt;&gt;"",SUMIF(H$3:H395,"&lt;&gt;" &amp; "",H$3:H395),"")</f>
        <v/>
      </c>
      <c r="S395" s="10" t="str">
        <f t="array" ref="S395">IF(O395="Completed",SUMIF(W$3:W395,"&lt;&gt;" &amp; "",W$3:W395),"")</f>
        <v/>
      </c>
      <c r="T395" s="10" t="str">
        <f t="array" ref="T395">IF(AND(J395&lt;&gt;"",O395="Completed"),SUM(IF(O$3:O395="Completed",J$3:J395,0)),"")</f>
        <v/>
      </c>
      <c r="U395" s="10" t="str">
        <f t="shared" si="51"/>
        <v/>
      </c>
      <c r="V395" s="10">
        <f>ROW()</f>
        <v>395</v>
      </c>
      <c r="W395" s="10" t="str">
        <f t="shared" si="47"/>
        <v/>
      </c>
      <c r="Z395" s="10" t="str">
        <f>IF(A395&lt;&gt;"",'Metrics planning and tracking'!$K$4,"")</f>
        <v/>
      </c>
      <c r="AA395" s="10" t="str">
        <f>IF(A395&lt;&gt;"",'Metrics planning and tracking'!$K$5,"")</f>
        <v/>
      </c>
      <c r="AB395" s="10" t="str">
        <f>IF(A395&lt;&gt;"",'Metrics planning and tracking'!$K$2,"")</f>
        <v/>
      </c>
      <c r="AC395" s="10" t="str">
        <f>IF(A395&lt;&gt;"",'Metrics planning and tracking'!$K$3,"")</f>
        <v/>
      </c>
      <c r="AD395" s="10" t="str">
        <f>IF(A395&lt;&gt;"",IF(AND(#REF!&lt;&gt;"",#REF!&lt;&gt;"",#REF!&lt;&gt;0),#REF!/#REF!*100,"NA"),"")</f>
        <v/>
      </c>
      <c r="AE395" s="10" t="str">
        <f>IF(A395&lt;&gt;"",IF(AND(#REF!&lt;&gt;"",#REF!&lt;&gt;"",#REF!&lt;&gt;0),#REF!/#REF!*100,"NA"),"")</f>
        <v/>
      </c>
      <c r="AF395" s="57" t="str">
        <f t="shared" si="48"/>
        <v/>
      </c>
      <c r="AG395" s="57" t="str">
        <f t="shared" si="49"/>
        <v/>
      </c>
      <c r="AH395" s="58" t="str">
        <f t="shared" si="50"/>
        <v/>
      </c>
      <c r="AV395" s="22" t="str">
        <f>IF(A395&lt;&gt;"",A395 &amp; "-" &amp;#REF! &amp; ROW(),"")</f>
        <v/>
      </c>
    </row>
    <row r="396" spans="11:48" x14ac:dyDescent="0.2">
      <c r="K396" s="11" t="str">
        <f>IF(AND(COUNTA(B396:C396)&gt;1,COUNTA(F396:G396)&gt;1,O396="Completed"),(G396-C396)/(C396-#REF!+1)%,"")</f>
        <v/>
      </c>
      <c r="L396" s="11" t="str">
        <f>IF(AND(COUNT(D396:E396)&gt;0,COUNTA(F396:G396)&gt;1,O396="Completed"),(G396-AG396)/(AG396-#REF!+1)%,"")</f>
        <v/>
      </c>
      <c r="M396" s="11" t="str">
        <f t="shared" si="45"/>
        <v/>
      </c>
      <c r="N396" s="11" t="str">
        <f t="shared" si="46"/>
        <v/>
      </c>
      <c r="O396" s="12"/>
      <c r="P396" s="12"/>
      <c r="R396" s="10" t="str">
        <f>IF(H396&lt;&gt;"",SUMIF(H$3:H396,"&lt;&gt;" &amp; "",H$3:H396),"")</f>
        <v/>
      </c>
      <c r="S396" s="10" t="str">
        <f t="array" ref="S396">IF(O396="Completed",SUMIF(W$3:W396,"&lt;&gt;" &amp; "",W$3:W396),"")</f>
        <v/>
      </c>
      <c r="T396" s="10" t="str">
        <f t="array" ref="T396">IF(AND(J396&lt;&gt;"",O396="Completed"),SUM(IF(O$3:O396="Completed",J$3:J396,0)),"")</f>
        <v/>
      </c>
      <c r="U396" s="10" t="str">
        <f t="shared" si="51"/>
        <v/>
      </c>
      <c r="V396" s="10">
        <f>ROW()</f>
        <v>396</v>
      </c>
      <c r="W396" s="10" t="str">
        <f t="shared" si="47"/>
        <v/>
      </c>
      <c r="Z396" s="10" t="str">
        <f>IF(A396&lt;&gt;"",'Metrics planning and tracking'!$K$4,"")</f>
        <v/>
      </c>
      <c r="AA396" s="10" t="str">
        <f>IF(A396&lt;&gt;"",'Metrics planning and tracking'!$K$5,"")</f>
        <v/>
      </c>
      <c r="AB396" s="10" t="str">
        <f>IF(A396&lt;&gt;"",'Metrics planning and tracking'!$K$2,"")</f>
        <v/>
      </c>
      <c r="AC396" s="10" t="str">
        <f>IF(A396&lt;&gt;"",'Metrics planning and tracking'!$K$3,"")</f>
        <v/>
      </c>
      <c r="AD396" s="10" t="str">
        <f>IF(A396&lt;&gt;"",IF(AND(#REF!&lt;&gt;"",#REF!&lt;&gt;"",#REF!&lt;&gt;0),#REF!/#REF!*100,"NA"),"")</f>
        <v/>
      </c>
      <c r="AE396" s="10" t="str">
        <f>IF(A396&lt;&gt;"",IF(AND(#REF!&lt;&gt;"",#REF!&lt;&gt;"",#REF!&lt;&gt;0),#REF!/#REF!*100,"NA"),"")</f>
        <v/>
      </c>
      <c r="AF396" s="57" t="str">
        <f t="shared" si="48"/>
        <v/>
      </c>
      <c r="AG396" s="57" t="str">
        <f t="shared" si="49"/>
        <v/>
      </c>
      <c r="AH396" s="58" t="str">
        <f t="shared" si="50"/>
        <v/>
      </c>
      <c r="AV396" s="22" t="str">
        <f>IF(A396&lt;&gt;"",A396 &amp; "-" &amp;#REF! &amp; ROW(),"")</f>
        <v/>
      </c>
    </row>
    <row r="397" spans="11:48" x14ac:dyDescent="0.2">
      <c r="K397" s="11" t="str">
        <f>IF(AND(COUNTA(B397:C397)&gt;1,COUNTA(F397:G397)&gt;1,O397="Completed"),(G397-C397)/(C397-#REF!+1)%,"")</f>
        <v/>
      </c>
      <c r="L397" s="11" t="str">
        <f>IF(AND(COUNT(D397:E397)&gt;0,COUNTA(F397:G397)&gt;1,O397="Completed"),(G397-AG397)/(AG397-#REF!+1)%,"")</f>
        <v/>
      </c>
      <c r="M397" s="11" t="str">
        <f t="shared" si="45"/>
        <v/>
      </c>
      <c r="N397" s="11" t="str">
        <f t="shared" si="46"/>
        <v/>
      </c>
      <c r="O397" s="12"/>
      <c r="P397" s="12"/>
      <c r="R397" s="10" t="str">
        <f>IF(H397&lt;&gt;"",SUMIF(H$3:H397,"&lt;&gt;" &amp; "",H$3:H397),"")</f>
        <v/>
      </c>
      <c r="S397" s="10" t="str">
        <f t="array" ref="S397">IF(O397="Completed",SUMIF(W$3:W397,"&lt;&gt;" &amp; "",W$3:W397),"")</f>
        <v/>
      </c>
      <c r="T397" s="10" t="str">
        <f t="array" ref="T397">IF(AND(J397&lt;&gt;"",O397="Completed"),SUM(IF(O$3:O397="Completed",J$3:J397,0)),"")</f>
        <v/>
      </c>
      <c r="U397" s="10" t="str">
        <f t="shared" si="51"/>
        <v/>
      </c>
      <c r="V397" s="10">
        <f>ROW()</f>
        <v>397</v>
      </c>
      <c r="W397" s="10" t="str">
        <f t="shared" si="47"/>
        <v/>
      </c>
      <c r="Z397" s="10" t="str">
        <f>IF(A397&lt;&gt;"",'Metrics planning and tracking'!$K$4,"")</f>
        <v/>
      </c>
      <c r="AA397" s="10" t="str">
        <f>IF(A397&lt;&gt;"",'Metrics planning and tracking'!$K$5,"")</f>
        <v/>
      </c>
      <c r="AB397" s="10" t="str">
        <f>IF(A397&lt;&gt;"",'Metrics planning and tracking'!$K$2,"")</f>
        <v/>
      </c>
      <c r="AC397" s="10" t="str">
        <f>IF(A397&lt;&gt;"",'Metrics planning and tracking'!$K$3,"")</f>
        <v/>
      </c>
      <c r="AD397" s="10" t="str">
        <f>IF(A397&lt;&gt;"",IF(AND(#REF!&lt;&gt;"",#REF!&lt;&gt;"",#REF!&lt;&gt;0),#REF!/#REF!*100,"NA"),"")</f>
        <v/>
      </c>
      <c r="AE397" s="10" t="str">
        <f>IF(A397&lt;&gt;"",IF(AND(#REF!&lt;&gt;"",#REF!&lt;&gt;"",#REF!&lt;&gt;0),#REF!/#REF!*100,"NA"),"")</f>
        <v/>
      </c>
      <c r="AF397" s="57" t="str">
        <f t="shared" si="48"/>
        <v/>
      </c>
      <c r="AG397" s="57" t="str">
        <f t="shared" si="49"/>
        <v/>
      </c>
      <c r="AH397" s="58" t="str">
        <f t="shared" si="50"/>
        <v/>
      </c>
      <c r="AV397" s="22" t="str">
        <f>IF(A397&lt;&gt;"",A397 &amp; "-" &amp;#REF! &amp; ROW(),"")</f>
        <v/>
      </c>
    </row>
    <row r="398" spans="11:48" x14ac:dyDescent="0.2">
      <c r="K398" s="11" t="str">
        <f>IF(AND(COUNTA(B398:C398)&gt;1,COUNTA(F398:G398)&gt;1,O398="Completed"),(G398-C398)/(C398-#REF!+1)%,"")</f>
        <v/>
      </c>
      <c r="L398" s="11" t="str">
        <f>IF(AND(COUNT(D398:E398)&gt;0,COUNTA(F398:G398)&gt;1,O398="Completed"),(G398-AG398)/(AG398-#REF!+1)%,"")</f>
        <v/>
      </c>
      <c r="M398" s="11" t="str">
        <f t="shared" si="45"/>
        <v/>
      </c>
      <c r="N398" s="11" t="str">
        <f t="shared" si="46"/>
        <v/>
      </c>
      <c r="O398" s="12"/>
      <c r="P398" s="12"/>
      <c r="R398" s="10" t="str">
        <f>IF(H398&lt;&gt;"",SUMIF(H$3:H398,"&lt;&gt;" &amp; "",H$3:H398),"")</f>
        <v/>
      </c>
      <c r="S398" s="10" t="str">
        <f t="array" ref="S398">IF(O398="Completed",SUMIF(W$3:W398,"&lt;&gt;" &amp; "",W$3:W398),"")</f>
        <v/>
      </c>
      <c r="T398" s="10" t="str">
        <f t="array" ref="T398">IF(AND(J398&lt;&gt;"",O398="Completed"),SUM(IF(O$3:O398="Completed",J$3:J398,0)),"")</f>
        <v/>
      </c>
      <c r="U398" s="10" t="str">
        <f t="shared" si="51"/>
        <v/>
      </c>
      <c r="V398" s="10">
        <f>ROW()</f>
        <v>398</v>
      </c>
      <c r="W398" s="10" t="str">
        <f t="shared" si="47"/>
        <v/>
      </c>
      <c r="Z398" s="10" t="str">
        <f>IF(A398&lt;&gt;"",'Metrics planning and tracking'!$K$4,"")</f>
        <v/>
      </c>
      <c r="AA398" s="10" t="str">
        <f>IF(A398&lt;&gt;"",'Metrics planning and tracking'!$K$5,"")</f>
        <v/>
      </c>
      <c r="AB398" s="10" t="str">
        <f>IF(A398&lt;&gt;"",'Metrics planning and tracking'!$K$2,"")</f>
        <v/>
      </c>
      <c r="AC398" s="10" t="str">
        <f>IF(A398&lt;&gt;"",'Metrics planning and tracking'!$K$3,"")</f>
        <v/>
      </c>
      <c r="AD398" s="10" t="str">
        <f>IF(A398&lt;&gt;"",IF(AND(#REF!&lt;&gt;"",#REF!&lt;&gt;"",#REF!&lt;&gt;0),#REF!/#REF!*100,"NA"),"")</f>
        <v/>
      </c>
      <c r="AE398" s="10" t="str">
        <f>IF(A398&lt;&gt;"",IF(AND(#REF!&lt;&gt;"",#REF!&lt;&gt;"",#REF!&lt;&gt;0),#REF!/#REF!*100,"NA"),"")</f>
        <v/>
      </c>
      <c r="AF398" s="57" t="str">
        <f t="shared" si="48"/>
        <v/>
      </c>
      <c r="AG398" s="57" t="str">
        <f t="shared" si="49"/>
        <v/>
      </c>
      <c r="AH398" s="58" t="str">
        <f t="shared" si="50"/>
        <v/>
      </c>
      <c r="AV398" s="22" t="str">
        <f>IF(A398&lt;&gt;"",A398 &amp; "-" &amp;#REF! &amp; ROW(),"")</f>
        <v/>
      </c>
    </row>
    <row r="399" spans="11:48" x14ac:dyDescent="0.2">
      <c r="K399" s="11" t="str">
        <f>IF(AND(COUNTA(B399:C399)&gt;1,COUNTA(F399:G399)&gt;1,O399="Completed"),(G399-C399)/(C399-#REF!+1)%,"")</f>
        <v/>
      </c>
      <c r="L399" s="11" t="str">
        <f>IF(AND(COUNT(D399:E399)&gt;0,COUNTA(F399:G399)&gt;1,O399="Completed"),(G399-AG399)/(AG399-#REF!+1)%,"")</f>
        <v/>
      </c>
      <c r="M399" s="11" t="str">
        <f t="shared" si="45"/>
        <v/>
      </c>
      <c r="N399" s="11" t="str">
        <f t="shared" si="46"/>
        <v/>
      </c>
      <c r="O399" s="12"/>
      <c r="P399" s="12"/>
      <c r="R399" s="10" t="str">
        <f>IF(H399&lt;&gt;"",SUMIF(H$3:H399,"&lt;&gt;" &amp; "",H$3:H399),"")</f>
        <v/>
      </c>
      <c r="S399" s="10" t="str">
        <f t="array" ref="S399">IF(O399="Completed",SUMIF(W$3:W399,"&lt;&gt;" &amp; "",W$3:W399),"")</f>
        <v/>
      </c>
      <c r="T399" s="10" t="str">
        <f t="array" ref="T399">IF(AND(J399&lt;&gt;"",O399="Completed"),SUM(IF(O$3:O399="Completed",J$3:J399,0)),"")</f>
        <v/>
      </c>
      <c r="U399" s="10" t="str">
        <f t="shared" si="51"/>
        <v/>
      </c>
      <c r="V399" s="10">
        <f>ROW()</f>
        <v>399</v>
      </c>
      <c r="W399" s="10" t="str">
        <f t="shared" si="47"/>
        <v/>
      </c>
      <c r="Z399" s="10" t="str">
        <f>IF(A399&lt;&gt;"",'Metrics planning and tracking'!$K$4,"")</f>
        <v/>
      </c>
      <c r="AA399" s="10" t="str">
        <f>IF(A399&lt;&gt;"",'Metrics planning and tracking'!$K$5,"")</f>
        <v/>
      </c>
      <c r="AB399" s="10" t="str">
        <f>IF(A399&lt;&gt;"",'Metrics planning and tracking'!$K$2,"")</f>
        <v/>
      </c>
      <c r="AC399" s="10" t="str">
        <f>IF(A399&lt;&gt;"",'Metrics planning and tracking'!$K$3,"")</f>
        <v/>
      </c>
      <c r="AD399" s="10" t="str">
        <f>IF(A399&lt;&gt;"",IF(AND(#REF!&lt;&gt;"",#REF!&lt;&gt;"",#REF!&lt;&gt;0),#REF!/#REF!*100,"NA"),"")</f>
        <v/>
      </c>
      <c r="AE399" s="10" t="str">
        <f>IF(A399&lt;&gt;"",IF(AND(#REF!&lt;&gt;"",#REF!&lt;&gt;"",#REF!&lt;&gt;0),#REF!/#REF!*100,"NA"),"")</f>
        <v/>
      </c>
      <c r="AF399" s="57" t="str">
        <f t="shared" si="48"/>
        <v/>
      </c>
      <c r="AG399" s="57" t="str">
        <f t="shared" si="49"/>
        <v/>
      </c>
      <c r="AH399" s="58" t="str">
        <f t="shared" si="50"/>
        <v/>
      </c>
      <c r="AV399" s="22" t="str">
        <f>IF(A399&lt;&gt;"",A399 &amp; "-" &amp;#REF! &amp; ROW(),"")</f>
        <v/>
      </c>
    </row>
    <row r="400" spans="11:48" x14ac:dyDescent="0.2">
      <c r="K400" s="11" t="str">
        <f>IF(AND(COUNTA(B400:C400)&gt;1,COUNTA(F400:G400)&gt;1,O400="Completed"),(G400-C400)/(C400-#REF!+1)%,"")</f>
        <v/>
      </c>
      <c r="L400" s="11" t="str">
        <f>IF(AND(COUNT(D400:E400)&gt;0,COUNTA(F400:G400)&gt;1,O400="Completed"),(G400-AG400)/(AG400-#REF!+1)%,"")</f>
        <v/>
      </c>
      <c r="M400" s="11" t="str">
        <f t="shared" si="45"/>
        <v/>
      </c>
      <c r="N400" s="11" t="str">
        <f t="shared" si="46"/>
        <v/>
      </c>
      <c r="O400" s="12"/>
      <c r="P400" s="12"/>
      <c r="R400" s="10" t="str">
        <f>IF(H400&lt;&gt;"",SUMIF(H$3:H400,"&lt;&gt;" &amp; "",H$3:H400),"")</f>
        <v/>
      </c>
      <c r="S400" s="10" t="str">
        <f t="array" ref="S400">IF(O400="Completed",SUMIF(W$3:W400,"&lt;&gt;" &amp; "",W$3:W400),"")</f>
        <v/>
      </c>
      <c r="T400" s="10" t="str">
        <f t="array" ref="T400">IF(AND(J400&lt;&gt;"",O400="Completed"),SUM(IF(O$3:O400="Completed",J$3:J400,0)),"")</f>
        <v/>
      </c>
      <c r="U400" s="10" t="str">
        <f t="shared" si="51"/>
        <v/>
      </c>
      <c r="V400" s="10">
        <f>ROW()</f>
        <v>400</v>
      </c>
      <c r="W400" s="10" t="str">
        <f t="shared" si="47"/>
        <v/>
      </c>
      <c r="Z400" s="10" t="str">
        <f>IF(A400&lt;&gt;"",'Metrics planning and tracking'!$K$4,"")</f>
        <v/>
      </c>
      <c r="AA400" s="10" t="str">
        <f>IF(A400&lt;&gt;"",'Metrics planning and tracking'!$K$5,"")</f>
        <v/>
      </c>
      <c r="AB400" s="10" t="str">
        <f>IF(A400&lt;&gt;"",'Metrics planning and tracking'!$K$2,"")</f>
        <v/>
      </c>
      <c r="AC400" s="10" t="str">
        <f>IF(A400&lt;&gt;"",'Metrics planning and tracking'!$K$3,"")</f>
        <v/>
      </c>
      <c r="AD400" s="10" t="str">
        <f>IF(A400&lt;&gt;"",IF(AND(#REF!&lt;&gt;"",#REF!&lt;&gt;"",#REF!&lt;&gt;0),#REF!/#REF!*100,"NA"),"")</f>
        <v/>
      </c>
      <c r="AE400" s="10" t="str">
        <f>IF(A400&lt;&gt;"",IF(AND(#REF!&lt;&gt;"",#REF!&lt;&gt;"",#REF!&lt;&gt;0),#REF!/#REF!*100,"NA"),"")</f>
        <v/>
      </c>
      <c r="AF400" s="57" t="str">
        <f t="shared" si="48"/>
        <v/>
      </c>
      <c r="AG400" s="57" t="str">
        <f t="shared" si="49"/>
        <v/>
      </c>
      <c r="AH400" s="58" t="str">
        <f t="shared" si="50"/>
        <v/>
      </c>
      <c r="AV400" s="22" t="str">
        <f>IF(A400&lt;&gt;"",A400 &amp; "-" &amp;#REF! &amp; ROW(),"")</f>
        <v/>
      </c>
    </row>
    <row r="401" spans="11:48" x14ac:dyDescent="0.2">
      <c r="K401" s="11" t="str">
        <f>IF(AND(COUNTA(B401:C401)&gt;1,COUNTA(F401:G401)&gt;1,O401="Completed"),(G401-C401)/(C401-#REF!+1)%,"")</f>
        <v/>
      </c>
      <c r="L401" s="11" t="str">
        <f>IF(AND(COUNT(D401:E401)&gt;0,COUNTA(F401:G401)&gt;1,O401="Completed"),(G401-AG401)/(AG401-#REF!+1)%,"")</f>
        <v/>
      </c>
      <c r="M401" s="11" t="str">
        <f t="shared" si="45"/>
        <v/>
      </c>
      <c r="N401" s="11" t="str">
        <f t="shared" si="46"/>
        <v/>
      </c>
      <c r="O401" s="12"/>
      <c r="P401" s="12"/>
      <c r="R401" s="10" t="str">
        <f>IF(H401&lt;&gt;"",SUMIF(H$3:H401,"&lt;&gt;" &amp; "",H$3:H401),"")</f>
        <v/>
      </c>
      <c r="S401" s="10" t="str">
        <f t="array" ref="S401">IF(O401="Completed",SUMIF(W$3:W401,"&lt;&gt;" &amp; "",W$3:W401),"")</f>
        <v/>
      </c>
      <c r="T401" s="10" t="str">
        <f t="array" ref="T401">IF(AND(J401&lt;&gt;"",O401="Completed"),SUM(IF(O$3:O401="Completed",J$3:J401,0)),"")</f>
        <v/>
      </c>
      <c r="U401" s="10" t="str">
        <f t="shared" si="51"/>
        <v/>
      </c>
      <c r="V401" s="10">
        <f>ROW()</f>
        <v>401</v>
      </c>
      <c r="W401" s="10" t="str">
        <f t="shared" si="47"/>
        <v/>
      </c>
      <c r="Z401" s="10" t="str">
        <f>IF(A401&lt;&gt;"",'Metrics planning and tracking'!$K$4,"")</f>
        <v/>
      </c>
      <c r="AA401" s="10" t="str">
        <f>IF(A401&lt;&gt;"",'Metrics planning and tracking'!$K$5,"")</f>
        <v/>
      </c>
      <c r="AB401" s="10" t="str">
        <f>IF(A401&lt;&gt;"",'Metrics planning and tracking'!$K$2,"")</f>
        <v/>
      </c>
      <c r="AC401" s="10" t="str">
        <f>IF(A401&lt;&gt;"",'Metrics planning and tracking'!$K$3,"")</f>
        <v/>
      </c>
      <c r="AD401" s="10" t="str">
        <f>IF(A401&lt;&gt;"",IF(AND(#REF!&lt;&gt;"",#REF!&lt;&gt;"",#REF!&lt;&gt;0),#REF!/#REF!*100,"NA"),"")</f>
        <v/>
      </c>
      <c r="AE401" s="10" t="str">
        <f>IF(A401&lt;&gt;"",IF(AND(#REF!&lt;&gt;"",#REF!&lt;&gt;"",#REF!&lt;&gt;0),#REF!/#REF!*100,"NA"),"")</f>
        <v/>
      </c>
      <c r="AF401" s="57" t="str">
        <f t="shared" si="48"/>
        <v/>
      </c>
      <c r="AG401" s="57" t="str">
        <f t="shared" si="49"/>
        <v/>
      </c>
      <c r="AH401" s="58" t="str">
        <f t="shared" si="50"/>
        <v/>
      </c>
      <c r="AV401" s="22" t="str">
        <f>IF(A401&lt;&gt;"",A401 &amp; "-" &amp;#REF! &amp; ROW(),"")</f>
        <v/>
      </c>
    </row>
    <row r="402" spans="11:48" x14ac:dyDescent="0.2">
      <c r="K402" s="11" t="str">
        <f>IF(AND(COUNTA(B402:C402)&gt;1,COUNTA(F402:G402)&gt;1,O402="Completed"),(G402-C402)/(C402-#REF!+1)%,"")</f>
        <v/>
      </c>
      <c r="L402" s="11" t="str">
        <f>IF(AND(COUNT(D402:E402)&gt;0,COUNTA(F402:G402)&gt;1,O402="Completed"),(G402-AG402)/(AG402-#REF!+1)%,"")</f>
        <v/>
      </c>
      <c r="M402" s="11" t="str">
        <f t="shared" si="45"/>
        <v/>
      </c>
      <c r="N402" s="11" t="str">
        <f t="shared" si="46"/>
        <v/>
      </c>
      <c r="O402" s="12"/>
      <c r="P402" s="12"/>
      <c r="R402" s="10" t="str">
        <f>IF(H402&lt;&gt;"",SUMIF(H$3:H402,"&lt;&gt;" &amp; "",H$3:H402),"")</f>
        <v/>
      </c>
      <c r="S402" s="10" t="str">
        <f t="array" ref="S402">IF(O402="Completed",SUMIF(W$3:W402,"&lt;&gt;" &amp; "",W$3:W402),"")</f>
        <v/>
      </c>
      <c r="T402" s="10" t="str">
        <f t="array" ref="T402">IF(AND(J402&lt;&gt;"",O402="Completed"),SUM(IF(O$3:O402="Completed",J$3:J402,0)),"")</f>
        <v/>
      </c>
      <c r="U402" s="10" t="str">
        <f t="shared" si="51"/>
        <v/>
      </c>
      <c r="V402" s="10">
        <f>ROW()</f>
        <v>402</v>
      </c>
      <c r="W402" s="10" t="str">
        <f t="shared" si="47"/>
        <v/>
      </c>
      <c r="Z402" s="10" t="str">
        <f>IF(A402&lt;&gt;"",'Metrics planning and tracking'!$K$4,"")</f>
        <v/>
      </c>
      <c r="AA402" s="10" t="str">
        <f>IF(A402&lt;&gt;"",'Metrics planning and tracking'!$K$5,"")</f>
        <v/>
      </c>
      <c r="AB402" s="10" t="str">
        <f>IF(A402&lt;&gt;"",'Metrics planning and tracking'!$K$2,"")</f>
        <v/>
      </c>
      <c r="AC402" s="10" t="str">
        <f>IF(A402&lt;&gt;"",'Metrics planning and tracking'!$K$3,"")</f>
        <v/>
      </c>
      <c r="AD402" s="10" t="str">
        <f>IF(A402&lt;&gt;"",IF(AND(#REF!&lt;&gt;"",#REF!&lt;&gt;"",#REF!&lt;&gt;0),#REF!/#REF!*100,"NA"),"")</f>
        <v/>
      </c>
      <c r="AE402" s="10" t="str">
        <f>IF(A402&lt;&gt;"",IF(AND(#REF!&lt;&gt;"",#REF!&lt;&gt;"",#REF!&lt;&gt;0),#REF!/#REF!*100,"NA"),"")</f>
        <v/>
      </c>
      <c r="AF402" s="57" t="str">
        <f t="shared" si="48"/>
        <v/>
      </c>
      <c r="AG402" s="57" t="str">
        <f t="shared" si="49"/>
        <v/>
      </c>
      <c r="AH402" s="58" t="str">
        <f t="shared" si="50"/>
        <v/>
      </c>
      <c r="AV402" s="22" t="str">
        <f>IF(A402&lt;&gt;"",A402 &amp; "-" &amp;#REF! &amp; ROW(),"")</f>
        <v/>
      </c>
    </row>
    <row r="403" spans="11:48" x14ac:dyDescent="0.2">
      <c r="K403" s="11" t="str">
        <f>IF(AND(COUNTA(B403:C403)&gt;1,COUNTA(F403:G403)&gt;1,O403="Completed"),(G403-C403)/(C403-#REF!+1)%,"")</f>
        <v/>
      </c>
      <c r="L403" s="11" t="str">
        <f>IF(AND(COUNT(D403:E403)&gt;0,COUNTA(F403:G403)&gt;1,O403="Completed"),(G403-AG403)/(AG403-#REF!+1)%,"")</f>
        <v/>
      </c>
      <c r="M403" s="11" t="str">
        <f t="shared" si="45"/>
        <v/>
      </c>
      <c r="N403" s="11" t="str">
        <f t="shared" si="46"/>
        <v/>
      </c>
      <c r="O403" s="12"/>
      <c r="P403" s="12"/>
      <c r="R403" s="10" t="str">
        <f>IF(H403&lt;&gt;"",SUMIF(H$3:H403,"&lt;&gt;" &amp; "",H$3:H403),"")</f>
        <v/>
      </c>
      <c r="S403" s="10" t="str">
        <f t="array" ref="S403">IF(O403="Completed",SUMIF(W$3:W403,"&lt;&gt;" &amp; "",W$3:W403),"")</f>
        <v/>
      </c>
      <c r="T403" s="10" t="str">
        <f t="array" ref="T403">IF(AND(J403&lt;&gt;"",O403="Completed"),SUM(IF(O$3:O403="Completed",J$3:J403,0)),"")</f>
        <v/>
      </c>
      <c r="U403" s="10" t="str">
        <f t="shared" si="51"/>
        <v/>
      </c>
      <c r="V403" s="10">
        <f>ROW()</f>
        <v>403</v>
      </c>
      <c r="W403" s="10" t="str">
        <f t="shared" si="47"/>
        <v/>
      </c>
      <c r="Z403" s="10" t="str">
        <f>IF(A403&lt;&gt;"",'Metrics planning and tracking'!$K$4,"")</f>
        <v/>
      </c>
      <c r="AA403" s="10" t="str">
        <f>IF(A403&lt;&gt;"",'Metrics planning and tracking'!$K$5,"")</f>
        <v/>
      </c>
      <c r="AB403" s="10" t="str">
        <f>IF(A403&lt;&gt;"",'Metrics planning and tracking'!$K$2,"")</f>
        <v/>
      </c>
      <c r="AC403" s="10" t="str">
        <f>IF(A403&lt;&gt;"",'Metrics planning and tracking'!$K$3,"")</f>
        <v/>
      </c>
      <c r="AD403" s="10" t="str">
        <f>IF(A403&lt;&gt;"",IF(AND(#REF!&lt;&gt;"",#REF!&lt;&gt;"",#REF!&lt;&gt;0),#REF!/#REF!*100,"NA"),"")</f>
        <v/>
      </c>
      <c r="AE403" s="10" t="str">
        <f>IF(A403&lt;&gt;"",IF(AND(#REF!&lt;&gt;"",#REF!&lt;&gt;"",#REF!&lt;&gt;0),#REF!/#REF!*100,"NA"),"")</f>
        <v/>
      </c>
      <c r="AF403" s="57" t="str">
        <f t="shared" si="48"/>
        <v/>
      </c>
      <c r="AG403" s="57" t="str">
        <f t="shared" si="49"/>
        <v/>
      </c>
      <c r="AH403" s="58" t="str">
        <f t="shared" si="50"/>
        <v/>
      </c>
      <c r="AV403" s="22" t="str">
        <f>IF(A403&lt;&gt;"",A403 &amp; "-" &amp;#REF! &amp; ROW(),"")</f>
        <v/>
      </c>
    </row>
    <row r="404" spans="11:48" x14ac:dyDescent="0.2">
      <c r="K404" s="11" t="str">
        <f>IF(AND(COUNTA(B404:C404)&gt;1,COUNTA(F404:G404)&gt;1,O404="Completed"),(G404-C404)/(C404-#REF!+1)%,"")</f>
        <v/>
      </c>
      <c r="L404" s="11" t="str">
        <f>IF(AND(COUNT(D404:E404)&gt;0,COUNTA(F404:G404)&gt;1,O404="Completed"),(G404-AG404)/(AG404-#REF!+1)%,"")</f>
        <v/>
      </c>
      <c r="M404" s="11" t="str">
        <f t="shared" si="45"/>
        <v/>
      </c>
      <c r="N404" s="11" t="str">
        <f t="shared" si="46"/>
        <v/>
      </c>
      <c r="O404" s="12"/>
      <c r="P404" s="12"/>
      <c r="R404" s="10" t="str">
        <f>IF(H404&lt;&gt;"",SUMIF(H$3:H404,"&lt;&gt;" &amp; "",H$3:H404),"")</f>
        <v/>
      </c>
      <c r="S404" s="10" t="str">
        <f t="array" ref="S404">IF(O404="Completed",SUMIF(W$3:W404,"&lt;&gt;" &amp; "",W$3:W404),"")</f>
        <v/>
      </c>
      <c r="T404" s="10" t="str">
        <f t="array" ref="T404">IF(AND(J404&lt;&gt;"",O404="Completed"),SUM(IF(O$3:O404="Completed",J$3:J404,0)),"")</f>
        <v/>
      </c>
      <c r="U404" s="10" t="str">
        <f t="shared" si="51"/>
        <v/>
      </c>
      <c r="V404" s="10">
        <f>ROW()</f>
        <v>404</v>
      </c>
      <c r="W404" s="10" t="str">
        <f t="shared" si="47"/>
        <v/>
      </c>
      <c r="Z404" s="10" t="str">
        <f>IF(A404&lt;&gt;"",'Metrics planning and tracking'!$K$4,"")</f>
        <v/>
      </c>
      <c r="AA404" s="10" t="str">
        <f>IF(A404&lt;&gt;"",'Metrics planning and tracking'!$K$5,"")</f>
        <v/>
      </c>
      <c r="AB404" s="10" t="str">
        <f>IF(A404&lt;&gt;"",'Metrics planning and tracking'!$K$2,"")</f>
        <v/>
      </c>
      <c r="AC404" s="10" t="str">
        <f>IF(A404&lt;&gt;"",'Metrics planning and tracking'!$K$3,"")</f>
        <v/>
      </c>
      <c r="AD404" s="10" t="str">
        <f>IF(A404&lt;&gt;"",IF(AND(#REF!&lt;&gt;"",#REF!&lt;&gt;"",#REF!&lt;&gt;0),#REF!/#REF!*100,"NA"),"")</f>
        <v/>
      </c>
      <c r="AE404" s="10" t="str">
        <f>IF(A404&lt;&gt;"",IF(AND(#REF!&lt;&gt;"",#REF!&lt;&gt;"",#REF!&lt;&gt;0),#REF!/#REF!*100,"NA"),"")</f>
        <v/>
      </c>
      <c r="AF404" s="57" t="str">
        <f t="shared" si="48"/>
        <v/>
      </c>
      <c r="AG404" s="57" t="str">
        <f t="shared" si="49"/>
        <v/>
      </c>
      <c r="AH404" s="58" t="str">
        <f t="shared" si="50"/>
        <v/>
      </c>
      <c r="AV404" s="22" t="str">
        <f>IF(A404&lt;&gt;"",A404 &amp; "-" &amp;#REF! &amp; ROW(),"")</f>
        <v/>
      </c>
    </row>
    <row r="405" spans="11:48" x14ac:dyDescent="0.2">
      <c r="K405" s="11" t="str">
        <f>IF(AND(COUNTA(B405:C405)&gt;1,COUNTA(F405:G405)&gt;1,O405="Completed"),(G405-C405)/(C405-#REF!+1)%,"")</f>
        <v/>
      </c>
      <c r="L405" s="11" t="str">
        <f>IF(AND(COUNT(D405:E405)&gt;0,COUNTA(F405:G405)&gt;1,O405="Completed"),(G405-AG405)/(AG405-#REF!+1)%,"")</f>
        <v/>
      </c>
      <c r="M405" s="11" t="str">
        <f t="shared" si="45"/>
        <v/>
      </c>
      <c r="N405" s="11" t="str">
        <f t="shared" si="46"/>
        <v/>
      </c>
      <c r="O405" s="12"/>
      <c r="P405" s="12"/>
      <c r="R405" s="10" t="str">
        <f>IF(H405&lt;&gt;"",SUMIF(H$3:H405,"&lt;&gt;" &amp; "",H$3:H405),"")</f>
        <v/>
      </c>
      <c r="S405" s="10" t="str">
        <f t="array" ref="S405">IF(O405="Completed",SUMIF(W$3:W405,"&lt;&gt;" &amp; "",W$3:W405),"")</f>
        <v/>
      </c>
      <c r="T405" s="10" t="str">
        <f t="array" ref="T405">IF(AND(J405&lt;&gt;"",O405="Completed"),SUM(IF(O$3:O405="Completed",J$3:J405,0)),"")</f>
        <v/>
      </c>
      <c r="U405" s="10" t="str">
        <f t="shared" si="51"/>
        <v/>
      </c>
      <c r="V405" s="10">
        <f>ROW()</f>
        <v>405</v>
      </c>
      <c r="W405" s="10" t="str">
        <f t="shared" si="47"/>
        <v/>
      </c>
      <c r="Z405" s="10" t="str">
        <f>IF(A405&lt;&gt;"",'Metrics planning and tracking'!$K$4,"")</f>
        <v/>
      </c>
      <c r="AA405" s="10" t="str">
        <f>IF(A405&lt;&gt;"",'Metrics planning and tracking'!$K$5,"")</f>
        <v/>
      </c>
      <c r="AB405" s="10" t="str">
        <f>IF(A405&lt;&gt;"",'Metrics planning and tracking'!$K$2,"")</f>
        <v/>
      </c>
      <c r="AC405" s="10" t="str">
        <f>IF(A405&lt;&gt;"",'Metrics planning and tracking'!$K$3,"")</f>
        <v/>
      </c>
      <c r="AD405" s="10" t="str">
        <f>IF(A405&lt;&gt;"",IF(AND(#REF!&lt;&gt;"",#REF!&lt;&gt;"",#REF!&lt;&gt;0),#REF!/#REF!*100,"NA"),"")</f>
        <v/>
      </c>
      <c r="AE405" s="10" t="str">
        <f>IF(A405&lt;&gt;"",IF(AND(#REF!&lt;&gt;"",#REF!&lt;&gt;"",#REF!&lt;&gt;0),#REF!/#REF!*100,"NA"),"")</f>
        <v/>
      </c>
      <c r="AF405" s="57" t="str">
        <f t="shared" si="48"/>
        <v/>
      </c>
      <c r="AG405" s="57" t="str">
        <f t="shared" si="49"/>
        <v/>
      </c>
      <c r="AH405" s="58" t="str">
        <f t="shared" si="50"/>
        <v/>
      </c>
      <c r="AV405" s="22" t="str">
        <f>IF(A405&lt;&gt;"",A405 &amp; "-" &amp;#REF! &amp; ROW(),"")</f>
        <v/>
      </c>
    </row>
    <row r="406" spans="11:48" x14ac:dyDescent="0.2">
      <c r="K406" s="11" t="str">
        <f>IF(AND(COUNTA(B406:C406)&gt;1,COUNTA(F406:G406)&gt;1,O406="Completed"),(G406-C406)/(C406-#REF!+1)%,"")</f>
        <v/>
      </c>
      <c r="L406" s="11" t="str">
        <f>IF(AND(COUNT(D406:E406)&gt;0,COUNTA(F406:G406)&gt;1,O406="Completed"),(G406-AG406)/(AG406-#REF!+1)%,"")</f>
        <v/>
      </c>
      <c r="M406" s="11" t="str">
        <f t="shared" ref="M406:M469" si="52">IF(AND(T406&lt;&gt;"",T406&lt;&gt;0,R406&lt;&gt;"",R406&lt;&gt;0),(T406-R406)/R406%,IF(AND(H406&lt;&gt;"",H406&lt;&gt;0,OR(J406="",J406=0)),"Actual Effort reqd.",""))</f>
        <v/>
      </c>
      <c r="N406" s="11" t="str">
        <f t="shared" ref="N406:N469" si="53">IF(AND(T406&lt;&gt;"",T406&lt;&gt;0,S406&lt;&gt;"",S406&lt;&gt;0),(T406-S406)/S406%,IF(AND(I406&lt;&gt;"",I406&lt;&gt;0,OR(J406="",J406=0)),"Actual Effort reqd.",""))</f>
        <v/>
      </c>
      <c r="O406" s="12"/>
      <c r="P406" s="12"/>
      <c r="R406" s="10" t="str">
        <f>IF(H406&lt;&gt;"",SUMIF(H$3:H406,"&lt;&gt;" &amp; "",H$3:H406),"")</f>
        <v/>
      </c>
      <c r="S406" s="10" t="str">
        <f t="array" ref="S406">IF(O406="Completed",SUMIF(W$3:W406,"&lt;&gt;" &amp; "",W$3:W406),"")</f>
        <v/>
      </c>
      <c r="T406" s="10" t="str">
        <f t="array" ref="T406">IF(AND(J406&lt;&gt;"",O406="Completed"),SUM(IF(O$3:O406="Completed",J$3:J406,0)),"")</f>
        <v/>
      </c>
      <c r="U406" s="10" t="str">
        <f t="shared" si="51"/>
        <v/>
      </c>
      <c r="V406" s="10">
        <f>ROW()</f>
        <v>406</v>
      </c>
      <c r="W406" s="10" t="str">
        <f t="shared" ref="W406:W469" si="54">IF(O406="Completed",IF(COUNT($I$3:$I$596)&gt;0,IF(I406&lt;&gt;"",I406,H406),""),"")</f>
        <v/>
      </c>
      <c r="Z406" s="10" t="str">
        <f>IF(A406&lt;&gt;"",'Metrics planning and tracking'!$K$4,"")</f>
        <v/>
      </c>
      <c r="AA406" s="10" t="str">
        <f>IF(A406&lt;&gt;"",'Metrics planning and tracking'!$K$5,"")</f>
        <v/>
      </c>
      <c r="AB406" s="10" t="str">
        <f>IF(A406&lt;&gt;"",'Metrics planning and tracking'!$K$2,"")</f>
        <v/>
      </c>
      <c r="AC406" s="10" t="str">
        <f>IF(A406&lt;&gt;"",'Metrics planning and tracking'!$K$3,"")</f>
        <v/>
      </c>
      <c r="AD406" s="10" t="str">
        <f>IF(A406&lt;&gt;"",IF(AND(#REF!&lt;&gt;"",#REF!&lt;&gt;"",#REF!&lt;&gt;0),#REF!/#REF!*100,"NA"),"")</f>
        <v/>
      </c>
      <c r="AE406" s="10" t="str">
        <f>IF(A406&lt;&gt;"",IF(AND(#REF!&lt;&gt;"",#REF!&lt;&gt;"",#REF!&lt;&gt;0),#REF!/#REF!*100,"NA"),"")</f>
        <v/>
      </c>
      <c r="AF406" s="57" t="str">
        <f t="shared" ref="AF406:AF469" si="55">IF($O406="Completed",IF(D406&lt;&gt;"",D406,IF(B406&lt;&gt;"",B406,"")),"")</f>
        <v/>
      </c>
      <c r="AG406" s="57" t="str">
        <f t="shared" ref="AG406:AG469" si="56">IF($O406="Completed",IF(E406&lt;&gt;"",E406,IF(C406&lt;&gt;"",C406,"")),"")</f>
        <v/>
      </c>
      <c r="AH406" s="58" t="str">
        <f t="shared" ref="AH406:AH469" si="57">IF(O406="Completed",IF(L406&lt;&gt;"",L406,IF(K406&lt;&gt;"",K406,"")),"")</f>
        <v/>
      </c>
      <c r="AV406" s="22" t="str">
        <f>IF(A406&lt;&gt;"",A406 &amp; "-" &amp;#REF! &amp; ROW(),"")</f>
        <v/>
      </c>
    </row>
    <row r="407" spans="11:48" x14ac:dyDescent="0.2">
      <c r="K407" s="11" t="str">
        <f>IF(AND(COUNTA(B407:C407)&gt;1,COUNTA(F407:G407)&gt;1,O407="Completed"),(G407-C407)/(C407-#REF!+1)%,"")</f>
        <v/>
      </c>
      <c r="L407" s="11" t="str">
        <f>IF(AND(COUNT(D407:E407)&gt;0,COUNTA(F407:G407)&gt;1,O407="Completed"),(G407-AG407)/(AG407-#REF!+1)%,"")</f>
        <v/>
      </c>
      <c r="M407" s="11" t="str">
        <f t="shared" si="52"/>
        <v/>
      </c>
      <c r="N407" s="11" t="str">
        <f t="shared" si="53"/>
        <v/>
      </c>
      <c r="O407" s="12"/>
      <c r="P407" s="12"/>
      <c r="R407" s="10" t="str">
        <f>IF(H407&lt;&gt;"",SUMIF(H$3:H407,"&lt;&gt;" &amp; "",H$3:H407),"")</f>
        <v/>
      </c>
      <c r="S407" s="10" t="str">
        <f t="array" ref="S407">IF(O407="Completed",SUMIF(W$3:W407,"&lt;&gt;" &amp; "",W$3:W407),"")</f>
        <v/>
      </c>
      <c r="T407" s="10" t="str">
        <f t="array" ref="T407">IF(AND(J407&lt;&gt;"",O407="Completed"),SUM(IF(O$3:O407="Completed",J$3:J407,0)),"")</f>
        <v/>
      </c>
      <c r="U407" s="10" t="str">
        <f t="shared" si="51"/>
        <v/>
      </c>
      <c r="V407" s="10">
        <f>ROW()</f>
        <v>407</v>
      </c>
      <c r="W407" s="10" t="str">
        <f t="shared" si="54"/>
        <v/>
      </c>
      <c r="Z407" s="10" t="str">
        <f>IF(A407&lt;&gt;"",'Metrics planning and tracking'!$K$4,"")</f>
        <v/>
      </c>
      <c r="AA407" s="10" t="str">
        <f>IF(A407&lt;&gt;"",'Metrics planning and tracking'!$K$5,"")</f>
        <v/>
      </c>
      <c r="AB407" s="10" t="str">
        <f>IF(A407&lt;&gt;"",'Metrics planning and tracking'!$K$2,"")</f>
        <v/>
      </c>
      <c r="AC407" s="10" t="str">
        <f>IF(A407&lt;&gt;"",'Metrics planning and tracking'!$K$3,"")</f>
        <v/>
      </c>
      <c r="AD407" s="10" t="str">
        <f>IF(A407&lt;&gt;"",IF(AND(#REF!&lt;&gt;"",#REF!&lt;&gt;"",#REF!&lt;&gt;0),#REF!/#REF!*100,"NA"),"")</f>
        <v/>
      </c>
      <c r="AE407" s="10" t="str">
        <f>IF(A407&lt;&gt;"",IF(AND(#REF!&lt;&gt;"",#REF!&lt;&gt;"",#REF!&lt;&gt;0),#REF!/#REF!*100,"NA"),"")</f>
        <v/>
      </c>
      <c r="AF407" s="57" t="str">
        <f t="shared" si="55"/>
        <v/>
      </c>
      <c r="AG407" s="57" t="str">
        <f t="shared" si="56"/>
        <v/>
      </c>
      <c r="AH407" s="58" t="str">
        <f t="shared" si="57"/>
        <v/>
      </c>
      <c r="AV407" s="22" t="str">
        <f>IF(A407&lt;&gt;"",A407 &amp; "-" &amp;#REF! &amp; ROW(),"")</f>
        <v/>
      </c>
    </row>
    <row r="408" spans="11:48" x14ac:dyDescent="0.2">
      <c r="K408" s="11" t="str">
        <f>IF(AND(COUNTA(B408:C408)&gt;1,COUNTA(F408:G408)&gt;1,O408="Completed"),(G408-C408)/(C408-#REF!+1)%,"")</f>
        <v/>
      </c>
      <c r="L408" s="11" t="str">
        <f>IF(AND(COUNT(D408:E408)&gt;0,COUNTA(F408:G408)&gt;1,O408="Completed"),(G408-AG408)/(AG408-#REF!+1)%,"")</f>
        <v/>
      </c>
      <c r="M408" s="11" t="str">
        <f t="shared" si="52"/>
        <v/>
      </c>
      <c r="N408" s="11" t="str">
        <f t="shared" si="53"/>
        <v/>
      </c>
      <c r="O408" s="12"/>
      <c r="P408" s="12"/>
      <c r="R408" s="10" t="str">
        <f>IF(H408&lt;&gt;"",SUMIF(H$3:H408,"&lt;&gt;" &amp; "",H$3:H408),"")</f>
        <v/>
      </c>
      <c r="S408" s="10" t="str">
        <f t="array" ref="S408">IF(O408="Completed",SUMIF(W$3:W408,"&lt;&gt;" &amp; "",W$3:W408),"")</f>
        <v/>
      </c>
      <c r="T408" s="10" t="str">
        <f t="array" ref="T408">IF(AND(J408&lt;&gt;"",O408="Completed"),SUM(IF(O$3:O408="Completed",J$3:J408,0)),"")</f>
        <v/>
      </c>
      <c r="U408" s="10" t="str">
        <f t="shared" si="51"/>
        <v/>
      </c>
      <c r="V408" s="10">
        <f>ROW()</f>
        <v>408</v>
      </c>
      <c r="W408" s="10" t="str">
        <f t="shared" si="54"/>
        <v/>
      </c>
      <c r="Z408" s="10" t="str">
        <f>IF(A408&lt;&gt;"",'Metrics planning and tracking'!$K$4,"")</f>
        <v/>
      </c>
      <c r="AA408" s="10" t="str">
        <f>IF(A408&lt;&gt;"",'Metrics planning and tracking'!$K$5,"")</f>
        <v/>
      </c>
      <c r="AB408" s="10" t="str">
        <f>IF(A408&lt;&gt;"",'Metrics planning and tracking'!$K$2,"")</f>
        <v/>
      </c>
      <c r="AC408" s="10" t="str">
        <f>IF(A408&lt;&gt;"",'Metrics planning and tracking'!$K$3,"")</f>
        <v/>
      </c>
      <c r="AD408" s="10" t="str">
        <f>IF(A408&lt;&gt;"",IF(AND(#REF!&lt;&gt;"",#REF!&lt;&gt;"",#REF!&lt;&gt;0),#REF!/#REF!*100,"NA"),"")</f>
        <v/>
      </c>
      <c r="AE408" s="10" t="str">
        <f>IF(A408&lt;&gt;"",IF(AND(#REF!&lt;&gt;"",#REF!&lt;&gt;"",#REF!&lt;&gt;0),#REF!/#REF!*100,"NA"),"")</f>
        <v/>
      </c>
      <c r="AF408" s="57" t="str">
        <f t="shared" si="55"/>
        <v/>
      </c>
      <c r="AG408" s="57" t="str">
        <f t="shared" si="56"/>
        <v/>
      </c>
      <c r="AH408" s="58" t="str">
        <f t="shared" si="57"/>
        <v/>
      </c>
      <c r="AV408" s="22" t="str">
        <f>IF(A408&lt;&gt;"",A408 &amp; "-" &amp;#REF! &amp; ROW(),"")</f>
        <v/>
      </c>
    </row>
    <row r="409" spans="11:48" x14ac:dyDescent="0.2">
      <c r="K409" s="11" t="str">
        <f>IF(AND(COUNTA(B409:C409)&gt;1,COUNTA(F409:G409)&gt;1,O409="Completed"),(G409-C409)/(C409-#REF!+1)%,"")</f>
        <v/>
      </c>
      <c r="L409" s="11" t="str">
        <f>IF(AND(COUNT(D409:E409)&gt;0,COUNTA(F409:G409)&gt;1,O409="Completed"),(G409-AG409)/(AG409-#REF!+1)%,"")</f>
        <v/>
      </c>
      <c r="M409" s="11" t="str">
        <f t="shared" si="52"/>
        <v/>
      </c>
      <c r="N409" s="11" t="str">
        <f t="shared" si="53"/>
        <v/>
      </c>
      <c r="O409" s="12"/>
      <c r="P409" s="12"/>
      <c r="R409" s="10" t="str">
        <f>IF(H409&lt;&gt;"",SUMIF(H$3:H409,"&lt;&gt;" &amp; "",H$3:H409),"")</f>
        <v/>
      </c>
      <c r="S409" s="10" t="str">
        <f t="array" ref="S409">IF(O409="Completed",SUMIF(W$3:W409,"&lt;&gt;" &amp; "",W$3:W409),"")</f>
        <v/>
      </c>
      <c r="T409" s="10" t="str">
        <f t="array" ref="T409">IF(AND(J409&lt;&gt;"",O409="Completed"),SUM(IF(O$3:O409="Completed",J$3:J409,0)),"")</f>
        <v/>
      </c>
      <c r="U409" s="10" t="str">
        <f t="shared" si="51"/>
        <v/>
      </c>
      <c r="V409" s="10">
        <f>ROW()</f>
        <v>409</v>
      </c>
      <c r="W409" s="10" t="str">
        <f t="shared" si="54"/>
        <v/>
      </c>
      <c r="Z409" s="10" t="str">
        <f>IF(A409&lt;&gt;"",'Metrics planning and tracking'!$K$4,"")</f>
        <v/>
      </c>
      <c r="AA409" s="10" t="str">
        <f>IF(A409&lt;&gt;"",'Metrics planning and tracking'!$K$5,"")</f>
        <v/>
      </c>
      <c r="AB409" s="10" t="str">
        <f>IF(A409&lt;&gt;"",'Metrics planning and tracking'!$K$2,"")</f>
        <v/>
      </c>
      <c r="AC409" s="10" t="str">
        <f>IF(A409&lt;&gt;"",'Metrics planning and tracking'!$K$3,"")</f>
        <v/>
      </c>
      <c r="AD409" s="10" t="str">
        <f>IF(A409&lt;&gt;"",IF(AND(#REF!&lt;&gt;"",#REF!&lt;&gt;"",#REF!&lt;&gt;0),#REF!/#REF!*100,"NA"),"")</f>
        <v/>
      </c>
      <c r="AE409" s="10" t="str">
        <f>IF(A409&lt;&gt;"",IF(AND(#REF!&lt;&gt;"",#REF!&lt;&gt;"",#REF!&lt;&gt;0),#REF!/#REF!*100,"NA"),"")</f>
        <v/>
      </c>
      <c r="AF409" s="57" t="str">
        <f t="shared" si="55"/>
        <v/>
      </c>
      <c r="AG409" s="57" t="str">
        <f t="shared" si="56"/>
        <v/>
      </c>
      <c r="AH409" s="58" t="str">
        <f t="shared" si="57"/>
        <v/>
      </c>
      <c r="AV409" s="22" t="str">
        <f>IF(A409&lt;&gt;"",A409 &amp; "-" &amp;#REF! &amp; ROW(),"")</f>
        <v/>
      </c>
    </row>
    <row r="410" spans="11:48" x14ac:dyDescent="0.2">
      <c r="K410" s="11" t="str">
        <f>IF(AND(COUNTA(B410:C410)&gt;1,COUNTA(F410:G410)&gt;1,O410="Completed"),(G410-C410)/(C410-#REF!+1)%,"")</f>
        <v/>
      </c>
      <c r="L410" s="11" t="str">
        <f>IF(AND(COUNT(D410:E410)&gt;0,COUNTA(F410:G410)&gt;1,O410="Completed"),(G410-AG410)/(AG410-#REF!+1)%,"")</f>
        <v/>
      </c>
      <c r="M410" s="11" t="str">
        <f t="shared" si="52"/>
        <v/>
      </c>
      <c r="N410" s="11" t="str">
        <f t="shared" si="53"/>
        <v/>
      </c>
      <c r="O410" s="12"/>
      <c r="P410" s="12"/>
      <c r="R410" s="10" t="str">
        <f>IF(H410&lt;&gt;"",SUMIF(H$3:H410,"&lt;&gt;" &amp; "",H$3:H410),"")</f>
        <v/>
      </c>
      <c r="S410" s="10" t="str">
        <f t="array" ref="S410">IF(O410="Completed",SUMIF(W$3:W410,"&lt;&gt;" &amp; "",W$3:W410),"")</f>
        <v/>
      </c>
      <c r="T410" s="10" t="str">
        <f t="array" ref="T410">IF(AND(J410&lt;&gt;"",O410="Completed"),SUM(IF(O$3:O410="Completed",J$3:J410,0)),"")</f>
        <v/>
      </c>
      <c r="U410" s="10" t="str">
        <f t="shared" si="51"/>
        <v/>
      </c>
      <c r="V410" s="10">
        <f>ROW()</f>
        <v>410</v>
      </c>
      <c r="W410" s="10" t="str">
        <f t="shared" si="54"/>
        <v/>
      </c>
      <c r="Z410" s="10" t="str">
        <f>IF(A410&lt;&gt;"",'Metrics planning and tracking'!$K$4,"")</f>
        <v/>
      </c>
      <c r="AA410" s="10" t="str">
        <f>IF(A410&lt;&gt;"",'Metrics planning and tracking'!$K$5,"")</f>
        <v/>
      </c>
      <c r="AB410" s="10" t="str">
        <f>IF(A410&lt;&gt;"",'Metrics planning and tracking'!$K$2,"")</f>
        <v/>
      </c>
      <c r="AC410" s="10" t="str">
        <f>IF(A410&lt;&gt;"",'Metrics planning and tracking'!$K$3,"")</f>
        <v/>
      </c>
      <c r="AD410" s="10" t="str">
        <f>IF(A410&lt;&gt;"",IF(AND(#REF!&lt;&gt;"",#REF!&lt;&gt;"",#REF!&lt;&gt;0),#REF!/#REF!*100,"NA"),"")</f>
        <v/>
      </c>
      <c r="AE410" s="10" t="str">
        <f>IF(A410&lt;&gt;"",IF(AND(#REF!&lt;&gt;"",#REF!&lt;&gt;"",#REF!&lt;&gt;0),#REF!/#REF!*100,"NA"),"")</f>
        <v/>
      </c>
      <c r="AF410" s="57" t="str">
        <f t="shared" si="55"/>
        <v/>
      </c>
      <c r="AG410" s="57" t="str">
        <f t="shared" si="56"/>
        <v/>
      </c>
      <c r="AH410" s="58" t="str">
        <f t="shared" si="57"/>
        <v/>
      </c>
      <c r="AV410" s="22" t="str">
        <f>IF(A410&lt;&gt;"",A410 &amp; "-" &amp;#REF! &amp; ROW(),"")</f>
        <v/>
      </c>
    </row>
    <row r="411" spans="11:48" x14ac:dyDescent="0.2">
      <c r="K411" s="11" t="str">
        <f>IF(AND(COUNTA(B411:C411)&gt;1,COUNTA(F411:G411)&gt;1,O411="Completed"),(G411-C411)/(C411-#REF!+1)%,"")</f>
        <v/>
      </c>
      <c r="L411" s="11" t="str">
        <f>IF(AND(COUNT(D411:E411)&gt;0,COUNTA(F411:G411)&gt;1,O411="Completed"),(G411-AG411)/(AG411-#REF!+1)%,"")</f>
        <v/>
      </c>
      <c r="M411" s="11" t="str">
        <f t="shared" si="52"/>
        <v/>
      </c>
      <c r="N411" s="11" t="str">
        <f t="shared" si="53"/>
        <v/>
      </c>
      <c r="O411" s="12"/>
      <c r="P411" s="12"/>
      <c r="R411" s="10" t="str">
        <f>IF(H411&lt;&gt;"",SUMIF(H$3:H411,"&lt;&gt;" &amp; "",H$3:H411),"")</f>
        <v/>
      </c>
      <c r="S411" s="10" t="str">
        <f t="array" ref="S411">IF(O411="Completed",SUMIF(W$3:W411,"&lt;&gt;" &amp; "",W$3:W411),"")</f>
        <v/>
      </c>
      <c r="T411" s="10" t="str">
        <f t="array" ref="T411">IF(AND(J411&lt;&gt;"",O411="Completed"),SUM(IF(O$3:O411="Completed",J$3:J411,0)),"")</f>
        <v/>
      </c>
      <c r="U411" s="10" t="str">
        <f t="shared" si="51"/>
        <v/>
      </c>
      <c r="V411" s="10">
        <f>ROW()</f>
        <v>411</v>
      </c>
      <c r="W411" s="10" t="str">
        <f t="shared" si="54"/>
        <v/>
      </c>
      <c r="Z411" s="10" t="str">
        <f>IF(A411&lt;&gt;"",'Metrics planning and tracking'!$K$4,"")</f>
        <v/>
      </c>
      <c r="AA411" s="10" t="str">
        <f>IF(A411&lt;&gt;"",'Metrics planning and tracking'!$K$5,"")</f>
        <v/>
      </c>
      <c r="AB411" s="10" t="str">
        <f>IF(A411&lt;&gt;"",'Metrics planning and tracking'!$K$2,"")</f>
        <v/>
      </c>
      <c r="AC411" s="10" t="str">
        <f>IF(A411&lt;&gt;"",'Metrics planning and tracking'!$K$3,"")</f>
        <v/>
      </c>
      <c r="AD411" s="10" t="str">
        <f>IF(A411&lt;&gt;"",IF(AND(#REF!&lt;&gt;"",#REF!&lt;&gt;"",#REF!&lt;&gt;0),#REF!/#REF!*100,"NA"),"")</f>
        <v/>
      </c>
      <c r="AE411" s="10" t="str">
        <f>IF(A411&lt;&gt;"",IF(AND(#REF!&lt;&gt;"",#REF!&lt;&gt;"",#REF!&lt;&gt;0),#REF!/#REF!*100,"NA"),"")</f>
        <v/>
      </c>
      <c r="AF411" s="57" t="str">
        <f t="shared" si="55"/>
        <v/>
      </c>
      <c r="AG411" s="57" t="str">
        <f t="shared" si="56"/>
        <v/>
      </c>
      <c r="AH411" s="58" t="str">
        <f t="shared" si="57"/>
        <v/>
      </c>
      <c r="AV411" s="22" t="str">
        <f>IF(A411&lt;&gt;"",A411 &amp; "-" &amp;#REF! &amp; ROW(),"")</f>
        <v/>
      </c>
    </row>
    <row r="412" spans="11:48" x14ac:dyDescent="0.2">
      <c r="K412" s="11" t="str">
        <f>IF(AND(COUNTA(B412:C412)&gt;1,COUNTA(F412:G412)&gt;1,O412="Completed"),(G412-C412)/(C412-#REF!+1)%,"")</f>
        <v/>
      </c>
      <c r="L412" s="11" t="str">
        <f>IF(AND(COUNT(D412:E412)&gt;0,COUNTA(F412:G412)&gt;1,O412="Completed"),(G412-AG412)/(AG412-#REF!+1)%,"")</f>
        <v/>
      </c>
      <c r="M412" s="11" t="str">
        <f t="shared" si="52"/>
        <v/>
      </c>
      <c r="N412" s="11" t="str">
        <f t="shared" si="53"/>
        <v/>
      </c>
      <c r="O412" s="12"/>
      <c r="P412" s="12"/>
      <c r="R412" s="10" t="str">
        <f>IF(H412&lt;&gt;"",SUMIF(H$3:H412,"&lt;&gt;" &amp; "",H$3:H412),"")</f>
        <v/>
      </c>
      <c r="S412" s="10" t="str">
        <f t="array" ref="S412">IF(O412="Completed",SUMIF(W$3:W412,"&lt;&gt;" &amp; "",W$3:W412),"")</f>
        <v/>
      </c>
      <c r="T412" s="10" t="str">
        <f t="array" ref="T412">IF(AND(J412&lt;&gt;"",O412="Completed"),SUM(IF(O$3:O412="Completed",J$3:J412,0)),"")</f>
        <v/>
      </c>
      <c r="U412" s="10" t="str">
        <f t="shared" si="51"/>
        <v/>
      </c>
      <c r="V412" s="10">
        <f>ROW()</f>
        <v>412</v>
      </c>
      <c r="W412" s="10" t="str">
        <f t="shared" si="54"/>
        <v/>
      </c>
      <c r="Z412" s="10" t="str">
        <f>IF(A412&lt;&gt;"",'Metrics planning and tracking'!$K$4,"")</f>
        <v/>
      </c>
      <c r="AA412" s="10" t="str">
        <f>IF(A412&lt;&gt;"",'Metrics planning and tracking'!$K$5,"")</f>
        <v/>
      </c>
      <c r="AB412" s="10" t="str">
        <f>IF(A412&lt;&gt;"",'Metrics planning and tracking'!$K$2,"")</f>
        <v/>
      </c>
      <c r="AC412" s="10" t="str">
        <f>IF(A412&lt;&gt;"",'Metrics planning and tracking'!$K$3,"")</f>
        <v/>
      </c>
      <c r="AD412" s="10" t="str">
        <f>IF(A412&lt;&gt;"",IF(AND(#REF!&lt;&gt;"",#REF!&lt;&gt;"",#REF!&lt;&gt;0),#REF!/#REF!*100,"NA"),"")</f>
        <v/>
      </c>
      <c r="AE412" s="10" t="str">
        <f>IF(A412&lt;&gt;"",IF(AND(#REF!&lt;&gt;"",#REF!&lt;&gt;"",#REF!&lt;&gt;0),#REF!/#REF!*100,"NA"),"")</f>
        <v/>
      </c>
      <c r="AF412" s="57" t="str">
        <f t="shared" si="55"/>
        <v/>
      </c>
      <c r="AG412" s="57" t="str">
        <f t="shared" si="56"/>
        <v/>
      </c>
      <c r="AH412" s="58" t="str">
        <f t="shared" si="57"/>
        <v/>
      </c>
      <c r="AV412" s="22" t="str">
        <f>IF(A412&lt;&gt;"",A412 &amp; "-" &amp;#REF! &amp; ROW(),"")</f>
        <v/>
      </c>
    </row>
    <row r="413" spans="11:48" x14ac:dyDescent="0.2">
      <c r="K413" s="11" t="str">
        <f>IF(AND(COUNTA(B413:C413)&gt;1,COUNTA(F413:G413)&gt;1,O413="Completed"),(G413-C413)/(C413-#REF!+1)%,"")</f>
        <v/>
      </c>
      <c r="L413" s="11" t="str">
        <f>IF(AND(COUNT(D413:E413)&gt;0,COUNTA(F413:G413)&gt;1,O413="Completed"),(G413-AG413)/(AG413-#REF!+1)%,"")</f>
        <v/>
      </c>
      <c r="M413" s="11" t="str">
        <f t="shared" si="52"/>
        <v/>
      </c>
      <c r="N413" s="11" t="str">
        <f t="shared" si="53"/>
        <v/>
      </c>
      <c r="O413" s="12"/>
      <c r="P413" s="12"/>
      <c r="R413" s="10" t="str">
        <f>IF(H413&lt;&gt;"",SUMIF(H$3:H413,"&lt;&gt;" &amp; "",H$3:H413),"")</f>
        <v/>
      </c>
      <c r="S413" s="10" t="str">
        <f t="array" ref="S413">IF(O413="Completed",SUMIF(W$3:W413,"&lt;&gt;" &amp; "",W$3:W413),"")</f>
        <v/>
      </c>
      <c r="T413" s="10" t="str">
        <f t="array" ref="T413">IF(AND(J413&lt;&gt;"",O413="Completed"),SUM(IF(O$3:O413="Completed",J$3:J413,0)),"")</f>
        <v/>
      </c>
      <c r="U413" s="10" t="str">
        <f t="shared" si="51"/>
        <v/>
      </c>
      <c r="V413" s="10">
        <f>ROW()</f>
        <v>413</v>
      </c>
      <c r="W413" s="10" t="str">
        <f t="shared" si="54"/>
        <v/>
      </c>
      <c r="Z413" s="10" t="str">
        <f>IF(A413&lt;&gt;"",'Metrics planning and tracking'!$K$4,"")</f>
        <v/>
      </c>
      <c r="AA413" s="10" t="str">
        <f>IF(A413&lt;&gt;"",'Metrics planning and tracking'!$K$5,"")</f>
        <v/>
      </c>
      <c r="AB413" s="10" t="str">
        <f>IF(A413&lt;&gt;"",'Metrics planning and tracking'!$K$2,"")</f>
        <v/>
      </c>
      <c r="AC413" s="10" t="str">
        <f>IF(A413&lt;&gt;"",'Metrics planning and tracking'!$K$3,"")</f>
        <v/>
      </c>
      <c r="AD413" s="10" t="str">
        <f>IF(A413&lt;&gt;"",IF(AND(#REF!&lt;&gt;"",#REF!&lt;&gt;"",#REF!&lt;&gt;0),#REF!/#REF!*100,"NA"),"")</f>
        <v/>
      </c>
      <c r="AE413" s="10" t="str">
        <f>IF(A413&lt;&gt;"",IF(AND(#REF!&lt;&gt;"",#REF!&lt;&gt;"",#REF!&lt;&gt;0),#REF!/#REF!*100,"NA"),"")</f>
        <v/>
      </c>
      <c r="AF413" s="57" t="str">
        <f t="shared" si="55"/>
        <v/>
      </c>
      <c r="AG413" s="57" t="str">
        <f t="shared" si="56"/>
        <v/>
      </c>
      <c r="AH413" s="58" t="str">
        <f t="shared" si="57"/>
        <v/>
      </c>
      <c r="AV413" s="22" t="str">
        <f>IF(A413&lt;&gt;"",A413 &amp; "-" &amp;#REF! &amp; ROW(),"")</f>
        <v/>
      </c>
    </row>
    <row r="414" spans="11:48" x14ac:dyDescent="0.2">
      <c r="K414" s="11" t="str">
        <f>IF(AND(COUNTA(B414:C414)&gt;1,COUNTA(F414:G414)&gt;1,O414="Completed"),(G414-C414)/(C414-#REF!+1)%,"")</f>
        <v/>
      </c>
      <c r="L414" s="11" t="str">
        <f>IF(AND(COUNT(D414:E414)&gt;0,COUNTA(F414:G414)&gt;1,O414="Completed"),(G414-AG414)/(AG414-#REF!+1)%,"")</f>
        <v/>
      </c>
      <c r="M414" s="11" t="str">
        <f t="shared" si="52"/>
        <v/>
      </c>
      <c r="N414" s="11" t="str">
        <f t="shared" si="53"/>
        <v/>
      </c>
      <c r="O414" s="12"/>
      <c r="P414" s="12"/>
      <c r="R414" s="10" t="str">
        <f>IF(H414&lt;&gt;"",SUMIF(H$3:H414,"&lt;&gt;" &amp; "",H$3:H414),"")</f>
        <v/>
      </c>
      <c r="S414" s="10" t="str">
        <f t="array" ref="S414">IF(O414="Completed",SUMIF(W$3:W414,"&lt;&gt;" &amp; "",W$3:W414),"")</f>
        <v/>
      </c>
      <c r="T414" s="10" t="str">
        <f t="array" ref="T414">IF(AND(J414&lt;&gt;"",O414="Completed"),SUM(IF(O$3:O414="Completed",J$3:J414,0)),"")</f>
        <v/>
      </c>
      <c r="U414" s="10" t="str">
        <f t="shared" si="51"/>
        <v/>
      </c>
      <c r="V414" s="10">
        <f>ROW()</f>
        <v>414</v>
      </c>
      <c r="W414" s="10" t="str">
        <f t="shared" si="54"/>
        <v/>
      </c>
      <c r="Z414" s="10" t="str">
        <f>IF(A414&lt;&gt;"",'Metrics planning and tracking'!$K$4,"")</f>
        <v/>
      </c>
      <c r="AA414" s="10" t="str">
        <f>IF(A414&lt;&gt;"",'Metrics planning and tracking'!$K$5,"")</f>
        <v/>
      </c>
      <c r="AB414" s="10" t="str">
        <f>IF(A414&lt;&gt;"",'Metrics planning and tracking'!$K$2,"")</f>
        <v/>
      </c>
      <c r="AC414" s="10" t="str">
        <f>IF(A414&lt;&gt;"",'Metrics planning and tracking'!$K$3,"")</f>
        <v/>
      </c>
      <c r="AD414" s="10" t="str">
        <f>IF(A414&lt;&gt;"",IF(AND(#REF!&lt;&gt;"",#REF!&lt;&gt;"",#REF!&lt;&gt;0),#REF!/#REF!*100,"NA"),"")</f>
        <v/>
      </c>
      <c r="AE414" s="10" t="str">
        <f>IF(A414&lt;&gt;"",IF(AND(#REF!&lt;&gt;"",#REF!&lt;&gt;"",#REF!&lt;&gt;0),#REF!/#REF!*100,"NA"),"")</f>
        <v/>
      </c>
      <c r="AF414" s="57" t="str">
        <f t="shared" si="55"/>
        <v/>
      </c>
      <c r="AG414" s="57" t="str">
        <f t="shared" si="56"/>
        <v/>
      </c>
      <c r="AH414" s="58" t="str">
        <f t="shared" si="57"/>
        <v/>
      </c>
      <c r="AV414" s="22" t="str">
        <f>IF(A414&lt;&gt;"",A414 &amp; "-" &amp;#REF! &amp; ROW(),"")</f>
        <v/>
      </c>
    </row>
    <row r="415" spans="11:48" x14ac:dyDescent="0.2">
      <c r="K415" s="11" t="str">
        <f>IF(AND(COUNTA(B415:C415)&gt;1,COUNTA(F415:G415)&gt;1,O415="Completed"),(G415-C415)/(C415-#REF!+1)%,"")</f>
        <v/>
      </c>
      <c r="L415" s="11" t="str">
        <f>IF(AND(COUNT(D415:E415)&gt;0,COUNTA(F415:G415)&gt;1,O415="Completed"),(G415-AG415)/(AG415-#REF!+1)%,"")</f>
        <v/>
      </c>
      <c r="M415" s="11" t="str">
        <f t="shared" si="52"/>
        <v/>
      </c>
      <c r="N415" s="11" t="str">
        <f t="shared" si="53"/>
        <v/>
      </c>
      <c r="O415" s="12"/>
      <c r="P415" s="12"/>
      <c r="R415" s="10" t="str">
        <f>IF(H415&lt;&gt;"",SUMIF(H$3:H415,"&lt;&gt;" &amp; "",H$3:H415),"")</f>
        <v/>
      </c>
      <c r="S415" s="10" t="str">
        <f t="array" ref="S415">IF(O415="Completed",SUMIF(W$3:W415,"&lt;&gt;" &amp; "",W$3:W415),"")</f>
        <v/>
      </c>
      <c r="T415" s="10" t="str">
        <f t="array" ref="T415">IF(AND(J415&lt;&gt;"",O415="Completed"),SUM(IF(O$3:O415="Completed",J$3:J415,0)),"")</f>
        <v/>
      </c>
      <c r="U415" s="10" t="str">
        <f t="shared" si="51"/>
        <v/>
      </c>
      <c r="V415" s="10">
        <f>ROW()</f>
        <v>415</v>
      </c>
      <c r="W415" s="10" t="str">
        <f t="shared" si="54"/>
        <v/>
      </c>
      <c r="Z415" s="10" t="str">
        <f>IF(A415&lt;&gt;"",'Metrics planning and tracking'!$K$4,"")</f>
        <v/>
      </c>
      <c r="AA415" s="10" t="str">
        <f>IF(A415&lt;&gt;"",'Metrics planning and tracking'!$K$5,"")</f>
        <v/>
      </c>
      <c r="AB415" s="10" t="str">
        <f>IF(A415&lt;&gt;"",'Metrics planning and tracking'!$K$2,"")</f>
        <v/>
      </c>
      <c r="AC415" s="10" t="str">
        <f>IF(A415&lt;&gt;"",'Metrics planning and tracking'!$K$3,"")</f>
        <v/>
      </c>
      <c r="AD415" s="10" t="str">
        <f>IF(A415&lt;&gt;"",IF(AND(#REF!&lt;&gt;"",#REF!&lt;&gt;"",#REF!&lt;&gt;0),#REF!/#REF!*100,"NA"),"")</f>
        <v/>
      </c>
      <c r="AE415" s="10" t="str">
        <f>IF(A415&lt;&gt;"",IF(AND(#REF!&lt;&gt;"",#REF!&lt;&gt;"",#REF!&lt;&gt;0),#REF!/#REF!*100,"NA"),"")</f>
        <v/>
      </c>
      <c r="AF415" s="57" t="str">
        <f t="shared" si="55"/>
        <v/>
      </c>
      <c r="AG415" s="57" t="str">
        <f t="shared" si="56"/>
        <v/>
      </c>
      <c r="AH415" s="58" t="str">
        <f t="shared" si="57"/>
        <v/>
      </c>
      <c r="AV415" s="22" t="str">
        <f>IF(A415&lt;&gt;"",A415 &amp; "-" &amp;#REF! &amp; ROW(),"")</f>
        <v/>
      </c>
    </row>
    <row r="416" spans="11:48" x14ac:dyDescent="0.2">
      <c r="K416" s="11" t="str">
        <f>IF(AND(COUNTA(B416:C416)&gt;1,COUNTA(F416:G416)&gt;1,O416="Completed"),(G416-C416)/(C416-#REF!+1)%,"")</f>
        <v/>
      </c>
      <c r="L416" s="11" t="str">
        <f>IF(AND(COUNT(D416:E416)&gt;0,COUNTA(F416:G416)&gt;1,O416="Completed"),(G416-AG416)/(AG416-#REF!+1)%,"")</f>
        <v/>
      </c>
      <c r="M416" s="11" t="str">
        <f t="shared" si="52"/>
        <v/>
      </c>
      <c r="N416" s="11" t="str">
        <f t="shared" si="53"/>
        <v/>
      </c>
      <c r="O416" s="12"/>
      <c r="P416" s="12"/>
      <c r="R416" s="10" t="str">
        <f>IF(H416&lt;&gt;"",SUMIF(H$3:H416,"&lt;&gt;" &amp; "",H$3:H416),"")</f>
        <v/>
      </c>
      <c r="S416" s="10" t="str">
        <f t="array" ref="S416">IF(O416="Completed",SUMIF(W$3:W416,"&lt;&gt;" &amp; "",W$3:W416),"")</f>
        <v/>
      </c>
      <c r="T416" s="10" t="str">
        <f t="array" ref="T416">IF(AND(J416&lt;&gt;"",O416="Completed"),SUM(IF(O$3:O416="Completed",J$3:J416,0)),"")</f>
        <v/>
      </c>
      <c r="U416" s="10" t="str">
        <f t="shared" si="51"/>
        <v/>
      </c>
      <c r="V416" s="10">
        <f>ROW()</f>
        <v>416</v>
      </c>
      <c r="W416" s="10" t="str">
        <f t="shared" si="54"/>
        <v/>
      </c>
      <c r="Z416" s="10" t="str">
        <f>IF(A416&lt;&gt;"",'Metrics planning and tracking'!$K$4,"")</f>
        <v/>
      </c>
      <c r="AA416" s="10" t="str">
        <f>IF(A416&lt;&gt;"",'Metrics planning and tracking'!$K$5,"")</f>
        <v/>
      </c>
      <c r="AB416" s="10" t="str">
        <f>IF(A416&lt;&gt;"",'Metrics planning and tracking'!$K$2,"")</f>
        <v/>
      </c>
      <c r="AC416" s="10" t="str">
        <f>IF(A416&lt;&gt;"",'Metrics planning and tracking'!$K$3,"")</f>
        <v/>
      </c>
      <c r="AD416" s="10" t="str">
        <f>IF(A416&lt;&gt;"",IF(AND(#REF!&lt;&gt;"",#REF!&lt;&gt;"",#REF!&lt;&gt;0),#REF!/#REF!*100,"NA"),"")</f>
        <v/>
      </c>
      <c r="AE416" s="10" t="str">
        <f>IF(A416&lt;&gt;"",IF(AND(#REF!&lt;&gt;"",#REF!&lt;&gt;"",#REF!&lt;&gt;0),#REF!/#REF!*100,"NA"),"")</f>
        <v/>
      </c>
      <c r="AF416" s="57" t="str">
        <f t="shared" si="55"/>
        <v/>
      </c>
      <c r="AG416" s="57" t="str">
        <f t="shared" si="56"/>
        <v/>
      </c>
      <c r="AH416" s="58" t="str">
        <f t="shared" si="57"/>
        <v/>
      </c>
      <c r="AV416" s="22" t="str">
        <f>IF(A416&lt;&gt;"",A416 &amp; "-" &amp;#REF! &amp; ROW(),"")</f>
        <v/>
      </c>
    </row>
    <row r="417" spans="11:48" x14ac:dyDescent="0.2">
      <c r="K417" s="11" t="str">
        <f>IF(AND(COUNTA(B417:C417)&gt;1,COUNTA(F417:G417)&gt;1,O417="Completed"),(G417-C417)/(C417-#REF!+1)%,"")</f>
        <v/>
      </c>
      <c r="L417" s="11" t="str">
        <f>IF(AND(COUNT(D417:E417)&gt;0,COUNTA(F417:G417)&gt;1,O417="Completed"),(G417-AG417)/(AG417-#REF!+1)%,"")</f>
        <v/>
      </c>
      <c r="M417" s="11" t="str">
        <f t="shared" si="52"/>
        <v/>
      </c>
      <c r="N417" s="11" t="str">
        <f t="shared" si="53"/>
        <v/>
      </c>
      <c r="O417" s="12"/>
      <c r="P417" s="12"/>
      <c r="R417" s="10" t="str">
        <f>IF(H417&lt;&gt;"",SUMIF(H$3:H417,"&lt;&gt;" &amp; "",H$3:H417),"")</f>
        <v/>
      </c>
      <c r="S417" s="10" t="str">
        <f t="array" ref="S417">IF(O417="Completed",SUMIF(W$3:W417,"&lt;&gt;" &amp; "",W$3:W417),"")</f>
        <v/>
      </c>
      <c r="T417" s="10" t="str">
        <f t="array" ref="T417">IF(AND(J417&lt;&gt;"",O417="Completed"),SUM(IF(O$3:O417="Completed",J$3:J417,0)),"")</f>
        <v/>
      </c>
      <c r="U417" s="10" t="str">
        <f t="shared" si="51"/>
        <v/>
      </c>
      <c r="V417" s="10">
        <f>ROW()</f>
        <v>417</v>
      </c>
      <c r="W417" s="10" t="str">
        <f t="shared" si="54"/>
        <v/>
      </c>
      <c r="Z417" s="10" t="str">
        <f>IF(A417&lt;&gt;"",'Metrics planning and tracking'!$K$4,"")</f>
        <v/>
      </c>
      <c r="AA417" s="10" t="str">
        <f>IF(A417&lt;&gt;"",'Metrics planning and tracking'!$K$5,"")</f>
        <v/>
      </c>
      <c r="AB417" s="10" t="str">
        <f>IF(A417&lt;&gt;"",'Metrics planning and tracking'!$K$2,"")</f>
        <v/>
      </c>
      <c r="AC417" s="10" t="str">
        <f>IF(A417&lt;&gt;"",'Metrics planning and tracking'!$K$3,"")</f>
        <v/>
      </c>
      <c r="AD417" s="10" t="str">
        <f>IF(A417&lt;&gt;"",IF(AND(#REF!&lt;&gt;"",#REF!&lt;&gt;"",#REF!&lt;&gt;0),#REF!/#REF!*100,"NA"),"")</f>
        <v/>
      </c>
      <c r="AE417" s="10" t="str">
        <f>IF(A417&lt;&gt;"",IF(AND(#REF!&lt;&gt;"",#REF!&lt;&gt;"",#REF!&lt;&gt;0),#REF!/#REF!*100,"NA"),"")</f>
        <v/>
      </c>
      <c r="AF417" s="57" t="str">
        <f t="shared" si="55"/>
        <v/>
      </c>
      <c r="AG417" s="57" t="str">
        <f t="shared" si="56"/>
        <v/>
      </c>
      <c r="AH417" s="58" t="str">
        <f t="shared" si="57"/>
        <v/>
      </c>
      <c r="AV417" s="22" t="str">
        <f>IF(A417&lt;&gt;"",A417 &amp; "-" &amp;#REF! &amp; ROW(),"")</f>
        <v/>
      </c>
    </row>
    <row r="418" spans="11:48" x14ac:dyDescent="0.2">
      <c r="K418" s="11" t="str">
        <f>IF(AND(COUNTA(B418:C418)&gt;1,COUNTA(F418:G418)&gt;1,O418="Completed"),(G418-C418)/(C418-#REF!+1)%,"")</f>
        <v/>
      </c>
      <c r="L418" s="11" t="str">
        <f>IF(AND(COUNT(D418:E418)&gt;0,COUNTA(F418:G418)&gt;1,O418="Completed"),(G418-AG418)/(AG418-#REF!+1)%,"")</f>
        <v/>
      </c>
      <c r="M418" s="11" t="str">
        <f t="shared" si="52"/>
        <v/>
      </c>
      <c r="N418" s="11" t="str">
        <f t="shared" si="53"/>
        <v/>
      </c>
      <c r="O418" s="12"/>
      <c r="P418" s="12"/>
      <c r="R418" s="10" t="str">
        <f>IF(H418&lt;&gt;"",SUMIF(H$3:H418,"&lt;&gt;" &amp; "",H$3:H418),"")</f>
        <v/>
      </c>
      <c r="S418" s="10" t="str">
        <f t="array" ref="S418">IF(O418="Completed",SUMIF(W$3:W418,"&lt;&gt;" &amp; "",W$3:W418),"")</f>
        <v/>
      </c>
      <c r="T418" s="10" t="str">
        <f t="array" ref="T418">IF(AND(J418&lt;&gt;"",O418="Completed"),SUM(IF(O$3:O418="Completed",J$3:J418,0)),"")</f>
        <v/>
      </c>
      <c r="U418" s="10" t="str">
        <f t="shared" si="51"/>
        <v/>
      </c>
      <c r="V418" s="10">
        <f>ROW()</f>
        <v>418</v>
      </c>
      <c r="W418" s="10" t="str">
        <f t="shared" si="54"/>
        <v/>
      </c>
      <c r="Z418" s="10" t="str">
        <f>IF(A418&lt;&gt;"",'Metrics planning and tracking'!$K$4,"")</f>
        <v/>
      </c>
      <c r="AA418" s="10" t="str">
        <f>IF(A418&lt;&gt;"",'Metrics planning and tracking'!$K$5,"")</f>
        <v/>
      </c>
      <c r="AB418" s="10" t="str">
        <f>IF(A418&lt;&gt;"",'Metrics planning and tracking'!$K$2,"")</f>
        <v/>
      </c>
      <c r="AC418" s="10" t="str">
        <f>IF(A418&lt;&gt;"",'Metrics planning and tracking'!$K$3,"")</f>
        <v/>
      </c>
      <c r="AD418" s="10" t="str">
        <f>IF(A418&lt;&gt;"",IF(AND(#REF!&lt;&gt;"",#REF!&lt;&gt;"",#REF!&lt;&gt;0),#REF!/#REF!*100,"NA"),"")</f>
        <v/>
      </c>
      <c r="AE418" s="10" t="str">
        <f>IF(A418&lt;&gt;"",IF(AND(#REF!&lt;&gt;"",#REF!&lt;&gt;"",#REF!&lt;&gt;0),#REF!/#REF!*100,"NA"),"")</f>
        <v/>
      </c>
      <c r="AF418" s="57" t="str">
        <f t="shared" si="55"/>
        <v/>
      </c>
      <c r="AG418" s="57" t="str">
        <f t="shared" si="56"/>
        <v/>
      </c>
      <c r="AH418" s="58" t="str">
        <f t="shared" si="57"/>
        <v/>
      </c>
      <c r="AV418" s="22" t="str">
        <f>IF(A418&lt;&gt;"",A418 &amp; "-" &amp;#REF! &amp; ROW(),"")</f>
        <v/>
      </c>
    </row>
    <row r="419" spans="11:48" x14ac:dyDescent="0.2">
      <c r="K419" s="11" t="str">
        <f>IF(AND(COUNTA(B419:C419)&gt;1,COUNTA(F419:G419)&gt;1,O419="Completed"),(G419-C419)/(C419-#REF!+1)%,"")</f>
        <v/>
      </c>
      <c r="L419" s="11" t="str">
        <f>IF(AND(COUNT(D419:E419)&gt;0,COUNTA(F419:G419)&gt;1,O419="Completed"),(G419-AG419)/(AG419-#REF!+1)%,"")</f>
        <v/>
      </c>
      <c r="M419" s="11" t="str">
        <f t="shared" si="52"/>
        <v/>
      </c>
      <c r="N419" s="11" t="str">
        <f t="shared" si="53"/>
        <v/>
      </c>
      <c r="O419" s="12"/>
      <c r="P419" s="12"/>
      <c r="R419" s="10" t="str">
        <f>IF(H419&lt;&gt;"",SUMIF(H$3:H419,"&lt;&gt;" &amp; "",H$3:H419),"")</f>
        <v/>
      </c>
      <c r="S419" s="10" t="str">
        <f t="array" ref="S419">IF(O419="Completed",SUMIF(W$3:W419,"&lt;&gt;" &amp; "",W$3:W419),"")</f>
        <v/>
      </c>
      <c r="T419" s="10" t="str">
        <f t="array" ref="T419">IF(AND(J419&lt;&gt;"",O419="Completed"),SUM(IF(O$3:O419="Completed",J$3:J419,0)),"")</f>
        <v/>
      </c>
      <c r="U419" s="10" t="str">
        <f t="shared" si="51"/>
        <v/>
      </c>
      <c r="V419" s="10">
        <f>ROW()</f>
        <v>419</v>
      </c>
      <c r="W419" s="10" t="str">
        <f t="shared" si="54"/>
        <v/>
      </c>
      <c r="Z419" s="10" t="str">
        <f>IF(A419&lt;&gt;"",'Metrics planning and tracking'!$K$4,"")</f>
        <v/>
      </c>
      <c r="AA419" s="10" t="str">
        <f>IF(A419&lt;&gt;"",'Metrics planning and tracking'!$K$5,"")</f>
        <v/>
      </c>
      <c r="AB419" s="10" t="str">
        <f>IF(A419&lt;&gt;"",'Metrics planning and tracking'!$K$2,"")</f>
        <v/>
      </c>
      <c r="AC419" s="10" t="str">
        <f>IF(A419&lt;&gt;"",'Metrics planning and tracking'!$K$3,"")</f>
        <v/>
      </c>
      <c r="AD419" s="10" t="str">
        <f>IF(A419&lt;&gt;"",IF(AND(#REF!&lt;&gt;"",#REF!&lt;&gt;"",#REF!&lt;&gt;0),#REF!/#REF!*100,"NA"),"")</f>
        <v/>
      </c>
      <c r="AE419" s="10" t="str">
        <f>IF(A419&lt;&gt;"",IF(AND(#REF!&lt;&gt;"",#REF!&lt;&gt;"",#REF!&lt;&gt;0),#REF!/#REF!*100,"NA"),"")</f>
        <v/>
      </c>
      <c r="AF419" s="57" t="str">
        <f t="shared" si="55"/>
        <v/>
      </c>
      <c r="AG419" s="57" t="str">
        <f t="shared" si="56"/>
        <v/>
      </c>
      <c r="AH419" s="58" t="str">
        <f t="shared" si="57"/>
        <v/>
      </c>
      <c r="AV419" s="22" t="str">
        <f>IF(A419&lt;&gt;"",A419 &amp; "-" &amp;#REF! &amp; ROW(),"")</f>
        <v/>
      </c>
    </row>
    <row r="420" spans="11:48" x14ac:dyDescent="0.2">
      <c r="K420" s="11" t="str">
        <f>IF(AND(COUNTA(B420:C420)&gt;1,COUNTA(F420:G420)&gt;1,O420="Completed"),(G420-C420)/(C420-#REF!+1)%,"")</f>
        <v/>
      </c>
      <c r="L420" s="11" t="str">
        <f>IF(AND(COUNT(D420:E420)&gt;0,COUNTA(F420:G420)&gt;1,O420="Completed"),(G420-AG420)/(AG420-#REF!+1)%,"")</f>
        <v/>
      </c>
      <c r="M420" s="11" t="str">
        <f t="shared" si="52"/>
        <v/>
      </c>
      <c r="N420" s="11" t="str">
        <f t="shared" si="53"/>
        <v/>
      </c>
      <c r="O420" s="12"/>
      <c r="P420" s="12"/>
      <c r="R420" s="10" t="str">
        <f>IF(H420&lt;&gt;"",SUMIF(H$3:H420,"&lt;&gt;" &amp; "",H$3:H420),"")</f>
        <v/>
      </c>
      <c r="S420" s="10" t="str">
        <f t="array" ref="S420">IF(O420="Completed",SUMIF(W$3:W420,"&lt;&gt;" &amp; "",W$3:W420),"")</f>
        <v/>
      </c>
      <c r="T420" s="10" t="str">
        <f t="array" ref="T420">IF(AND(J420&lt;&gt;"",O420="Completed"),SUM(IF(O$3:O420="Completed",J$3:J420,0)),"")</f>
        <v/>
      </c>
      <c r="U420" s="10" t="str">
        <f t="shared" si="51"/>
        <v/>
      </c>
      <c r="V420" s="10">
        <f>ROW()</f>
        <v>420</v>
      </c>
      <c r="W420" s="10" t="str">
        <f t="shared" si="54"/>
        <v/>
      </c>
      <c r="Z420" s="10" t="str">
        <f>IF(A420&lt;&gt;"",'Metrics planning and tracking'!$K$4,"")</f>
        <v/>
      </c>
      <c r="AA420" s="10" t="str">
        <f>IF(A420&lt;&gt;"",'Metrics planning and tracking'!$K$5,"")</f>
        <v/>
      </c>
      <c r="AB420" s="10" t="str">
        <f>IF(A420&lt;&gt;"",'Metrics planning and tracking'!$K$2,"")</f>
        <v/>
      </c>
      <c r="AC420" s="10" t="str">
        <f>IF(A420&lt;&gt;"",'Metrics planning and tracking'!$K$3,"")</f>
        <v/>
      </c>
      <c r="AD420" s="10" t="str">
        <f>IF(A420&lt;&gt;"",IF(AND(#REF!&lt;&gt;"",#REF!&lt;&gt;"",#REF!&lt;&gt;0),#REF!/#REF!*100,"NA"),"")</f>
        <v/>
      </c>
      <c r="AE420" s="10" t="str">
        <f>IF(A420&lt;&gt;"",IF(AND(#REF!&lt;&gt;"",#REF!&lt;&gt;"",#REF!&lt;&gt;0),#REF!/#REF!*100,"NA"),"")</f>
        <v/>
      </c>
      <c r="AF420" s="57" t="str">
        <f t="shared" si="55"/>
        <v/>
      </c>
      <c r="AG420" s="57" t="str">
        <f t="shared" si="56"/>
        <v/>
      </c>
      <c r="AH420" s="58" t="str">
        <f t="shared" si="57"/>
        <v/>
      </c>
      <c r="AV420" s="22" t="str">
        <f>IF(A420&lt;&gt;"",A420 &amp; "-" &amp;#REF! &amp; ROW(),"")</f>
        <v/>
      </c>
    </row>
    <row r="421" spans="11:48" x14ac:dyDescent="0.2">
      <c r="K421" s="11" t="str">
        <f>IF(AND(COUNTA(B421:C421)&gt;1,COUNTA(F421:G421)&gt;1,O421="Completed"),(G421-C421)/(C421-#REF!+1)%,"")</f>
        <v/>
      </c>
      <c r="L421" s="11" t="str">
        <f>IF(AND(COUNT(D421:E421)&gt;0,COUNTA(F421:G421)&gt;1,O421="Completed"),(G421-AG421)/(AG421-#REF!+1)%,"")</f>
        <v/>
      </c>
      <c r="M421" s="11" t="str">
        <f t="shared" si="52"/>
        <v/>
      </c>
      <c r="N421" s="11" t="str">
        <f t="shared" si="53"/>
        <v/>
      </c>
      <c r="O421" s="12"/>
      <c r="P421" s="12"/>
      <c r="R421" s="10" t="str">
        <f>IF(H421&lt;&gt;"",SUMIF(H$3:H421,"&lt;&gt;" &amp; "",H$3:H421),"")</f>
        <v/>
      </c>
      <c r="S421" s="10" t="str">
        <f t="array" ref="S421">IF(O421="Completed",SUMIF(W$3:W421,"&lt;&gt;" &amp; "",W$3:W421),"")</f>
        <v/>
      </c>
      <c r="T421" s="10" t="str">
        <f t="array" ref="T421">IF(AND(J421&lt;&gt;"",O421="Completed"),SUM(IF(O$3:O421="Completed",J$3:J421,0)),"")</f>
        <v/>
      </c>
      <c r="U421" s="10" t="str">
        <f t="shared" si="51"/>
        <v/>
      </c>
      <c r="V421" s="10">
        <f>ROW()</f>
        <v>421</v>
      </c>
      <c r="W421" s="10" t="str">
        <f t="shared" si="54"/>
        <v/>
      </c>
      <c r="Z421" s="10" t="str">
        <f>IF(A421&lt;&gt;"",'Metrics planning and tracking'!$K$4,"")</f>
        <v/>
      </c>
      <c r="AA421" s="10" t="str">
        <f>IF(A421&lt;&gt;"",'Metrics planning and tracking'!$K$5,"")</f>
        <v/>
      </c>
      <c r="AB421" s="10" t="str">
        <f>IF(A421&lt;&gt;"",'Metrics planning and tracking'!$K$2,"")</f>
        <v/>
      </c>
      <c r="AC421" s="10" t="str">
        <f>IF(A421&lt;&gt;"",'Metrics planning and tracking'!$K$3,"")</f>
        <v/>
      </c>
      <c r="AD421" s="10" t="str">
        <f>IF(A421&lt;&gt;"",IF(AND(#REF!&lt;&gt;"",#REF!&lt;&gt;"",#REF!&lt;&gt;0),#REF!/#REF!*100,"NA"),"")</f>
        <v/>
      </c>
      <c r="AE421" s="10" t="str">
        <f>IF(A421&lt;&gt;"",IF(AND(#REF!&lt;&gt;"",#REF!&lt;&gt;"",#REF!&lt;&gt;0),#REF!/#REF!*100,"NA"),"")</f>
        <v/>
      </c>
      <c r="AF421" s="57" t="str">
        <f t="shared" si="55"/>
        <v/>
      </c>
      <c r="AG421" s="57" t="str">
        <f t="shared" si="56"/>
        <v/>
      </c>
      <c r="AH421" s="58" t="str">
        <f t="shared" si="57"/>
        <v/>
      </c>
      <c r="AV421" s="22" t="str">
        <f>IF(A421&lt;&gt;"",A421 &amp; "-" &amp;#REF! &amp; ROW(),"")</f>
        <v/>
      </c>
    </row>
    <row r="422" spans="11:48" x14ac:dyDescent="0.2">
      <c r="K422" s="11" t="str">
        <f>IF(AND(COUNTA(B422:C422)&gt;1,COUNTA(F422:G422)&gt;1,O422="Completed"),(G422-C422)/(C422-#REF!+1)%,"")</f>
        <v/>
      </c>
      <c r="L422" s="11" t="str">
        <f>IF(AND(COUNT(D422:E422)&gt;0,COUNTA(F422:G422)&gt;1,O422="Completed"),(G422-AG422)/(AG422-#REF!+1)%,"")</f>
        <v/>
      </c>
      <c r="M422" s="11" t="str">
        <f t="shared" si="52"/>
        <v/>
      </c>
      <c r="N422" s="11" t="str">
        <f t="shared" si="53"/>
        <v/>
      </c>
      <c r="O422" s="12"/>
      <c r="P422" s="12"/>
      <c r="R422" s="10" t="str">
        <f>IF(H422&lt;&gt;"",SUMIF(H$3:H422,"&lt;&gt;" &amp; "",H$3:H422),"")</f>
        <v/>
      </c>
      <c r="S422" s="10" t="str">
        <f t="array" ref="S422">IF(O422="Completed",SUMIF(W$3:W422,"&lt;&gt;" &amp; "",W$3:W422),"")</f>
        <v/>
      </c>
      <c r="T422" s="10" t="str">
        <f t="array" ref="T422">IF(AND(J422&lt;&gt;"",O422="Completed"),SUM(IF(O$3:O422="Completed",J$3:J422,0)),"")</f>
        <v/>
      </c>
      <c r="U422" s="10" t="str">
        <f t="shared" si="51"/>
        <v/>
      </c>
      <c r="V422" s="10">
        <f>ROW()</f>
        <v>422</v>
      </c>
      <c r="W422" s="10" t="str">
        <f t="shared" si="54"/>
        <v/>
      </c>
      <c r="Z422" s="10" t="str">
        <f>IF(A422&lt;&gt;"",'Metrics planning and tracking'!$K$4,"")</f>
        <v/>
      </c>
      <c r="AA422" s="10" t="str">
        <f>IF(A422&lt;&gt;"",'Metrics planning and tracking'!$K$5,"")</f>
        <v/>
      </c>
      <c r="AB422" s="10" t="str">
        <f>IF(A422&lt;&gt;"",'Metrics planning and tracking'!$K$2,"")</f>
        <v/>
      </c>
      <c r="AC422" s="10" t="str">
        <f>IF(A422&lt;&gt;"",'Metrics planning and tracking'!$K$3,"")</f>
        <v/>
      </c>
      <c r="AD422" s="10" t="str">
        <f>IF(A422&lt;&gt;"",IF(AND(#REF!&lt;&gt;"",#REF!&lt;&gt;"",#REF!&lt;&gt;0),#REF!/#REF!*100,"NA"),"")</f>
        <v/>
      </c>
      <c r="AE422" s="10" t="str">
        <f>IF(A422&lt;&gt;"",IF(AND(#REF!&lt;&gt;"",#REF!&lt;&gt;"",#REF!&lt;&gt;0),#REF!/#REF!*100,"NA"),"")</f>
        <v/>
      </c>
      <c r="AF422" s="57" t="str">
        <f t="shared" si="55"/>
        <v/>
      </c>
      <c r="AG422" s="57" t="str">
        <f t="shared" si="56"/>
        <v/>
      </c>
      <c r="AH422" s="58" t="str">
        <f t="shared" si="57"/>
        <v/>
      </c>
      <c r="AV422" s="22" t="str">
        <f>IF(A422&lt;&gt;"",A422 &amp; "-" &amp;#REF! &amp; ROW(),"")</f>
        <v/>
      </c>
    </row>
    <row r="423" spans="11:48" x14ac:dyDescent="0.2">
      <c r="K423" s="11" t="str">
        <f>IF(AND(COUNTA(B423:C423)&gt;1,COUNTA(F423:G423)&gt;1,O423="Completed"),(G423-C423)/(C423-#REF!+1)%,"")</f>
        <v/>
      </c>
      <c r="L423" s="11" t="str">
        <f>IF(AND(COUNT(D423:E423)&gt;0,COUNTA(F423:G423)&gt;1,O423="Completed"),(G423-AG423)/(AG423-#REF!+1)%,"")</f>
        <v/>
      </c>
      <c r="M423" s="11" t="str">
        <f t="shared" si="52"/>
        <v/>
      </c>
      <c r="N423" s="11" t="str">
        <f t="shared" si="53"/>
        <v/>
      </c>
      <c r="O423" s="12"/>
      <c r="P423" s="12"/>
      <c r="R423" s="10" t="str">
        <f>IF(H423&lt;&gt;"",SUMIF(H$3:H423,"&lt;&gt;" &amp; "",H$3:H423),"")</f>
        <v/>
      </c>
      <c r="S423" s="10" t="str">
        <f t="array" ref="S423">IF(O423="Completed",SUMIF(W$3:W423,"&lt;&gt;" &amp; "",W$3:W423),"")</f>
        <v/>
      </c>
      <c r="T423" s="10" t="str">
        <f t="array" ref="T423">IF(AND(J423&lt;&gt;"",O423="Completed"),SUM(IF(O$3:O423="Completed",J$3:J423,0)),"")</f>
        <v/>
      </c>
      <c r="U423" s="10" t="str">
        <f t="shared" si="51"/>
        <v/>
      </c>
      <c r="V423" s="10">
        <f>ROW()</f>
        <v>423</v>
      </c>
      <c r="W423" s="10" t="str">
        <f t="shared" si="54"/>
        <v/>
      </c>
      <c r="Z423" s="10" t="str">
        <f>IF(A423&lt;&gt;"",'Metrics planning and tracking'!$K$4,"")</f>
        <v/>
      </c>
      <c r="AA423" s="10" t="str">
        <f>IF(A423&lt;&gt;"",'Metrics planning and tracking'!$K$5,"")</f>
        <v/>
      </c>
      <c r="AB423" s="10" t="str">
        <f>IF(A423&lt;&gt;"",'Metrics planning and tracking'!$K$2,"")</f>
        <v/>
      </c>
      <c r="AC423" s="10" t="str">
        <f>IF(A423&lt;&gt;"",'Metrics planning and tracking'!$K$3,"")</f>
        <v/>
      </c>
      <c r="AD423" s="10" t="str">
        <f>IF(A423&lt;&gt;"",IF(AND(#REF!&lt;&gt;"",#REF!&lt;&gt;"",#REF!&lt;&gt;0),#REF!/#REF!*100,"NA"),"")</f>
        <v/>
      </c>
      <c r="AE423" s="10" t="str">
        <f>IF(A423&lt;&gt;"",IF(AND(#REF!&lt;&gt;"",#REF!&lt;&gt;"",#REF!&lt;&gt;0),#REF!/#REF!*100,"NA"),"")</f>
        <v/>
      </c>
      <c r="AF423" s="57" t="str">
        <f t="shared" si="55"/>
        <v/>
      </c>
      <c r="AG423" s="57" t="str">
        <f t="shared" si="56"/>
        <v/>
      </c>
      <c r="AH423" s="58" t="str">
        <f t="shared" si="57"/>
        <v/>
      </c>
      <c r="AV423" s="22" t="str">
        <f>IF(A423&lt;&gt;"",A423 &amp; "-" &amp;#REF! &amp; ROW(),"")</f>
        <v/>
      </c>
    </row>
    <row r="424" spans="11:48" x14ac:dyDescent="0.2">
      <c r="K424" s="11" t="str">
        <f>IF(AND(COUNTA(B424:C424)&gt;1,COUNTA(F424:G424)&gt;1,O424="Completed"),(G424-C424)/(C424-#REF!+1)%,"")</f>
        <v/>
      </c>
      <c r="L424" s="11" t="str">
        <f>IF(AND(COUNT(D424:E424)&gt;0,COUNTA(F424:G424)&gt;1,O424="Completed"),(G424-AG424)/(AG424-#REF!+1)%,"")</f>
        <v/>
      </c>
      <c r="M424" s="11" t="str">
        <f t="shared" si="52"/>
        <v/>
      </c>
      <c r="N424" s="11" t="str">
        <f t="shared" si="53"/>
        <v/>
      </c>
      <c r="O424" s="12"/>
      <c r="P424" s="12"/>
      <c r="R424" s="10" t="str">
        <f>IF(H424&lt;&gt;"",SUMIF(H$3:H424,"&lt;&gt;" &amp; "",H$3:H424),"")</f>
        <v/>
      </c>
      <c r="S424" s="10" t="str">
        <f t="array" ref="S424">IF(O424="Completed",SUMIF(W$3:W424,"&lt;&gt;" &amp; "",W$3:W424),"")</f>
        <v/>
      </c>
      <c r="T424" s="10" t="str">
        <f t="array" ref="T424">IF(AND(J424&lt;&gt;"",O424="Completed"),SUM(IF(O$3:O424="Completed",J$3:J424,0)),"")</f>
        <v/>
      </c>
      <c r="U424" s="10" t="str">
        <f t="shared" si="51"/>
        <v/>
      </c>
      <c r="V424" s="10">
        <f>ROW()</f>
        <v>424</v>
      </c>
      <c r="W424" s="10" t="str">
        <f t="shared" si="54"/>
        <v/>
      </c>
      <c r="Z424" s="10" t="str">
        <f>IF(A424&lt;&gt;"",'Metrics planning and tracking'!$K$4,"")</f>
        <v/>
      </c>
      <c r="AA424" s="10" t="str">
        <f>IF(A424&lt;&gt;"",'Metrics planning and tracking'!$K$5,"")</f>
        <v/>
      </c>
      <c r="AB424" s="10" t="str">
        <f>IF(A424&lt;&gt;"",'Metrics planning and tracking'!$K$2,"")</f>
        <v/>
      </c>
      <c r="AC424" s="10" t="str">
        <f>IF(A424&lt;&gt;"",'Metrics planning and tracking'!$K$3,"")</f>
        <v/>
      </c>
      <c r="AD424" s="10" t="str">
        <f>IF(A424&lt;&gt;"",IF(AND(#REF!&lt;&gt;"",#REF!&lt;&gt;"",#REF!&lt;&gt;0),#REF!/#REF!*100,"NA"),"")</f>
        <v/>
      </c>
      <c r="AE424" s="10" t="str">
        <f>IF(A424&lt;&gt;"",IF(AND(#REF!&lt;&gt;"",#REF!&lt;&gt;"",#REF!&lt;&gt;0),#REF!/#REF!*100,"NA"),"")</f>
        <v/>
      </c>
      <c r="AF424" s="57" t="str">
        <f t="shared" si="55"/>
        <v/>
      </c>
      <c r="AG424" s="57" t="str">
        <f t="shared" si="56"/>
        <v/>
      </c>
      <c r="AH424" s="58" t="str">
        <f t="shared" si="57"/>
        <v/>
      </c>
      <c r="AV424" s="22" t="str">
        <f>IF(A424&lt;&gt;"",A424 &amp; "-" &amp;#REF! &amp; ROW(),"")</f>
        <v/>
      </c>
    </row>
    <row r="425" spans="11:48" x14ac:dyDescent="0.2">
      <c r="K425" s="11" t="str">
        <f>IF(AND(COUNTA(B425:C425)&gt;1,COUNTA(F425:G425)&gt;1,O425="Completed"),(G425-C425)/(C425-#REF!+1)%,"")</f>
        <v/>
      </c>
      <c r="L425" s="11" t="str">
        <f>IF(AND(COUNT(D425:E425)&gt;0,COUNTA(F425:G425)&gt;1,O425="Completed"),(G425-AG425)/(AG425-#REF!+1)%,"")</f>
        <v/>
      </c>
      <c r="M425" s="11" t="str">
        <f t="shared" si="52"/>
        <v/>
      </c>
      <c r="N425" s="11" t="str">
        <f t="shared" si="53"/>
        <v/>
      </c>
      <c r="O425" s="12"/>
      <c r="P425" s="12"/>
      <c r="R425" s="10" t="str">
        <f>IF(H425&lt;&gt;"",SUMIF(H$3:H425,"&lt;&gt;" &amp; "",H$3:H425),"")</f>
        <v/>
      </c>
      <c r="S425" s="10" t="str">
        <f t="array" ref="S425">IF(O425="Completed",SUMIF(W$3:W425,"&lt;&gt;" &amp; "",W$3:W425),"")</f>
        <v/>
      </c>
      <c r="T425" s="10" t="str">
        <f t="array" ref="T425">IF(AND(J425&lt;&gt;"",O425="Completed"),SUM(IF(O$3:O425="Completed",J$3:J425,0)),"")</f>
        <v/>
      </c>
      <c r="U425" s="10" t="str">
        <f t="shared" si="51"/>
        <v/>
      </c>
      <c r="V425" s="10">
        <f>ROW()</f>
        <v>425</v>
      </c>
      <c r="W425" s="10" t="str">
        <f t="shared" si="54"/>
        <v/>
      </c>
      <c r="Z425" s="10" t="str">
        <f>IF(A425&lt;&gt;"",'Metrics planning and tracking'!$K$4,"")</f>
        <v/>
      </c>
      <c r="AA425" s="10" t="str">
        <f>IF(A425&lt;&gt;"",'Metrics planning and tracking'!$K$5,"")</f>
        <v/>
      </c>
      <c r="AB425" s="10" t="str">
        <f>IF(A425&lt;&gt;"",'Metrics planning and tracking'!$K$2,"")</f>
        <v/>
      </c>
      <c r="AC425" s="10" t="str">
        <f>IF(A425&lt;&gt;"",'Metrics planning and tracking'!$K$3,"")</f>
        <v/>
      </c>
      <c r="AD425" s="10" t="str">
        <f>IF(A425&lt;&gt;"",IF(AND(#REF!&lt;&gt;"",#REF!&lt;&gt;"",#REF!&lt;&gt;0),#REF!/#REF!*100,"NA"),"")</f>
        <v/>
      </c>
      <c r="AE425" s="10" t="str">
        <f>IF(A425&lt;&gt;"",IF(AND(#REF!&lt;&gt;"",#REF!&lt;&gt;"",#REF!&lt;&gt;0),#REF!/#REF!*100,"NA"),"")</f>
        <v/>
      </c>
      <c r="AF425" s="57" t="str">
        <f t="shared" si="55"/>
        <v/>
      </c>
      <c r="AG425" s="57" t="str">
        <f t="shared" si="56"/>
        <v/>
      </c>
      <c r="AH425" s="58" t="str">
        <f t="shared" si="57"/>
        <v/>
      </c>
      <c r="AV425" s="22" t="str">
        <f>IF(A425&lt;&gt;"",A425 &amp; "-" &amp;#REF! &amp; ROW(),"")</f>
        <v/>
      </c>
    </row>
    <row r="426" spans="11:48" x14ac:dyDescent="0.2">
      <c r="K426" s="11" t="str">
        <f>IF(AND(COUNTA(B426:C426)&gt;1,COUNTA(F426:G426)&gt;1,O426="Completed"),(G426-C426)/(C426-#REF!+1)%,"")</f>
        <v/>
      </c>
      <c r="L426" s="11" t="str">
        <f>IF(AND(COUNT(D426:E426)&gt;0,COUNTA(F426:G426)&gt;1,O426="Completed"),(G426-AG426)/(AG426-#REF!+1)%,"")</f>
        <v/>
      </c>
      <c r="M426" s="11" t="str">
        <f t="shared" si="52"/>
        <v/>
      </c>
      <c r="N426" s="11" t="str">
        <f t="shared" si="53"/>
        <v/>
      </c>
      <c r="O426" s="12"/>
      <c r="P426" s="12"/>
      <c r="R426" s="10" t="str">
        <f>IF(H426&lt;&gt;"",SUMIF(H$3:H426,"&lt;&gt;" &amp; "",H$3:H426),"")</f>
        <v/>
      </c>
      <c r="S426" s="10" t="str">
        <f t="array" ref="S426">IF(O426="Completed",SUMIF(W$3:W426,"&lt;&gt;" &amp; "",W$3:W426),"")</f>
        <v/>
      </c>
      <c r="T426" s="10" t="str">
        <f t="array" ref="T426">IF(AND(J426&lt;&gt;"",O426="Completed"),SUM(IF(O$3:O426="Completed",J$3:J426,0)),"")</f>
        <v/>
      </c>
      <c r="U426" s="10" t="str">
        <f t="shared" si="51"/>
        <v/>
      </c>
      <c r="V426" s="10">
        <f>ROW()</f>
        <v>426</v>
      </c>
      <c r="W426" s="10" t="str">
        <f t="shared" si="54"/>
        <v/>
      </c>
      <c r="Z426" s="10" t="str">
        <f>IF(A426&lt;&gt;"",'Metrics planning and tracking'!$K$4,"")</f>
        <v/>
      </c>
      <c r="AA426" s="10" t="str">
        <f>IF(A426&lt;&gt;"",'Metrics planning and tracking'!$K$5,"")</f>
        <v/>
      </c>
      <c r="AB426" s="10" t="str">
        <f>IF(A426&lt;&gt;"",'Metrics planning and tracking'!$K$2,"")</f>
        <v/>
      </c>
      <c r="AC426" s="10" t="str">
        <f>IF(A426&lt;&gt;"",'Metrics planning and tracking'!$K$3,"")</f>
        <v/>
      </c>
      <c r="AD426" s="10" t="str">
        <f>IF(A426&lt;&gt;"",IF(AND(#REF!&lt;&gt;"",#REF!&lt;&gt;"",#REF!&lt;&gt;0),#REF!/#REF!*100,"NA"),"")</f>
        <v/>
      </c>
      <c r="AE426" s="10" t="str">
        <f>IF(A426&lt;&gt;"",IF(AND(#REF!&lt;&gt;"",#REF!&lt;&gt;"",#REF!&lt;&gt;0),#REF!/#REF!*100,"NA"),"")</f>
        <v/>
      </c>
      <c r="AF426" s="57" t="str">
        <f t="shared" si="55"/>
        <v/>
      </c>
      <c r="AG426" s="57" t="str">
        <f t="shared" si="56"/>
        <v/>
      </c>
      <c r="AH426" s="58" t="str">
        <f t="shared" si="57"/>
        <v/>
      </c>
      <c r="AV426" s="22" t="str">
        <f>IF(A426&lt;&gt;"",A426 &amp; "-" &amp;#REF! &amp; ROW(),"")</f>
        <v/>
      </c>
    </row>
    <row r="427" spans="11:48" x14ac:dyDescent="0.2">
      <c r="K427" s="11" t="str">
        <f>IF(AND(COUNTA(B427:C427)&gt;1,COUNTA(F427:G427)&gt;1,O427="Completed"),(G427-C427)/(C427-#REF!+1)%,"")</f>
        <v/>
      </c>
      <c r="L427" s="11" t="str">
        <f>IF(AND(COUNT(D427:E427)&gt;0,COUNTA(F427:G427)&gt;1,O427="Completed"),(G427-AG427)/(AG427-#REF!+1)%,"")</f>
        <v/>
      </c>
      <c r="M427" s="11" t="str">
        <f t="shared" si="52"/>
        <v/>
      </c>
      <c r="N427" s="11" t="str">
        <f t="shared" si="53"/>
        <v/>
      </c>
      <c r="O427" s="12"/>
      <c r="P427" s="12"/>
      <c r="R427" s="10" t="str">
        <f>IF(H427&lt;&gt;"",SUMIF(H$3:H427,"&lt;&gt;" &amp; "",H$3:H427),"")</f>
        <v/>
      </c>
      <c r="S427" s="10" t="str">
        <f t="array" ref="S427">IF(O427="Completed",SUMIF(W$3:W427,"&lt;&gt;" &amp; "",W$3:W427),"")</f>
        <v/>
      </c>
      <c r="T427" s="10" t="str">
        <f t="array" ref="T427">IF(AND(J427&lt;&gt;"",O427="Completed"),SUM(IF(O$3:O427="Completed",J$3:J427,0)),"")</f>
        <v/>
      </c>
      <c r="U427" s="10" t="str">
        <f t="shared" si="51"/>
        <v/>
      </c>
      <c r="V427" s="10">
        <f>ROW()</f>
        <v>427</v>
      </c>
      <c r="W427" s="10" t="str">
        <f t="shared" si="54"/>
        <v/>
      </c>
      <c r="Z427" s="10" t="str">
        <f>IF(A427&lt;&gt;"",'Metrics planning and tracking'!$K$4,"")</f>
        <v/>
      </c>
      <c r="AA427" s="10" t="str">
        <f>IF(A427&lt;&gt;"",'Metrics planning and tracking'!$K$5,"")</f>
        <v/>
      </c>
      <c r="AB427" s="10" t="str">
        <f>IF(A427&lt;&gt;"",'Metrics planning and tracking'!$K$2,"")</f>
        <v/>
      </c>
      <c r="AC427" s="10" t="str">
        <f>IF(A427&lt;&gt;"",'Metrics planning and tracking'!$K$3,"")</f>
        <v/>
      </c>
      <c r="AD427" s="10" t="str">
        <f>IF(A427&lt;&gt;"",IF(AND(#REF!&lt;&gt;"",#REF!&lt;&gt;"",#REF!&lt;&gt;0),#REF!/#REF!*100,"NA"),"")</f>
        <v/>
      </c>
      <c r="AE427" s="10" t="str">
        <f>IF(A427&lt;&gt;"",IF(AND(#REF!&lt;&gt;"",#REF!&lt;&gt;"",#REF!&lt;&gt;0),#REF!/#REF!*100,"NA"),"")</f>
        <v/>
      </c>
      <c r="AF427" s="57" t="str">
        <f t="shared" si="55"/>
        <v/>
      </c>
      <c r="AG427" s="57" t="str">
        <f t="shared" si="56"/>
        <v/>
      </c>
      <c r="AH427" s="58" t="str">
        <f t="shared" si="57"/>
        <v/>
      </c>
      <c r="AV427" s="22" t="str">
        <f>IF(A427&lt;&gt;"",A427 &amp; "-" &amp;#REF! &amp; ROW(),"")</f>
        <v/>
      </c>
    </row>
    <row r="428" spans="11:48" x14ac:dyDescent="0.2">
      <c r="K428" s="11" t="str">
        <f>IF(AND(COUNTA(B428:C428)&gt;1,COUNTA(F428:G428)&gt;1,O428="Completed"),(G428-C428)/(C428-#REF!+1)%,"")</f>
        <v/>
      </c>
      <c r="L428" s="11" t="str">
        <f>IF(AND(COUNT(D428:E428)&gt;0,COUNTA(F428:G428)&gt;1,O428="Completed"),(G428-AG428)/(AG428-#REF!+1)%,"")</f>
        <v/>
      </c>
      <c r="M428" s="11" t="str">
        <f t="shared" si="52"/>
        <v/>
      </c>
      <c r="N428" s="11" t="str">
        <f t="shared" si="53"/>
        <v/>
      </c>
      <c r="O428" s="12"/>
      <c r="P428" s="12"/>
      <c r="R428" s="10" t="str">
        <f>IF(H428&lt;&gt;"",SUMIF(H$3:H428,"&lt;&gt;" &amp; "",H$3:H428),"")</f>
        <v/>
      </c>
      <c r="S428" s="10" t="str">
        <f t="array" ref="S428">IF(O428="Completed",SUMIF(W$3:W428,"&lt;&gt;" &amp; "",W$3:W428),"")</f>
        <v/>
      </c>
      <c r="T428" s="10" t="str">
        <f t="array" ref="T428">IF(AND(J428&lt;&gt;"",O428="Completed"),SUM(IF(O$3:O428="Completed",J$3:J428,0)),"")</f>
        <v/>
      </c>
      <c r="U428" s="10" t="str">
        <f t="shared" si="51"/>
        <v/>
      </c>
      <c r="V428" s="10">
        <f>ROW()</f>
        <v>428</v>
      </c>
      <c r="W428" s="10" t="str">
        <f t="shared" si="54"/>
        <v/>
      </c>
      <c r="Z428" s="10" t="str">
        <f>IF(A428&lt;&gt;"",'Metrics planning and tracking'!$K$4,"")</f>
        <v/>
      </c>
      <c r="AA428" s="10" t="str">
        <f>IF(A428&lt;&gt;"",'Metrics planning and tracking'!$K$5,"")</f>
        <v/>
      </c>
      <c r="AB428" s="10" t="str">
        <f>IF(A428&lt;&gt;"",'Metrics planning and tracking'!$K$2,"")</f>
        <v/>
      </c>
      <c r="AC428" s="10" t="str">
        <f>IF(A428&lt;&gt;"",'Metrics planning and tracking'!$K$3,"")</f>
        <v/>
      </c>
      <c r="AD428" s="10" t="str">
        <f>IF(A428&lt;&gt;"",IF(AND(#REF!&lt;&gt;"",#REF!&lt;&gt;"",#REF!&lt;&gt;0),#REF!/#REF!*100,"NA"),"")</f>
        <v/>
      </c>
      <c r="AE428" s="10" t="str">
        <f>IF(A428&lt;&gt;"",IF(AND(#REF!&lt;&gt;"",#REF!&lt;&gt;"",#REF!&lt;&gt;0),#REF!/#REF!*100,"NA"),"")</f>
        <v/>
      </c>
      <c r="AF428" s="57" t="str">
        <f t="shared" si="55"/>
        <v/>
      </c>
      <c r="AG428" s="57" t="str">
        <f t="shared" si="56"/>
        <v/>
      </c>
      <c r="AH428" s="58" t="str">
        <f t="shared" si="57"/>
        <v/>
      </c>
      <c r="AV428" s="22" t="str">
        <f>IF(A428&lt;&gt;"",A428 &amp; "-" &amp;#REF! &amp; ROW(),"")</f>
        <v/>
      </c>
    </row>
    <row r="429" spans="11:48" x14ac:dyDescent="0.2">
      <c r="K429" s="11" t="str">
        <f>IF(AND(COUNTA(B429:C429)&gt;1,COUNTA(F429:G429)&gt;1,O429="Completed"),(G429-C429)/(C429-#REF!+1)%,"")</f>
        <v/>
      </c>
      <c r="L429" s="11" t="str">
        <f>IF(AND(COUNT(D429:E429)&gt;0,COUNTA(F429:G429)&gt;1,O429="Completed"),(G429-AG429)/(AG429-#REF!+1)%,"")</f>
        <v/>
      </c>
      <c r="M429" s="11" t="str">
        <f t="shared" si="52"/>
        <v/>
      </c>
      <c r="N429" s="11" t="str">
        <f t="shared" si="53"/>
        <v/>
      </c>
      <c r="O429" s="12"/>
      <c r="P429" s="12"/>
      <c r="R429" s="10" t="str">
        <f>IF(H429&lt;&gt;"",SUMIF(H$3:H429,"&lt;&gt;" &amp; "",H$3:H429),"")</f>
        <v/>
      </c>
      <c r="S429" s="10" t="str">
        <f t="array" ref="S429">IF(O429="Completed",SUMIF(W$3:W429,"&lt;&gt;" &amp; "",W$3:W429),"")</f>
        <v/>
      </c>
      <c r="T429" s="10" t="str">
        <f t="array" ref="T429">IF(AND(J429&lt;&gt;"",O429="Completed"),SUM(IF(O$3:O429="Completed",J$3:J429,0)),"")</f>
        <v/>
      </c>
      <c r="U429" s="10" t="str">
        <f t="shared" si="51"/>
        <v/>
      </c>
      <c r="V429" s="10">
        <f>ROW()</f>
        <v>429</v>
      </c>
      <c r="W429" s="10" t="str">
        <f t="shared" si="54"/>
        <v/>
      </c>
      <c r="Z429" s="10" t="str">
        <f>IF(A429&lt;&gt;"",'Metrics planning and tracking'!$K$4,"")</f>
        <v/>
      </c>
      <c r="AA429" s="10" t="str">
        <f>IF(A429&lt;&gt;"",'Metrics planning and tracking'!$K$5,"")</f>
        <v/>
      </c>
      <c r="AB429" s="10" t="str">
        <f>IF(A429&lt;&gt;"",'Metrics planning and tracking'!$K$2,"")</f>
        <v/>
      </c>
      <c r="AC429" s="10" t="str">
        <f>IF(A429&lt;&gt;"",'Metrics planning and tracking'!$K$3,"")</f>
        <v/>
      </c>
      <c r="AD429" s="10" t="str">
        <f>IF(A429&lt;&gt;"",IF(AND(#REF!&lt;&gt;"",#REF!&lt;&gt;"",#REF!&lt;&gt;0),#REF!/#REF!*100,"NA"),"")</f>
        <v/>
      </c>
      <c r="AE429" s="10" t="str">
        <f>IF(A429&lt;&gt;"",IF(AND(#REF!&lt;&gt;"",#REF!&lt;&gt;"",#REF!&lt;&gt;0),#REF!/#REF!*100,"NA"),"")</f>
        <v/>
      </c>
      <c r="AF429" s="57" t="str">
        <f t="shared" si="55"/>
        <v/>
      </c>
      <c r="AG429" s="57" t="str">
        <f t="shared" si="56"/>
        <v/>
      </c>
      <c r="AH429" s="58" t="str">
        <f t="shared" si="57"/>
        <v/>
      </c>
      <c r="AV429" s="22" t="str">
        <f>IF(A429&lt;&gt;"",A429 &amp; "-" &amp;#REF! &amp; ROW(),"")</f>
        <v/>
      </c>
    </row>
    <row r="430" spans="11:48" x14ac:dyDescent="0.2">
      <c r="K430" s="11" t="str">
        <f>IF(AND(COUNTA(B430:C430)&gt;1,COUNTA(F430:G430)&gt;1,O430="Completed"),(G430-C430)/(C430-#REF!+1)%,"")</f>
        <v/>
      </c>
      <c r="L430" s="11" t="str">
        <f>IF(AND(COUNT(D430:E430)&gt;0,COUNTA(F430:G430)&gt;1,O430="Completed"),(G430-AG430)/(AG430-#REF!+1)%,"")</f>
        <v/>
      </c>
      <c r="M430" s="11" t="str">
        <f t="shared" si="52"/>
        <v/>
      </c>
      <c r="N430" s="11" t="str">
        <f t="shared" si="53"/>
        <v/>
      </c>
      <c r="O430" s="12"/>
      <c r="P430" s="12"/>
      <c r="R430" s="10" t="str">
        <f>IF(H430&lt;&gt;"",SUMIF(H$3:H430,"&lt;&gt;" &amp; "",H$3:H430),"")</f>
        <v/>
      </c>
      <c r="S430" s="10" t="str">
        <f t="array" ref="S430">IF(O430="Completed",SUMIF(W$3:W430,"&lt;&gt;" &amp; "",W$3:W430),"")</f>
        <v/>
      </c>
      <c r="T430" s="10" t="str">
        <f t="array" ref="T430">IF(AND(J430&lt;&gt;"",O430="Completed"),SUM(IF(O$3:O430="Completed",J$3:J430,0)),"")</f>
        <v/>
      </c>
      <c r="U430" s="10" t="str">
        <f t="shared" si="51"/>
        <v/>
      </c>
      <c r="V430" s="10">
        <f>ROW()</f>
        <v>430</v>
      </c>
      <c r="W430" s="10" t="str">
        <f t="shared" si="54"/>
        <v/>
      </c>
      <c r="Z430" s="10" t="str">
        <f>IF(A430&lt;&gt;"",'Metrics planning and tracking'!$K$4,"")</f>
        <v/>
      </c>
      <c r="AA430" s="10" t="str">
        <f>IF(A430&lt;&gt;"",'Metrics planning and tracking'!$K$5,"")</f>
        <v/>
      </c>
      <c r="AB430" s="10" t="str">
        <f>IF(A430&lt;&gt;"",'Metrics planning and tracking'!$K$2,"")</f>
        <v/>
      </c>
      <c r="AC430" s="10" t="str">
        <f>IF(A430&lt;&gt;"",'Metrics planning and tracking'!$K$3,"")</f>
        <v/>
      </c>
      <c r="AD430" s="10" t="str">
        <f>IF(A430&lt;&gt;"",IF(AND(#REF!&lt;&gt;"",#REF!&lt;&gt;"",#REF!&lt;&gt;0),#REF!/#REF!*100,"NA"),"")</f>
        <v/>
      </c>
      <c r="AE430" s="10" t="str">
        <f>IF(A430&lt;&gt;"",IF(AND(#REF!&lt;&gt;"",#REF!&lt;&gt;"",#REF!&lt;&gt;0),#REF!/#REF!*100,"NA"),"")</f>
        <v/>
      </c>
      <c r="AF430" s="57" t="str">
        <f t="shared" si="55"/>
        <v/>
      </c>
      <c r="AG430" s="57" t="str">
        <f t="shared" si="56"/>
        <v/>
      </c>
      <c r="AH430" s="58" t="str">
        <f t="shared" si="57"/>
        <v/>
      </c>
      <c r="AV430" s="22" t="str">
        <f>IF(A430&lt;&gt;"",A430 &amp; "-" &amp;#REF! &amp; ROW(),"")</f>
        <v/>
      </c>
    </row>
    <row r="431" spans="11:48" x14ac:dyDescent="0.2">
      <c r="K431" s="11" t="str">
        <f>IF(AND(COUNTA(B431:C431)&gt;1,COUNTA(F431:G431)&gt;1,O431="Completed"),(G431-C431)/(C431-#REF!+1)%,"")</f>
        <v/>
      </c>
      <c r="L431" s="11" t="str">
        <f>IF(AND(COUNT(D431:E431)&gt;0,COUNTA(F431:G431)&gt;1,O431="Completed"),(G431-AG431)/(AG431-#REF!+1)%,"")</f>
        <v/>
      </c>
      <c r="M431" s="11" t="str">
        <f t="shared" si="52"/>
        <v/>
      </c>
      <c r="N431" s="11" t="str">
        <f t="shared" si="53"/>
        <v/>
      </c>
      <c r="O431" s="12"/>
      <c r="P431" s="12"/>
      <c r="R431" s="10" t="str">
        <f>IF(H431&lt;&gt;"",SUMIF(H$3:H431,"&lt;&gt;" &amp; "",H$3:H431),"")</f>
        <v/>
      </c>
      <c r="S431" s="10" t="str">
        <f t="array" ref="S431">IF(O431="Completed",SUMIF(W$3:W431,"&lt;&gt;" &amp; "",W$3:W431),"")</f>
        <v/>
      </c>
      <c r="T431" s="10" t="str">
        <f t="array" ref="T431">IF(AND(J431&lt;&gt;"",O431="Completed"),SUM(IF(O$3:O431="Completed",J$3:J431,0)),"")</f>
        <v/>
      </c>
      <c r="U431" s="10" t="str">
        <f t="shared" si="51"/>
        <v/>
      </c>
      <c r="V431" s="10">
        <f>ROW()</f>
        <v>431</v>
      </c>
      <c r="W431" s="10" t="str">
        <f t="shared" si="54"/>
        <v/>
      </c>
      <c r="Z431" s="10" t="str">
        <f>IF(A431&lt;&gt;"",'Metrics planning and tracking'!$K$4,"")</f>
        <v/>
      </c>
      <c r="AA431" s="10" t="str">
        <f>IF(A431&lt;&gt;"",'Metrics planning and tracking'!$K$5,"")</f>
        <v/>
      </c>
      <c r="AB431" s="10" t="str">
        <f>IF(A431&lt;&gt;"",'Metrics planning and tracking'!$K$2,"")</f>
        <v/>
      </c>
      <c r="AC431" s="10" t="str">
        <f>IF(A431&lt;&gt;"",'Metrics planning and tracking'!$K$3,"")</f>
        <v/>
      </c>
      <c r="AD431" s="10" t="str">
        <f>IF(A431&lt;&gt;"",IF(AND(#REF!&lt;&gt;"",#REF!&lt;&gt;"",#REF!&lt;&gt;0),#REF!/#REF!*100,"NA"),"")</f>
        <v/>
      </c>
      <c r="AE431" s="10" t="str">
        <f>IF(A431&lt;&gt;"",IF(AND(#REF!&lt;&gt;"",#REF!&lt;&gt;"",#REF!&lt;&gt;0),#REF!/#REF!*100,"NA"),"")</f>
        <v/>
      </c>
      <c r="AF431" s="57" t="str">
        <f t="shared" si="55"/>
        <v/>
      </c>
      <c r="AG431" s="57" t="str">
        <f t="shared" si="56"/>
        <v/>
      </c>
      <c r="AH431" s="58" t="str">
        <f t="shared" si="57"/>
        <v/>
      </c>
      <c r="AV431" s="22" t="str">
        <f>IF(A431&lt;&gt;"",A431 &amp; "-" &amp;#REF! &amp; ROW(),"")</f>
        <v/>
      </c>
    </row>
    <row r="432" spans="11:48" x14ac:dyDescent="0.2">
      <c r="K432" s="11" t="str">
        <f>IF(AND(COUNTA(B432:C432)&gt;1,COUNTA(F432:G432)&gt;1,O432="Completed"),(G432-C432)/(C432-#REF!+1)%,"")</f>
        <v/>
      </c>
      <c r="L432" s="11" t="str">
        <f>IF(AND(COUNT(D432:E432)&gt;0,COUNTA(F432:G432)&gt;1,O432="Completed"),(G432-AG432)/(AG432-#REF!+1)%,"")</f>
        <v/>
      </c>
      <c r="M432" s="11" t="str">
        <f t="shared" si="52"/>
        <v/>
      </c>
      <c r="N432" s="11" t="str">
        <f t="shared" si="53"/>
        <v/>
      </c>
      <c r="O432" s="12"/>
      <c r="P432" s="12"/>
      <c r="R432" s="10" t="str">
        <f>IF(H432&lt;&gt;"",SUMIF(H$3:H432,"&lt;&gt;" &amp; "",H$3:H432),"")</f>
        <v/>
      </c>
      <c r="S432" s="10" t="str">
        <f t="array" ref="S432">IF(O432="Completed",SUMIF(W$3:W432,"&lt;&gt;" &amp; "",W$3:W432),"")</f>
        <v/>
      </c>
      <c r="T432" s="10" t="str">
        <f t="array" ref="T432">IF(AND(J432&lt;&gt;"",O432="Completed"),SUM(IF(O$3:O432="Completed",J$3:J432,0)),"")</f>
        <v/>
      </c>
      <c r="U432" s="10" t="str">
        <f t="shared" si="51"/>
        <v/>
      </c>
      <c r="V432" s="10">
        <f>ROW()</f>
        <v>432</v>
      </c>
      <c r="W432" s="10" t="str">
        <f t="shared" si="54"/>
        <v/>
      </c>
      <c r="Z432" s="10" t="str">
        <f>IF(A432&lt;&gt;"",'Metrics planning and tracking'!$K$4,"")</f>
        <v/>
      </c>
      <c r="AA432" s="10" t="str">
        <f>IF(A432&lt;&gt;"",'Metrics planning and tracking'!$K$5,"")</f>
        <v/>
      </c>
      <c r="AB432" s="10" t="str">
        <f>IF(A432&lt;&gt;"",'Metrics planning and tracking'!$K$2,"")</f>
        <v/>
      </c>
      <c r="AC432" s="10" t="str">
        <f>IF(A432&lt;&gt;"",'Metrics planning and tracking'!$K$3,"")</f>
        <v/>
      </c>
      <c r="AD432" s="10" t="str">
        <f>IF(A432&lt;&gt;"",IF(AND(#REF!&lt;&gt;"",#REF!&lt;&gt;"",#REF!&lt;&gt;0),#REF!/#REF!*100,"NA"),"")</f>
        <v/>
      </c>
      <c r="AE432" s="10" t="str">
        <f>IF(A432&lt;&gt;"",IF(AND(#REF!&lt;&gt;"",#REF!&lt;&gt;"",#REF!&lt;&gt;0),#REF!/#REF!*100,"NA"),"")</f>
        <v/>
      </c>
      <c r="AF432" s="57" t="str">
        <f t="shared" si="55"/>
        <v/>
      </c>
      <c r="AG432" s="57" t="str">
        <f t="shared" si="56"/>
        <v/>
      </c>
      <c r="AH432" s="58" t="str">
        <f t="shared" si="57"/>
        <v/>
      </c>
      <c r="AV432" s="22" t="str">
        <f>IF(A432&lt;&gt;"",A432 &amp; "-" &amp;#REF! &amp; ROW(),"")</f>
        <v/>
      </c>
    </row>
    <row r="433" spans="11:48" x14ac:dyDescent="0.2">
      <c r="K433" s="11" t="str">
        <f>IF(AND(COUNTA(B433:C433)&gt;1,COUNTA(F433:G433)&gt;1,O433="Completed"),(G433-C433)/(C433-#REF!+1)%,"")</f>
        <v/>
      </c>
      <c r="L433" s="11" t="str">
        <f>IF(AND(COUNT(D433:E433)&gt;0,COUNTA(F433:G433)&gt;1,O433="Completed"),(G433-AG433)/(AG433-#REF!+1)%,"")</f>
        <v/>
      </c>
      <c r="M433" s="11" t="str">
        <f t="shared" si="52"/>
        <v/>
      </c>
      <c r="N433" s="11" t="str">
        <f t="shared" si="53"/>
        <v/>
      </c>
      <c r="O433" s="12"/>
      <c r="P433" s="12"/>
      <c r="R433" s="10" t="str">
        <f>IF(H433&lt;&gt;"",SUMIF(H$3:H433,"&lt;&gt;" &amp; "",H$3:H433),"")</f>
        <v/>
      </c>
      <c r="S433" s="10" t="str">
        <f t="array" ref="S433">IF(O433="Completed",SUMIF(W$3:W433,"&lt;&gt;" &amp; "",W$3:W433),"")</f>
        <v/>
      </c>
      <c r="T433" s="10" t="str">
        <f t="array" ref="T433">IF(AND(J433&lt;&gt;"",O433="Completed"),SUM(IF(O$3:O433="Completed",J$3:J433,0)),"")</f>
        <v/>
      </c>
      <c r="U433" s="10" t="str">
        <f t="shared" si="51"/>
        <v/>
      </c>
      <c r="V433" s="10">
        <f>ROW()</f>
        <v>433</v>
      </c>
      <c r="W433" s="10" t="str">
        <f t="shared" si="54"/>
        <v/>
      </c>
      <c r="Z433" s="10" t="str">
        <f>IF(A433&lt;&gt;"",'Metrics planning and tracking'!$K$4,"")</f>
        <v/>
      </c>
      <c r="AA433" s="10" t="str">
        <f>IF(A433&lt;&gt;"",'Metrics planning and tracking'!$K$5,"")</f>
        <v/>
      </c>
      <c r="AB433" s="10" t="str">
        <f>IF(A433&lt;&gt;"",'Metrics planning and tracking'!$K$2,"")</f>
        <v/>
      </c>
      <c r="AC433" s="10" t="str">
        <f>IF(A433&lt;&gt;"",'Metrics planning and tracking'!$K$3,"")</f>
        <v/>
      </c>
      <c r="AD433" s="10" t="str">
        <f>IF(A433&lt;&gt;"",IF(AND(#REF!&lt;&gt;"",#REF!&lt;&gt;"",#REF!&lt;&gt;0),#REF!/#REF!*100,"NA"),"")</f>
        <v/>
      </c>
      <c r="AE433" s="10" t="str">
        <f>IF(A433&lt;&gt;"",IF(AND(#REF!&lt;&gt;"",#REF!&lt;&gt;"",#REF!&lt;&gt;0),#REF!/#REF!*100,"NA"),"")</f>
        <v/>
      </c>
      <c r="AF433" s="57" t="str">
        <f t="shared" si="55"/>
        <v/>
      </c>
      <c r="AG433" s="57" t="str">
        <f t="shared" si="56"/>
        <v/>
      </c>
      <c r="AH433" s="58" t="str">
        <f t="shared" si="57"/>
        <v/>
      </c>
      <c r="AV433" s="22" t="str">
        <f>IF(A433&lt;&gt;"",A433 &amp; "-" &amp;#REF! &amp; ROW(),"")</f>
        <v/>
      </c>
    </row>
    <row r="434" spans="11:48" x14ac:dyDescent="0.2">
      <c r="K434" s="11" t="str">
        <f>IF(AND(COUNTA(B434:C434)&gt;1,COUNTA(F434:G434)&gt;1,O434="Completed"),(G434-C434)/(C434-#REF!+1)%,"")</f>
        <v/>
      </c>
      <c r="L434" s="11" t="str">
        <f>IF(AND(COUNT(D434:E434)&gt;0,COUNTA(F434:G434)&gt;1,O434="Completed"),(G434-AG434)/(AG434-#REF!+1)%,"")</f>
        <v/>
      </c>
      <c r="M434" s="11" t="str">
        <f t="shared" si="52"/>
        <v/>
      </c>
      <c r="N434" s="11" t="str">
        <f t="shared" si="53"/>
        <v/>
      </c>
      <c r="O434" s="12"/>
      <c r="P434" s="12"/>
      <c r="R434" s="10" t="str">
        <f>IF(H434&lt;&gt;"",SUMIF(H$3:H434,"&lt;&gt;" &amp; "",H$3:H434),"")</f>
        <v/>
      </c>
      <c r="S434" s="10" t="str">
        <f t="array" ref="S434">IF(O434="Completed",SUMIF(W$3:W434,"&lt;&gt;" &amp; "",W$3:W434),"")</f>
        <v/>
      </c>
      <c r="T434" s="10" t="str">
        <f t="array" ref="T434">IF(AND(J434&lt;&gt;"",O434="Completed"),SUM(IF(O$3:O434="Completed",J$3:J434,0)),"")</f>
        <v/>
      </c>
      <c r="U434" s="10" t="str">
        <f t="shared" si="51"/>
        <v/>
      </c>
      <c r="V434" s="10">
        <f>ROW()</f>
        <v>434</v>
      </c>
      <c r="W434" s="10" t="str">
        <f t="shared" si="54"/>
        <v/>
      </c>
      <c r="Z434" s="10" t="str">
        <f>IF(A434&lt;&gt;"",'Metrics planning and tracking'!$K$4,"")</f>
        <v/>
      </c>
      <c r="AA434" s="10" t="str">
        <f>IF(A434&lt;&gt;"",'Metrics planning and tracking'!$K$5,"")</f>
        <v/>
      </c>
      <c r="AB434" s="10" t="str">
        <f>IF(A434&lt;&gt;"",'Metrics planning and tracking'!$K$2,"")</f>
        <v/>
      </c>
      <c r="AC434" s="10" t="str">
        <f>IF(A434&lt;&gt;"",'Metrics planning and tracking'!$K$3,"")</f>
        <v/>
      </c>
      <c r="AD434" s="10" t="str">
        <f>IF(A434&lt;&gt;"",IF(AND(#REF!&lt;&gt;"",#REF!&lt;&gt;"",#REF!&lt;&gt;0),#REF!/#REF!*100,"NA"),"")</f>
        <v/>
      </c>
      <c r="AE434" s="10" t="str">
        <f>IF(A434&lt;&gt;"",IF(AND(#REF!&lt;&gt;"",#REF!&lt;&gt;"",#REF!&lt;&gt;0),#REF!/#REF!*100,"NA"),"")</f>
        <v/>
      </c>
      <c r="AF434" s="57" t="str">
        <f t="shared" si="55"/>
        <v/>
      </c>
      <c r="AG434" s="57" t="str">
        <f t="shared" si="56"/>
        <v/>
      </c>
      <c r="AH434" s="58" t="str">
        <f t="shared" si="57"/>
        <v/>
      </c>
      <c r="AV434" s="22" t="str">
        <f>IF(A434&lt;&gt;"",A434 &amp; "-" &amp;#REF! &amp; ROW(),"")</f>
        <v/>
      </c>
    </row>
    <row r="435" spans="11:48" x14ac:dyDescent="0.2">
      <c r="K435" s="11" t="str">
        <f>IF(AND(COUNTA(B435:C435)&gt;1,COUNTA(F435:G435)&gt;1,O435="Completed"),(G435-C435)/(C435-#REF!+1)%,"")</f>
        <v/>
      </c>
      <c r="L435" s="11" t="str">
        <f>IF(AND(COUNT(D435:E435)&gt;0,COUNTA(F435:G435)&gt;1,O435="Completed"),(G435-AG435)/(AG435-#REF!+1)%,"")</f>
        <v/>
      </c>
      <c r="M435" s="11" t="str">
        <f t="shared" si="52"/>
        <v/>
      </c>
      <c r="N435" s="11" t="str">
        <f t="shared" si="53"/>
        <v/>
      </c>
      <c r="O435" s="12"/>
      <c r="P435" s="12"/>
      <c r="R435" s="10" t="str">
        <f>IF(H435&lt;&gt;"",SUMIF(H$3:H435,"&lt;&gt;" &amp; "",H$3:H435),"")</f>
        <v/>
      </c>
      <c r="S435" s="10" t="str">
        <f t="array" ref="S435">IF(O435="Completed",SUMIF(W$3:W435,"&lt;&gt;" &amp; "",W$3:W435),"")</f>
        <v/>
      </c>
      <c r="T435" s="10" t="str">
        <f t="array" ref="T435">IF(AND(J435&lt;&gt;"",O435="Completed"),SUM(IF(O$3:O435="Completed",J$3:J435,0)),"")</f>
        <v/>
      </c>
      <c r="U435" s="10" t="str">
        <f t="shared" si="51"/>
        <v/>
      </c>
      <c r="V435" s="10">
        <f>ROW()</f>
        <v>435</v>
      </c>
      <c r="W435" s="10" t="str">
        <f t="shared" si="54"/>
        <v/>
      </c>
      <c r="Z435" s="10" t="str">
        <f>IF(A435&lt;&gt;"",'Metrics planning and tracking'!$K$4,"")</f>
        <v/>
      </c>
      <c r="AA435" s="10" t="str">
        <f>IF(A435&lt;&gt;"",'Metrics planning and tracking'!$K$5,"")</f>
        <v/>
      </c>
      <c r="AB435" s="10" t="str">
        <f>IF(A435&lt;&gt;"",'Metrics planning and tracking'!$K$2,"")</f>
        <v/>
      </c>
      <c r="AC435" s="10" t="str">
        <f>IF(A435&lt;&gt;"",'Metrics planning and tracking'!$K$3,"")</f>
        <v/>
      </c>
      <c r="AD435" s="10" t="str">
        <f>IF(A435&lt;&gt;"",IF(AND(#REF!&lt;&gt;"",#REF!&lt;&gt;"",#REF!&lt;&gt;0),#REF!/#REF!*100,"NA"),"")</f>
        <v/>
      </c>
      <c r="AE435" s="10" t="str">
        <f>IF(A435&lt;&gt;"",IF(AND(#REF!&lt;&gt;"",#REF!&lt;&gt;"",#REF!&lt;&gt;0),#REF!/#REF!*100,"NA"),"")</f>
        <v/>
      </c>
      <c r="AF435" s="57" t="str">
        <f t="shared" si="55"/>
        <v/>
      </c>
      <c r="AG435" s="57" t="str">
        <f t="shared" si="56"/>
        <v/>
      </c>
      <c r="AH435" s="58" t="str">
        <f t="shared" si="57"/>
        <v/>
      </c>
      <c r="AV435" s="22" t="str">
        <f>IF(A435&lt;&gt;"",A435 &amp; "-" &amp;#REF! &amp; ROW(),"")</f>
        <v/>
      </c>
    </row>
    <row r="436" spans="11:48" x14ac:dyDescent="0.2">
      <c r="K436" s="11" t="str">
        <f>IF(AND(COUNTA(B436:C436)&gt;1,COUNTA(F436:G436)&gt;1,O436="Completed"),(G436-C436)/(C436-#REF!+1)%,"")</f>
        <v/>
      </c>
      <c r="L436" s="11" t="str">
        <f>IF(AND(COUNT(D436:E436)&gt;0,COUNTA(F436:G436)&gt;1,O436="Completed"),(G436-AG436)/(AG436-#REF!+1)%,"")</f>
        <v/>
      </c>
      <c r="M436" s="11" t="str">
        <f t="shared" si="52"/>
        <v/>
      </c>
      <c r="N436" s="11" t="str">
        <f t="shared" si="53"/>
        <v/>
      </c>
      <c r="O436" s="12"/>
      <c r="P436" s="12"/>
      <c r="R436" s="10" t="str">
        <f>IF(H436&lt;&gt;"",SUMIF(H$3:H436,"&lt;&gt;" &amp; "",H$3:H436),"")</f>
        <v/>
      </c>
      <c r="S436" s="10" t="str">
        <f t="array" ref="S436">IF(O436="Completed",SUMIF(W$3:W436,"&lt;&gt;" &amp; "",W$3:W436),"")</f>
        <v/>
      </c>
      <c r="T436" s="10" t="str">
        <f t="array" ref="T436">IF(AND(J436&lt;&gt;"",O436="Completed"),SUM(IF(O$3:O436="Completed",J$3:J436,0)),"")</f>
        <v/>
      </c>
      <c r="U436" s="10" t="str">
        <f t="shared" si="51"/>
        <v/>
      </c>
      <c r="V436" s="10">
        <f>ROW()</f>
        <v>436</v>
      </c>
      <c r="W436" s="10" t="str">
        <f t="shared" si="54"/>
        <v/>
      </c>
      <c r="Z436" s="10" t="str">
        <f>IF(A436&lt;&gt;"",'Metrics planning and tracking'!$K$4,"")</f>
        <v/>
      </c>
      <c r="AA436" s="10" t="str">
        <f>IF(A436&lt;&gt;"",'Metrics planning and tracking'!$K$5,"")</f>
        <v/>
      </c>
      <c r="AB436" s="10" t="str">
        <f>IF(A436&lt;&gt;"",'Metrics planning and tracking'!$K$2,"")</f>
        <v/>
      </c>
      <c r="AC436" s="10" t="str">
        <f>IF(A436&lt;&gt;"",'Metrics planning and tracking'!$K$3,"")</f>
        <v/>
      </c>
      <c r="AD436" s="10" t="str">
        <f>IF(A436&lt;&gt;"",IF(AND(#REF!&lt;&gt;"",#REF!&lt;&gt;"",#REF!&lt;&gt;0),#REF!/#REF!*100,"NA"),"")</f>
        <v/>
      </c>
      <c r="AE436" s="10" t="str">
        <f>IF(A436&lt;&gt;"",IF(AND(#REF!&lt;&gt;"",#REF!&lt;&gt;"",#REF!&lt;&gt;0),#REF!/#REF!*100,"NA"),"")</f>
        <v/>
      </c>
      <c r="AF436" s="57" t="str">
        <f t="shared" si="55"/>
        <v/>
      </c>
      <c r="AG436" s="57" t="str">
        <f t="shared" si="56"/>
        <v/>
      </c>
      <c r="AH436" s="58" t="str">
        <f t="shared" si="57"/>
        <v/>
      </c>
      <c r="AV436" s="22" t="str">
        <f>IF(A436&lt;&gt;"",A436 &amp; "-" &amp;#REF! &amp; ROW(),"")</f>
        <v/>
      </c>
    </row>
    <row r="437" spans="11:48" x14ac:dyDescent="0.2">
      <c r="K437" s="11" t="str">
        <f>IF(AND(COUNTA(B437:C437)&gt;1,COUNTA(F437:G437)&gt;1,O437="Completed"),(G437-C437)/(C437-#REF!+1)%,"")</f>
        <v/>
      </c>
      <c r="L437" s="11" t="str">
        <f>IF(AND(COUNT(D437:E437)&gt;0,COUNTA(F437:G437)&gt;1,O437="Completed"),(G437-AG437)/(AG437-#REF!+1)%,"")</f>
        <v/>
      </c>
      <c r="M437" s="11" t="str">
        <f t="shared" si="52"/>
        <v/>
      </c>
      <c r="N437" s="11" t="str">
        <f t="shared" si="53"/>
        <v/>
      </c>
      <c r="O437" s="12"/>
      <c r="P437" s="12"/>
      <c r="R437" s="10" t="str">
        <f>IF(H437&lt;&gt;"",SUMIF(H$3:H437,"&lt;&gt;" &amp; "",H$3:H437),"")</f>
        <v/>
      </c>
      <c r="S437" s="10" t="str">
        <f t="array" ref="S437">IF(O437="Completed",SUMIF(W$3:W437,"&lt;&gt;" &amp; "",W$3:W437),"")</f>
        <v/>
      </c>
      <c r="T437" s="10" t="str">
        <f t="array" ref="T437">IF(AND(J437&lt;&gt;"",O437="Completed"),SUM(IF(O$3:O437="Completed",J$3:J437,0)),"")</f>
        <v/>
      </c>
      <c r="U437" s="10" t="str">
        <f t="shared" si="51"/>
        <v/>
      </c>
      <c r="V437" s="10">
        <f>ROW()</f>
        <v>437</v>
      </c>
      <c r="W437" s="10" t="str">
        <f t="shared" si="54"/>
        <v/>
      </c>
      <c r="Z437" s="10" t="str">
        <f>IF(A437&lt;&gt;"",'Metrics planning and tracking'!$K$4,"")</f>
        <v/>
      </c>
      <c r="AA437" s="10" t="str">
        <f>IF(A437&lt;&gt;"",'Metrics planning and tracking'!$K$5,"")</f>
        <v/>
      </c>
      <c r="AB437" s="10" t="str">
        <f>IF(A437&lt;&gt;"",'Metrics planning and tracking'!$K$2,"")</f>
        <v/>
      </c>
      <c r="AC437" s="10" t="str">
        <f>IF(A437&lt;&gt;"",'Metrics planning and tracking'!$K$3,"")</f>
        <v/>
      </c>
      <c r="AD437" s="10" t="str">
        <f>IF(A437&lt;&gt;"",IF(AND(#REF!&lt;&gt;"",#REF!&lt;&gt;"",#REF!&lt;&gt;0),#REF!/#REF!*100,"NA"),"")</f>
        <v/>
      </c>
      <c r="AE437" s="10" t="str">
        <f>IF(A437&lt;&gt;"",IF(AND(#REF!&lt;&gt;"",#REF!&lt;&gt;"",#REF!&lt;&gt;0),#REF!/#REF!*100,"NA"),"")</f>
        <v/>
      </c>
      <c r="AF437" s="57" t="str">
        <f t="shared" si="55"/>
        <v/>
      </c>
      <c r="AG437" s="57" t="str">
        <f t="shared" si="56"/>
        <v/>
      </c>
      <c r="AH437" s="58" t="str">
        <f t="shared" si="57"/>
        <v/>
      </c>
      <c r="AV437" s="22" t="str">
        <f>IF(A437&lt;&gt;"",A437 &amp; "-" &amp;#REF! &amp; ROW(),"")</f>
        <v/>
      </c>
    </row>
    <row r="438" spans="11:48" x14ac:dyDescent="0.2">
      <c r="K438" s="11" t="str">
        <f>IF(AND(COUNTA(B438:C438)&gt;1,COUNTA(F438:G438)&gt;1,O438="Completed"),(G438-C438)/(C438-#REF!+1)%,"")</f>
        <v/>
      </c>
      <c r="L438" s="11" t="str">
        <f>IF(AND(COUNT(D438:E438)&gt;0,COUNTA(F438:G438)&gt;1,O438="Completed"),(G438-AG438)/(AG438-#REF!+1)%,"")</f>
        <v/>
      </c>
      <c r="M438" s="11" t="str">
        <f t="shared" si="52"/>
        <v/>
      </c>
      <c r="N438" s="11" t="str">
        <f t="shared" si="53"/>
        <v/>
      </c>
      <c r="O438" s="12"/>
      <c r="P438" s="12"/>
      <c r="R438" s="10" t="str">
        <f>IF(H438&lt;&gt;"",SUMIF(H$3:H438,"&lt;&gt;" &amp; "",H$3:H438),"")</f>
        <v/>
      </c>
      <c r="S438" s="10" t="str">
        <f t="array" ref="S438">IF(O438="Completed",SUMIF(W$3:W438,"&lt;&gt;" &amp; "",W$3:W438),"")</f>
        <v/>
      </c>
      <c r="T438" s="10" t="str">
        <f t="array" ref="T438">IF(AND(J438&lt;&gt;"",O438="Completed"),SUM(IF(O$3:O438="Completed",J$3:J438,0)),"")</f>
        <v/>
      </c>
      <c r="U438" s="10" t="str">
        <f t="shared" si="51"/>
        <v/>
      </c>
      <c r="V438" s="10">
        <f>ROW()</f>
        <v>438</v>
      </c>
      <c r="W438" s="10" t="str">
        <f t="shared" si="54"/>
        <v/>
      </c>
      <c r="Z438" s="10" t="str">
        <f>IF(A438&lt;&gt;"",'Metrics planning and tracking'!$K$4,"")</f>
        <v/>
      </c>
      <c r="AA438" s="10" t="str">
        <f>IF(A438&lt;&gt;"",'Metrics planning and tracking'!$K$5,"")</f>
        <v/>
      </c>
      <c r="AB438" s="10" t="str">
        <f>IF(A438&lt;&gt;"",'Metrics planning and tracking'!$K$2,"")</f>
        <v/>
      </c>
      <c r="AC438" s="10" t="str">
        <f>IF(A438&lt;&gt;"",'Metrics planning and tracking'!$K$3,"")</f>
        <v/>
      </c>
      <c r="AD438" s="10" t="str">
        <f>IF(A438&lt;&gt;"",IF(AND(#REF!&lt;&gt;"",#REF!&lt;&gt;"",#REF!&lt;&gt;0),#REF!/#REF!*100,"NA"),"")</f>
        <v/>
      </c>
      <c r="AE438" s="10" t="str">
        <f>IF(A438&lt;&gt;"",IF(AND(#REF!&lt;&gt;"",#REF!&lt;&gt;"",#REF!&lt;&gt;0),#REF!/#REF!*100,"NA"),"")</f>
        <v/>
      </c>
      <c r="AF438" s="57" t="str">
        <f t="shared" si="55"/>
        <v/>
      </c>
      <c r="AG438" s="57" t="str">
        <f t="shared" si="56"/>
        <v/>
      </c>
      <c r="AH438" s="58" t="str">
        <f t="shared" si="57"/>
        <v/>
      </c>
      <c r="AV438" s="22" t="str">
        <f>IF(A438&lt;&gt;"",A438 &amp; "-" &amp;#REF! &amp; ROW(),"")</f>
        <v/>
      </c>
    </row>
    <row r="439" spans="11:48" x14ac:dyDescent="0.2">
      <c r="K439" s="11" t="str">
        <f>IF(AND(COUNTA(B439:C439)&gt;1,COUNTA(F439:G439)&gt;1,O439="Completed"),(G439-C439)/(C439-#REF!+1)%,"")</f>
        <v/>
      </c>
      <c r="L439" s="11" t="str">
        <f>IF(AND(COUNT(D439:E439)&gt;0,COUNTA(F439:G439)&gt;1,O439="Completed"),(G439-AG439)/(AG439-#REF!+1)%,"")</f>
        <v/>
      </c>
      <c r="M439" s="11" t="str">
        <f t="shared" si="52"/>
        <v/>
      </c>
      <c r="N439" s="11" t="str">
        <f t="shared" si="53"/>
        <v/>
      </c>
      <c r="O439" s="12"/>
      <c r="P439" s="12"/>
      <c r="R439" s="10" t="str">
        <f>IF(H439&lt;&gt;"",SUMIF(H$3:H439,"&lt;&gt;" &amp; "",H$3:H439),"")</f>
        <v/>
      </c>
      <c r="S439" s="10" t="str">
        <f t="array" ref="S439">IF(O439="Completed",SUMIF(W$3:W439,"&lt;&gt;" &amp; "",W$3:W439),"")</f>
        <v/>
      </c>
      <c r="T439" s="10" t="str">
        <f t="array" ref="T439">IF(AND(J439&lt;&gt;"",O439="Completed"),SUM(IF(O$3:O439="Completed",J$3:J439,0)),"")</f>
        <v/>
      </c>
      <c r="U439" s="10" t="str">
        <f t="shared" si="51"/>
        <v/>
      </c>
      <c r="V439" s="10">
        <f>ROW()</f>
        <v>439</v>
      </c>
      <c r="W439" s="10" t="str">
        <f t="shared" si="54"/>
        <v/>
      </c>
      <c r="Z439" s="10" t="str">
        <f>IF(A439&lt;&gt;"",'Metrics planning and tracking'!$K$4,"")</f>
        <v/>
      </c>
      <c r="AA439" s="10" t="str">
        <f>IF(A439&lt;&gt;"",'Metrics planning and tracking'!$K$5,"")</f>
        <v/>
      </c>
      <c r="AB439" s="10" t="str">
        <f>IF(A439&lt;&gt;"",'Metrics planning and tracking'!$K$2,"")</f>
        <v/>
      </c>
      <c r="AC439" s="10" t="str">
        <f>IF(A439&lt;&gt;"",'Metrics planning and tracking'!$K$3,"")</f>
        <v/>
      </c>
      <c r="AD439" s="10" t="str">
        <f>IF(A439&lt;&gt;"",IF(AND(#REF!&lt;&gt;"",#REF!&lt;&gt;"",#REF!&lt;&gt;0),#REF!/#REF!*100,"NA"),"")</f>
        <v/>
      </c>
      <c r="AE439" s="10" t="str">
        <f>IF(A439&lt;&gt;"",IF(AND(#REF!&lt;&gt;"",#REF!&lt;&gt;"",#REF!&lt;&gt;0),#REF!/#REF!*100,"NA"),"")</f>
        <v/>
      </c>
      <c r="AF439" s="57" t="str">
        <f t="shared" si="55"/>
        <v/>
      </c>
      <c r="AG439" s="57" t="str">
        <f t="shared" si="56"/>
        <v/>
      </c>
      <c r="AH439" s="58" t="str">
        <f t="shared" si="57"/>
        <v/>
      </c>
      <c r="AV439" s="22" t="str">
        <f>IF(A439&lt;&gt;"",A439 &amp; "-" &amp;#REF! &amp; ROW(),"")</f>
        <v/>
      </c>
    </row>
    <row r="440" spans="11:48" x14ac:dyDescent="0.2">
      <c r="K440" s="11" t="str">
        <f>IF(AND(COUNTA(B440:C440)&gt;1,COUNTA(F440:G440)&gt;1,O440="Completed"),(G440-C440)/(C440-#REF!+1)%,"")</f>
        <v/>
      </c>
      <c r="L440" s="11" t="str">
        <f>IF(AND(COUNT(D440:E440)&gt;0,COUNTA(F440:G440)&gt;1,O440="Completed"),(G440-AG440)/(AG440-#REF!+1)%,"")</f>
        <v/>
      </c>
      <c r="M440" s="11" t="str">
        <f t="shared" si="52"/>
        <v/>
      </c>
      <c r="N440" s="11" t="str">
        <f t="shared" si="53"/>
        <v/>
      </c>
      <c r="O440" s="12"/>
      <c r="P440" s="12"/>
      <c r="R440" s="10" t="str">
        <f>IF(H440&lt;&gt;"",SUMIF(H$3:H440,"&lt;&gt;" &amp; "",H$3:H440),"")</f>
        <v/>
      </c>
      <c r="S440" s="10" t="str">
        <f t="array" ref="S440">IF(O440="Completed",SUMIF(W$3:W440,"&lt;&gt;" &amp; "",W$3:W440),"")</f>
        <v/>
      </c>
      <c r="T440" s="10" t="str">
        <f t="array" ref="T440">IF(AND(J440&lt;&gt;"",O440="Completed"),SUM(IF(O$3:O440="Completed",J$3:J440,0)),"")</f>
        <v/>
      </c>
      <c r="U440" s="10" t="str">
        <f t="shared" si="51"/>
        <v/>
      </c>
      <c r="V440" s="10">
        <f>ROW()</f>
        <v>440</v>
      </c>
      <c r="W440" s="10" t="str">
        <f t="shared" si="54"/>
        <v/>
      </c>
      <c r="Z440" s="10" t="str">
        <f>IF(A440&lt;&gt;"",'Metrics planning and tracking'!$K$4,"")</f>
        <v/>
      </c>
      <c r="AA440" s="10" t="str">
        <f>IF(A440&lt;&gt;"",'Metrics planning and tracking'!$K$5,"")</f>
        <v/>
      </c>
      <c r="AB440" s="10" t="str">
        <f>IF(A440&lt;&gt;"",'Metrics planning and tracking'!$K$2,"")</f>
        <v/>
      </c>
      <c r="AC440" s="10" t="str">
        <f>IF(A440&lt;&gt;"",'Metrics planning and tracking'!$K$3,"")</f>
        <v/>
      </c>
      <c r="AD440" s="10" t="str">
        <f>IF(A440&lt;&gt;"",IF(AND(#REF!&lt;&gt;"",#REF!&lt;&gt;"",#REF!&lt;&gt;0),#REF!/#REF!*100,"NA"),"")</f>
        <v/>
      </c>
      <c r="AE440" s="10" t="str">
        <f>IF(A440&lt;&gt;"",IF(AND(#REF!&lt;&gt;"",#REF!&lt;&gt;"",#REF!&lt;&gt;0),#REF!/#REF!*100,"NA"),"")</f>
        <v/>
      </c>
      <c r="AF440" s="57" t="str">
        <f t="shared" si="55"/>
        <v/>
      </c>
      <c r="AG440" s="57" t="str">
        <f t="shared" si="56"/>
        <v/>
      </c>
      <c r="AH440" s="58" t="str">
        <f t="shared" si="57"/>
        <v/>
      </c>
      <c r="AV440" s="22" t="str">
        <f>IF(A440&lt;&gt;"",A440 &amp; "-" &amp;#REF! &amp; ROW(),"")</f>
        <v/>
      </c>
    </row>
    <row r="441" spans="11:48" x14ac:dyDescent="0.2">
      <c r="K441" s="11" t="str">
        <f>IF(AND(COUNTA(B441:C441)&gt;1,COUNTA(F441:G441)&gt;1,O441="Completed"),(G441-C441)/(C441-#REF!+1)%,"")</f>
        <v/>
      </c>
      <c r="L441" s="11" t="str">
        <f>IF(AND(COUNT(D441:E441)&gt;0,COUNTA(F441:G441)&gt;1,O441="Completed"),(G441-AG441)/(AG441-#REF!+1)%,"")</f>
        <v/>
      </c>
      <c r="M441" s="11" t="str">
        <f t="shared" si="52"/>
        <v/>
      </c>
      <c r="N441" s="11" t="str">
        <f t="shared" si="53"/>
        <v/>
      </c>
      <c r="O441" s="12"/>
      <c r="P441" s="12"/>
      <c r="R441" s="10" t="str">
        <f>IF(H441&lt;&gt;"",SUMIF(H$3:H441,"&lt;&gt;" &amp; "",H$3:H441),"")</f>
        <v/>
      </c>
      <c r="S441" s="10" t="str">
        <f t="array" ref="S441">IF(O441="Completed",SUMIF(W$3:W441,"&lt;&gt;" &amp; "",W$3:W441),"")</f>
        <v/>
      </c>
      <c r="T441" s="10" t="str">
        <f t="array" ref="T441">IF(AND(J441&lt;&gt;"",O441="Completed"),SUM(IF(O$3:O441="Completed",J$3:J441,0)),"")</f>
        <v/>
      </c>
      <c r="U441" s="10" t="str">
        <f t="shared" si="51"/>
        <v/>
      </c>
      <c r="V441" s="10">
        <f>ROW()</f>
        <v>441</v>
      </c>
      <c r="W441" s="10" t="str">
        <f t="shared" si="54"/>
        <v/>
      </c>
      <c r="Z441" s="10" t="str">
        <f>IF(A441&lt;&gt;"",'Metrics planning and tracking'!$K$4,"")</f>
        <v/>
      </c>
      <c r="AA441" s="10" t="str">
        <f>IF(A441&lt;&gt;"",'Metrics planning and tracking'!$K$5,"")</f>
        <v/>
      </c>
      <c r="AB441" s="10" t="str">
        <f>IF(A441&lt;&gt;"",'Metrics planning and tracking'!$K$2,"")</f>
        <v/>
      </c>
      <c r="AC441" s="10" t="str">
        <f>IF(A441&lt;&gt;"",'Metrics planning and tracking'!$K$3,"")</f>
        <v/>
      </c>
      <c r="AD441" s="10" t="str">
        <f>IF(A441&lt;&gt;"",IF(AND(#REF!&lt;&gt;"",#REF!&lt;&gt;"",#REF!&lt;&gt;0),#REF!/#REF!*100,"NA"),"")</f>
        <v/>
      </c>
      <c r="AE441" s="10" t="str">
        <f>IF(A441&lt;&gt;"",IF(AND(#REF!&lt;&gt;"",#REF!&lt;&gt;"",#REF!&lt;&gt;0),#REF!/#REF!*100,"NA"),"")</f>
        <v/>
      </c>
      <c r="AF441" s="57" t="str">
        <f t="shared" si="55"/>
        <v/>
      </c>
      <c r="AG441" s="57" t="str">
        <f t="shared" si="56"/>
        <v/>
      </c>
      <c r="AH441" s="58" t="str">
        <f t="shared" si="57"/>
        <v/>
      </c>
      <c r="AV441" s="22" t="str">
        <f>IF(A441&lt;&gt;"",A441 &amp; "-" &amp;#REF! &amp; ROW(),"")</f>
        <v/>
      </c>
    </row>
    <row r="442" spans="11:48" x14ac:dyDescent="0.2">
      <c r="K442" s="11" t="str">
        <f>IF(AND(COUNTA(B442:C442)&gt;1,COUNTA(F442:G442)&gt;1,O442="Completed"),(G442-C442)/(C442-#REF!+1)%,"")</f>
        <v/>
      </c>
      <c r="L442" s="11" t="str">
        <f>IF(AND(COUNT(D442:E442)&gt;0,COUNTA(F442:G442)&gt;1,O442="Completed"),(G442-AG442)/(AG442-#REF!+1)%,"")</f>
        <v/>
      </c>
      <c r="M442" s="11" t="str">
        <f t="shared" si="52"/>
        <v/>
      </c>
      <c r="N442" s="11" t="str">
        <f t="shared" si="53"/>
        <v/>
      </c>
      <c r="O442" s="12"/>
      <c r="P442" s="12"/>
      <c r="R442" s="10" t="str">
        <f>IF(H442&lt;&gt;"",SUMIF(H$3:H442,"&lt;&gt;" &amp; "",H$3:H442),"")</f>
        <v/>
      </c>
      <c r="S442" s="10" t="str">
        <f t="array" ref="S442">IF(O442="Completed",SUMIF(W$3:W442,"&lt;&gt;" &amp; "",W$3:W442),"")</f>
        <v/>
      </c>
      <c r="T442" s="10" t="str">
        <f t="array" ref="T442">IF(AND(J442&lt;&gt;"",O442="Completed"),SUM(IF(O$3:O442="Completed",J$3:J442,0)),"")</f>
        <v/>
      </c>
      <c r="U442" s="10" t="str">
        <f t="shared" si="51"/>
        <v/>
      </c>
      <c r="V442" s="10">
        <f>ROW()</f>
        <v>442</v>
      </c>
      <c r="W442" s="10" t="str">
        <f t="shared" si="54"/>
        <v/>
      </c>
      <c r="Z442" s="10" t="str">
        <f>IF(A442&lt;&gt;"",'Metrics planning and tracking'!$K$4,"")</f>
        <v/>
      </c>
      <c r="AA442" s="10" t="str">
        <f>IF(A442&lt;&gt;"",'Metrics planning and tracking'!$K$5,"")</f>
        <v/>
      </c>
      <c r="AB442" s="10" t="str">
        <f>IF(A442&lt;&gt;"",'Metrics planning and tracking'!$K$2,"")</f>
        <v/>
      </c>
      <c r="AC442" s="10" t="str">
        <f>IF(A442&lt;&gt;"",'Metrics planning and tracking'!$K$3,"")</f>
        <v/>
      </c>
      <c r="AD442" s="10" t="str">
        <f>IF(A442&lt;&gt;"",IF(AND(#REF!&lt;&gt;"",#REF!&lt;&gt;"",#REF!&lt;&gt;0),#REF!/#REF!*100,"NA"),"")</f>
        <v/>
      </c>
      <c r="AE442" s="10" t="str">
        <f>IF(A442&lt;&gt;"",IF(AND(#REF!&lt;&gt;"",#REF!&lt;&gt;"",#REF!&lt;&gt;0),#REF!/#REF!*100,"NA"),"")</f>
        <v/>
      </c>
      <c r="AF442" s="57" t="str">
        <f t="shared" si="55"/>
        <v/>
      </c>
      <c r="AG442" s="57" t="str">
        <f t="shared" si="56"/>
        <v/>
      </c>
      <c r="AH442" s="58" t="str">
        <f t="shared" si="57"/>
        <v/>
      </c>
      <c r="AV442" s="22" t="str">
        <f>IF(A442&lt;&gt;"",A442 &amp; "-" &amp;#REF! &amp; ROW(),"")</f>
        <v/>
      </c>
    </row>
    <row r="443" spans="11:48" x14ac:dyDescent="0.2">
      <c r="K443" s="11" t="str">
        <f>IF(AND(COUNTA(B443:C443)&gt;1,COUNTA(F443:G443)&gt;1,O443="Completed"),(G443-C443)/(C443-#REF!+1)%,"")</f>
        <v/>
      </c>
      <c r="L443" s="11" t="str">
        <f>IF(AND(COUNT(D443:E443)&gt;0,COUNTA(F443:G443)&gt;1,O443="Completed"),(G443-AG443)/(AG443-#REF!+1)%,"")</f>
        <v/>
      </c>
      <c r="M443" s="11" t="str">
        <f t="shared" si="52"/>
        <v/>
      </c>
      <c r="N443" s="11" t="str">
        <f t="shared" si="53"/>
        <v/>
      </c>
      <c r="O443" s="12"/>
      <c r="P443" s="12"/>
      <c r="R443" s="10" t="str">
        <f>IF(H443&lt;&gt;"",SUMIF(H$3:H443,"&lt;&gt;" &amp; "",H$3:H443),"")</f>
        <v/>
      </c>
      <c r="S443" s="10" t="str">
        <f t="array" ref="S443">IF(O443="Completed",SUMIF(W$3:W443,"&lt;&gt;" &amp; "",W$3:W443),"")</f>
        <v/>
      </c>
      <c r="T443" s="10" t="str">
        <f t="array" ref="T443">IF(AND(J443&lt;&gt;"",O443="Completed"),SUM(IF(O$3:O443="Completed",J$3:J443,0)),"")</f>
        <v/>
      </c>
      <c r="U443" s="10" t="str">
        <f t="shared" si="51"/>
        <v/>
      </c>
      <c r="V443" s="10">
        <f>ROW()</f>
        <v>443</v>
      </c>
      <c r="W443" s="10" t="str">
        <f t="shared" si="54"/>
        <v/>
      </c>
      <c r="Z443" s="10" t="str">
        <f>IF(A443&lt;&gt;"",'Metrics planning and tracking'!$K$4,"")</f>
        <v/>
      </c>
      <c r="AA443" s="10" t="str">
        <f>IF(A443&lt;&gt;"",'Metrics planning and tracking'!$K$5,"")</f>
        <v/>
      </c>
      <c r="AB443" s="10" t="str">
        <f>IF(A443&lt;&gt;"",'Metrics planning and tracking'!$K$2,"")</f>
        <v/>
      </c>
      <c r="AC443" s="10" t="str">
        <f>IF(A443&lt;&gt;"",'Metrics planning and tracking'!$K$3,"")</f>
        <v/>
      </c>
      <c r="AD443" s="10" t="str">
        <f>IF(A443&lt;&gt;"",IF(AND(#REF!&lt;&gt;"",#REF!&lt;&gt;"",#REF!&lt;&gt;0),#REF!/#REF!*100,"NA"),"")</f>
        <v/>
      </c>
      <c r="AE443" s="10" t="str">
        <f>IF(A443&lt;&gt;"",IF(AND(#REF!&lt;&gt;"",#REF!&lt;&gt;"",#REF!&lt;&gt;0),#REF!/#REF!*100,"NA"),"")</f>
        <v/>
      </c>
      <c r="AF443" s="57" t="str">
        <f t="shared" si="55"/>
        <v/>
      </c>
      <c r="AG443" s="57" t="str">
        <f t="shared" si="56"/>
        <v/>
      </c>
      <c r="AH443" s="58" t="str">
        <f t="shared" si="57"/>
        <v/>
      </c>
      <c r="AV443" s="22" t="str">
        <f>IF(A443&lt;&gt;"",A443 &amp; "-" &amp;#REF! &amp; ROW(),"")</f>
        <v/>
      </c>
    </row>
    <row r="444" spans="11:48" x14ac:dyDescent="0.2">
      <c r="K444" s="11" t="str">
        <f>IF(AND(COUNTA(B444:C444)&gt;1,COUNTA(F444:G444)&gt;1,O444="Completed"),(G444-C444)/(C444-#REF!+1)%,"")</f>
        <v/>
      </c>
      <c r="L444" s="11" t="str">
        <f>IF(AND(COUNT(D444:E444)&gt;0,COUNTA(F444:G444)&gt;1,O444="Completed"),(G444-AG444)/(AG444-#REF!+1)%,"")</f>
        <v/>
      </c>
      <c r="M444" s="11" t="str">
        <f t="shared" si="52"/>
        <v/>
      </c>
      <c r="N444" s="11" t="str">
        <f t="shared" si="53"/>
        <v/>
      </c>
      <c r="O444" s="12"/>
      <c r="P444" s="12"/>
      <c r="R444" s="10" t="str">
        <f>IF(H444&lt;&gt;"",SUMIF(H$3:H444,"&lt;&gt;" &amp; "",H$3:H444),"")</f>
        <v/>
      </c>
      <c r="S444" s="10" t="str">
        <f t="array" ref="S444">IF(O444="Completed",SUMIF(W$3:W444,"&lt;&gt;" &amp; "",W$3:W444),"")</f>
        <v/>
      </c>
      <c r="T444" s="10" t="str">
        <f t="array" ref="T444">IF(AND(J444&lt;&gt;"",O444="Completed"),SUM(IF(O$3:O444="Completed",J$3:J444,0)),"")</f>
        <v/>
      </c>
      <c r="U444" s="10" t="str">
        <f t="shared" si="51"/>
        <v/>
      </c>
      <c r="V444" s="10">
        <f>ROW()</f>
        <v>444</v>
      </c>
      <c r="W444" s="10" t="str">
        <f t="shared" si="54"/>
        <v/>
      </c>
      <c r="Z444" s="10" t="str">
        <f>IF(A444&lt;&gt;"",'Metrics planning and tracking'!$K$4,"")</f>
        <v/>
      </c>
      <c r="AA444" s="10" t="str">
        <f>IF(A444&lt;&gt;"",'Metrics planning and tracking'!$K$5,"")</f>
        <v/>
      </c>
      <c r="AB444" s="10" t="str">
        <f>IF(A444&lt;&gt;"",'Metrics planning and tracking'!$K$2,"")</f>
        <v/>
      </c>
      <c r="AC444" s="10" t="str">
        <f>IF(A444&lt;&gt;"",'Metrics planning and tracking'!$K$3,"")</f>
        <v/>
      </c>
      <c r="AD444" s="10" t="str">
        <f>IF(A444&lt;&gt;"",IF(AND(#REF!&lt;&gt;"",#REF!&lt;&gt;"",#REF!&lt;&gt;0),#REF!/#REF!*100,"NA"),"")</f>
        <v/>
      </c>
      <c r="AE444" s="10" t="str">
        <f>IF(A444&lt;&gt;"",IF(AND(#REF!&lt;&gt;"",#REF!&lt;&gt;"",#REF!&lt;&gt;0),#REF!/#REF!*100,"NA"),"")</f>
        <v/>
      </c>
      <c r="AF444" s="57" t="str">
        <f t="shared" si="55"/>
        <v/>
      </c>
      <c r="AG444" s="57" t="str">
        <f t="shared" si="56"/>
        <v/>
      </c>
      <c r="AH444" s="58" t="str">
        <f t="shared" si="57"/>
        <v/>
      </c>
      <c r="AV444" s="22" t="str">
        <f>IF(A444&lt;&gt;"",A444 &amp; "-" &amp;#REF! &amp; ROW(),"")</f>
        <v/>
      </c>
    </row>
    <row r="445" spans="11:48" x14ac:dyDescent="0.2">
      <c r="K445" s="11" t="str">
        <f>IF(AND(COUNTA(B445:C445)&gt;1,COUNTA(F445:G445)&gt;1,O445="Completed"),(G445-C445)/(C445-#REF!+1)%,"")</f>
        <v/>
      </c>
      <c r="L445" s="11" t="str">
        <f>IF(AND(COUNT(D445:E445)&gt;0,COUNTA(F445:G445)&gt;1,O445="Completed"),(G445-AG445)/(AG445-#REF!+1)%,"")</f>
        <v/>
      </c>
      <c r="M445" s="11" t="str">
        <f t="shared" si="52"/>
        <v/>
      </c>
      <c r="N445" s="11" t="str">
        <f t="shared" si="53"/>
        <v/>
      </c>
      <c r="O445" s="12"/>
      <c r="P445" s="12"/>
      <c r="R445" s="10" t="str">
        <f>IF(H445&lt;&gt;"",SUMIF(H$3:H445,"&lt;&gt;" &amp; "",H$3:H445),"")</f>
        <v/>
      </c>
      <c r="S445" s="10" t="str">
        <f t="array" ref="S445">IF(O445="Completed",SUMIF(W$3:W445,"&lt;&gt;" &amp; "",W$3:W445),"")</f>
        <v/>
      </c>
      <c r="T445" s="10" t="str">
        <f t="array" ref="T445">IF(AND(J445&lt;&gt;"",O445="Completed"),SUM(IF(O$3:O445="Completed",J$3:J445,0)),"")</f>
        <v/>
      </c>
      <c r="U445" s="10" t="str">
        <f t="shared" si="51"/>
        <v/>
      </c>
      <c r="V445" s="10">
        <f>ROW()</f>
        <v>445</v>
      </c>
      <c r="W445" s="10" t="str">
        <f t="shared" si="54"/>
        <v/>
      </c>
      <c r="Z445" s="10" t="str">
        <f>IF(A445&lt;&gt;"",'Metrics planning and tracking'!$K$4,"")</f>
        <v/>
      </c>
      <c r="AA445" s="10" t="str">
        <f>IF(A445&lt;&gt;"",'Metrics planning and tracking'!$K$5,"")</f>
        <v/>
      </c>
      <c r="AB445" s="10" t="str">
        <f>IF(A445&lt;&gt;"",'Metrics planning and tracking'!$K$2,"")</f>
        <v/>
      </c>
      <c r="AC445" s="10" t="str">
        <f>IF(A445&lt;&gt;"",'Metrics planning and tracking'!$K$3,"")</f>
        <v/>
      </c>
      <c r="AD445" s="10" t="str">
        <f>IF(A445&lt;&gt;"",IF(AND(#REF!&lt;&gt;"",#REF!&lt;&gt;"",#REF!&lt;&gt;0),#REF!/#REF!*100,"NA"),"")</f>
        <v/>
      </c>
      <c r="AE445" s="10" t="str">
        <f>IF(A445&lt;&gt;"",IF(AND(#REF!&lt;&gt;"",#REF!&lt;&gt;"",#REF!&lt;&gt;0),#REF!/#REF!*100,"NA"),"")</f>
        <v/>
      </c>
      <c r="AF445" s="57" t="str">
        <f t="shared" si="55"/>
        <v/>
      </c>
      <c r="AG445" s="57" t="str">
        <f t="shared" si="56"/>
        <v/>
      </c>
      <c r="AH445" s="58" t="str">
        <f t="shared" si="57"/>
        <v/>
      </c>
      <c r="AV445" s="22" t="str">
        <f>IF(A445&lt;&gt;"",A445 &amp; "-" &amp;#REF! &amp; ROW(),"")</f>
        <v/>
      </c>
    </row>
    <row r="446" spans="11:48" x14ac:dyDescent="0.2">
      <c r="K446" s="11" t="str">
        <f>IF(AND(COUNTA(B446:C446)&gt;1,COUNTA(F446:G446)&gt;1,O446="Completed"),(G446-C446)/(C446-#REF!+1)%,"")</f>
        <v/>
      </c>
      <c r="L446" s="11" t="str">
        <f>IF(AND(COUNT(D446:E446)&gt;0,COUNTA(F446:G446)&gt;1,O446="Completed"),(G446-AG446)/(AG446-#REF!+1)%,"")</f>
        <v/>
      </c>
      <c r="M446" s="11" t="str">
        <f t="shared" si="52"/>
        <v/>
      </c>
      <c r="N446" s="11" t="str">
        <f t="shared" si="53"/>
        <v/>
      </c>
      <c r="O446" s="12"/>
      <c r="P446" s="12"/>
      <c r="R446" s="10" t="str">
        <f>IF(H446&lt;&gt;"",SUMIF(H$3:H446,"&lt;&gt;" &amp; "",H$3:H446),"")</f>
        <v/>
      </c>
      <c r="S446" s="10" t="str">
        <f t="array" ref="S446">IF(O446="Completed",SUMIF(W$3:W446,"&lt;&gt;" &amp; "",W$3:W446),"")</f>
        <v/>
      </c>
      <c r="T446" s="10" t="str">
        <f t="array" ref="T446">IF(AND(J446&lt;&gt;"",O446="Completed"),SUM(IF(O$3:O446="Completed",J$3:J446,0)),"")</f>
        <v/>
      </c>
      <c r="U446" s="10" t="str">
        <f t="shared" si="51"/>
        <v/>
      </c>
      <c r="V446" s="10">
        <f>ROW()</f>
        <v>446</v>
      </c>
      <c r="W446" s="10" t="str">
        <f t="shared" si="54"/>
        <v/>
      </c>
      <c r="Z446" s="10" t="str">
        <f>IF(A446&lt;&gt;"",'Metrics planning and tracking'!$K$4,"")</f>
        <v/>
      </c>
      <c r="AA446" s="10" t="str">
        <f>IF(A446&lt;&gt;"",'Metrics planning and tracking'!$K$5,"")</f>
        <v/>
      </c>
      <c r="AB446" s="10" t="str">
        <f>IF(A446&lt;&gt;"",'Metrics planning and tracking'!$K$2,"")</f>
        <v/>
      </c>
      <c r="AC446" s="10" t="str">
        <f>IF(A446&lt;&gt;"",'Metrics planning and tracking'!$K$3,"")</f>
        <v/>
      </c>
      <c r="AD446" s="10" t="str">
        <f>IF(A446&lt;&gt;"",IF(AND(#REF!&lt;&gt;"",#REF!&lt;&gt;"",#REF!&lt;&gt;0),#REF!/#REF!*100,"NA"),"")</f>
        <v/>
      </c>
      <c r="AE446" s="10" t="str">
        <f>IF(A446&lt;&gt;"",IF(AND(#REF!&lt;&gt;"",#REF!&lt;&gt;"",#REF!&lt;&gt;0),#REF!/#REF!*100,"NA"),"")</f>
        <v/>
      </c>
      <c r="AF446" s="57" t="str">
        <f t="shared" si="55"/>
        <v/>
      </c>
      <c r="AG446" s="57" t="str">
        <f t="shared" si="56"/>
        <v/>
      </c>
      <c r="AH446" s="58" t="str">
        <f t="shared" si="57"/>
        <v/>
      </c>
      <c r="AV446" s="22" t="str">
        <f>IF(A446&lt;&gt;"",A446 &amp; "-" &amp;#REF! &amp; ROW(),"")</f>
        <v/>
      </c>
    </row>
    <row r="447" spans="11:48" x14ac:dyDescent="0.2">
      <c r="K447" s="11" t="str">
        <f>IF(AND(COUNTA(B447:C447)&gt;1,COUNTA(F447:G447)&gt;1,O447="Completed"),(G447-C447)/(C447-#REF!+1)%,"")</f>
        <v/>
      </c>
      <c r="L447" s="11" t="str">
        <f>IF(AND(COUNT(D447:E447)&gt;0,COUNTA(F447:G447)&gt;1,O447="Completed"),(G447-AG447)/(AG447-#REF!+1)%,"")</f>
        <v/>
      </c>
      <c r="M447" s="11" t="str">
        <f t="shared" si="52"/>
        <v/>
      </c>
      <c r="N447" s="11" t="str">
        <f t="shared" si="53"/>
        <v/>
      </c>
      <c r="O447" s="12"/>
      <c r="P447" s="12"/>
      <c r="R447" s="10" t="str">
        <f>IF(H447&lt;&gt;"",SUMIF(H$3:H447,"&lt;&gt;" &amp; "",H$3:H447),"")</f>
        <v/>
      </c>
      <c r="S447" s="10" t="str">
        <f t="array" ref="S447">IF(O447="Completed",SUMIF(W$3:W447,"&lt;&gt;" &amp; "",W$3:W447),"")</f>
        <v/>
      </c>
      <c r="T447" s="10" t="str">
        <f t="array" ref="T447">IF(AND(J447&lt;&gt;"",O447="Completed"),SUM(IF(O$3:O447="Completed",J$3:J447,0)),"")</f>
        <v/>
      </c>
      <c r="U447" s="10" t="str">
        <f t="shared" si="51"/>
        <v/>
      </c>
      <c r="V447" s="10">
        <f>ROW()</f>
        <v>447</v>
      </c>
      <c r="W447" s="10" t="str">
        <f t="shared" si="54"/>
        <v/>
      </c>
      <c r="Z447" s="10" t="str">
        <f>IF(A447&lt;&gt;"",'Metrics planning and tracking'!$K$4,"")</f>
        <v/>
      </c>
      <c r="AA447" s="10" t="str">
        <f>IF(A447&lt;&gt;"",'Metrics planning and tracking'!$K$5,"")</f>
        <v/>
      </c>
      <c r="AB447" s="10" t="str">
        <f>IF(A447&lt;&gt;"",'Metrics planning and tracking'!$K$2,"")</f>
        <v/>
      </c>
      <c r="AC447" s="10" t="str">
        <f>IF(A447&lt;&gt;"",'Metrics planning and tracking'!$K$3,"")</f>
        <v/>
      </c>
      <c r="AD447" s="10" t="str">
        <f>IF(A447&lt;&gt;"",IF(AND(#REF!&lt;&gt;"",#REF!&lt;&gt;"",#REF!&lt;&gt;0),#REF!/#REF!*100,"NA"),"")</f>
        <v/>
      </c>
      <c r="AE447" s="10" t="str">
        <f>IF(A447&lt;&gt;"",IF(AND(#REF!&lt;&gt;"",#REF!&lt;&gt;"",#REF!&lt;&gt;0),#REF!/#REF!*100,"NA"),"")</f>
        <v/>
      </c>
      <c r="AF447" s="57" t="str">
        <f t="shared" si="55"/>
        <v/>
      </c>
      <c r="AG447" s="57" t="str">
        <f t="shared" si="56"/>
        <v/>
      </c>
      <c r="AH447" s="58" t="str">
        <f t="shared" si="57"/>
        <v/>
      </c>
      <c r="AV447" s="22" t="str">
        <f>IF(A447&lt;&gt;"",A447 &amp; "-" &amp;#REF! &amp; ROW(),"")</f>
        <v/>
      </c>
    </row>
    <row r="448" spans="11:48" x14ac:dyDescent="0.2">
      <c r="K448" s="11" t="str">
        <f>IF(AND(COUNTA(B448:C448)&gt;1,COUNTA(F448:G448)&gt;1,O448="Completed"),(G448-C448)/(C448-#REF!+1)%,"")</f>
        <v/>
      </c>
      <c r="L448" s="11" t="str">
        <f>IF(AND(COUNT(D448:E448)&gt;0,COUNTA(F448:G448)&gt;1,O448="Completed"),(G448-AG448)/(AG448-#REF!+1)%,"")</f>
        <v/>
      </c>
      <c r="M448" s="11" t="str">
        <f t="shared" si="52"/>
        <v/>
      </c>
      <c r="N448" s="11" t="str">
        <f t="shared" si="53"/>
        <v/>
      </c>
      <c r="O448" s="12"/>
      <c r="P448" s="12"/>
      <c r="R448" s="10" t="str">
        <f>IF(H448&lt;&gt;"",SUMIF(H$3:H448,"&lt;&gt;" &amp; "",H$3:H448),"")</f>
        <v/>
      </c>
      <c r="S448" s="10" t="str">
        <f t="array" ref="S448">IF(O448="Completed",SUMIF(W$3:W448,"&lt;&gt;" &amp; "",W$3:W448),"")</f>
        <v/>
      </c>
      <c r="T448" s="10" t="str">
        <f t="array" ref="T448">IF(AND(J448&lt;&gt;"",O448="Completed"),SUM(IF(O$3:O448="Completed",J$3:J448,0)),"")</f>
        <v/>
      </c>
      <c r="U448" s="10" t="str">
        <f t="shared" si="51"/>
        <v/>
      </c>
      <c r="V448" s="10">
        <f>ROW()</f>
        <v>448</v>
      </c>
      <c r="W448" s="10" t="str">
        <f t="shared" si="54"/>
        <v/>
      </c>
      <c r="Z448" s="10" t="str">
        <f>IF(A448&lt;&gt;"",'Metrics planning and tracking'!$K$4,"")</f>
        <v/>
      </c>
      <c r="AA448" s="10" t="str">
        <f>IF(A448&lt;&gt;"",'Metrics planning and tracking'!$K$5,"")</f>
        <v/>
      </c>
      <c r="AB448" s="10" t="str">
        <f>IF(A448&lt;&gt;"",'Metrics planning and tracking'!$K$2,"")</f>
        <v/>
      </c>
      <c r="AC448" s="10" t="str">
        <f>IF(A448&lt;&gt;"",'Metrics planning and tracking'!$K$3,"")</f>
        <v/>
      </c>
      <c r="AD448" s="10" t="str">
        <f>IF(A448&lt;&gt;"",IF(AND(#REF!&lt;&gt;"",#REF!&lt;&gt;"",#REF!&lt;&gt;0),#REF!/#REF!*100,"NA"),"")</f>
        <v/>
      </c>
      <c r="AE448" s="10" t="str">
        <f>IF(A448&lt;&gt;"",IF(AND(#REF!&lt;&gt;"",#REF!&lt;&gt;"",#REF!&lt;&gt;0),#REF!/#REF!*100,"NA"),"")</f>
        <v/>
      </c>
      <c r="AF448" s="57" t="str">
        <f t="shared" si="55"/>
        <v/>
      </c>
      <c r="AG448" s="57" t="str">
        <f t="shared" si="56"/>
        <v/>
      </c>
      <c r="AH448" s="58" t="str">
        <f t="shared" si="57"/>
        <v/>
      </c>
      <c r="AV448" s="22" t="str">
        <f>IF(A448&lt;&gt;"",A448 &amp; "-" &amp;#REF! &amp; ROW(),"")</f>
        <v/>
      </c>
    </row>
    <row r="449" spans="11:48" x14ac:dyDescent="0.2">
      <c r="K449" s="11" t="str">
        <f>IF(AND(COUNTA(B449:C449)&gt;1,COUNTA(F449:G449)&gt;1,O449="Completed"),(G449-C449)/(C449-#REF!+1)%,"")</f>
        <v/>
      </c>
      <c r="L449" s="11" t="str">
        <f>IF(AND(COUNT(D449:E449)&gt;0,COUNTA(F449:G449)&gt;1,O449="Completed"),(G449-AG449)/(AG449-#REF!+1)%,"")</f>
        <v/>
      </c>
      <c r="M449" s="11" t="str">
        <f t="shared" si="52"/>
        <v/>
      </c>
      <c r="N449" s="11" t="str">
        <f t="shared" si="53"/>
        <v/>
      </c>
      <c r="O449" s="12"/>
      <c r="P449" s="12"/>
      <c r="R449" s="10" t="str">
        <f>IF(H449&lt;&gt;"",SUMIF(H$3:H449,"&lt;&gt;" &amp; "",H$3:H449),"")</f>
        <v/>
      </c>
      <c r="S449" s="10" t="str">
        <f t="array" ref="S449">IF(O449="Completed",SUMIF(W$3:W449,"&lt;&gt;" &amp; "",W$3:W449),"")</f>
        <v/>
      </c>
      <c r="T449" s="10" t="str">
        <f t="array" ref="T449">IF(AND(J449&lt;&gt;"",O449="Completed"),SUM(IF(O$3:O449="Completed",J$3:J449,0)),"")</f>
        <v/>
      </c>
      <c r="U449" s="10" t="str">
        <f t="shared" si="51"/>
        <v/>
      </c>
      <c r="V449" s="10">
        <f>ROW()</f>
        <v>449</v>
      </c>
      <c r="W449" s="10" t="str">
        <f t="shared" si="54"/>
        <v/>
      </c>
      <c r="Z449" s="10" t="str">
        <f>IF(A449&lt;&gt;"",'Metrics planning and tracking'!$K$4,"")</f>
        <v/>
      </c>
      <c r="AA449" s="10" t="str">
        <f>IF(A449&lt;&gt;"",'Metrics planning and tracking'!$K$5,"")</f>
        <v/>
      </c>
      <c r="AB449" s="10" t="str">
        <f>IF(A449&lt;&gt;"",'Metrics planning and tracking'!$K$2,"")</f>
        <v/>
      </c>
      <c r="AC449" s="10" t="str">
        <f>IF(A449&lt;&gt;"",'Metrics planning and tracking'!$K$3,"")</f>
        <v/>
      </c>
      <c r="AD449" s="10" t="str">
        <f>IF(A449&lt;&gt;"",IF(AND(#REF!&lt;&gt;"",#REF!&lt;&gt;"",#REF!&lt;&gt;0),#REF!/#REF!*100,"NA"),"")</f>
        <v/>
      </c>
      <c r="AE449" s="10" t="str">
        <f>IF(A449&lt;&gt;"",IF(AND(#REF!&lt;&gt;"",#REF!&lt;&gt;"",#REF!&lt;&gt;0),#REF!/#REF!*100,"NA"),"")</f>
        <v/>
      </c>
      <c r="AF449" s="57" t="str">
        <f t="shared" si="55"/>
        <v/>
      </c>
      <c r="AG449" s="57" t="str">
        <f t="shared" si="56"/>
        <v/>
      </c>
      <c r="AH449" s="58" t="str">
        <f t="shared" si="57"/>
        <v/>
      </c>
      <c r="AV449" s="22" t="str">
        <f>IF(A449&lt;&gt;"",A449 &amp; "-" &amp;#REF! &amp; ROW(),"")</f>
        <v/>
      </c>
    </row>
    <row r="450" spans="11:48" x14ac:dyDescent="0.2">
      <c r="K450" s="11" t="str">
        <f>IF(AND(COUNTA(B450:C450)&gt;1,COUNTA(F450:G450)&gt;1,O450="Completed"),(G450-C450)/(C450-#REF!+1)%,"")</f>
        <v/>
      </c>
      <c r="L450" s="11" t="str">
        <f>IF(AND(COUNT(D450:E450)&gt;0,COUNTA(F450:G450)&gt;1,O450="Completed"),(G450-AG450)/(AG450-#REF!+1)%,"")</f>
        <v/>
      </c>
      <c r="M450" s="11" t="str">
        <f t="shared" si="52"/>
        <v/>
      </c>
      <c r="N450" s="11" t="str">
        <f t="shared" si="53"/>
        <v/>
      </c>
      <c r="O450" s="12"/>
      <c r="P450" s="12"/>
      <c r="R450" s="10" t="str">
        <f>IF(H450&lt;&gt;"",SUMIF(H$3:H450,"&lt;&gt;" &amp; "",H$3:H450),"")</f>
        <v/>
      </c>
      <c r="S450" s="10" t="str">
        <f t="array" ref="S450">IF(O450="Completed",SUMIF(W$3:W450,"&lt;&gt;" &amp; "",W$3:W450),"")</f>
        <v/>
      </c>
      <c r="T450" s="10" t="str">
        <f t="array" ref="T450">IF(AND(J450&lt;&gt;"",O450="Completed"),SUM(IF(O$3:O450="Completed",J$3:J450,0)),"")</f>
        <v/>
      </c>
      <c r="U450" s="10" t="str">
        <f t="shared" si="51"/>
        <v/>
      </c>
      <c r="V450" s="10">
        <f>ROW()</f>
        <v>450</v>
      </c>
      <c r="W450" s="10" t="str">
        <f t="shared" si="54"/>
        <v/>
      </c>
      <c r="Z450" s="10" t="str">
        <f>IF(A450&lt;&gt;"",'Metrics planning and tracking'!$K$4,"")</f>
        <v/>
      </c>
      <c r="AA450" s="10" t="str">
        <f>IF(A450&lt;&gt;"",'Metrics planning and tracking'!$K$5,"")</f>
        <v/>
      </c>
      <c r="AB450" s="10" t="str">
        <f>IF(A450&lt;&gt;"",'Metrics planning and tracking'!$K$2,"")</f>
        <v/>
      </c>
      <c r="AC450" s="10" t="str">
        <f>IF(A450&lt;&gt;"",'Metrics planning and tracking'!$K$3,"")</f>
        <v/>
      </c>
      <c r="AD450" s="10" t="str">
        <f>IF(A450&lt;&gt;"",IF(AND(#REF!&lt;&gt;"",#REF!&lt;&gt;"",#REF!&lt;&gt;0),#REF!/#REF!*100,"NA"),"")</f>
        <v/>
      </c>
      <c r="AE450" s="10" t="str">
        <f>IF(A450&lt;&gt;"",IF(AND(#REF!&lt;&gt;"",#REF!&lt;&gt;"",#REF!&lt;&gt;0),#REF!/#REF!*100,"NA"),"")</f>
        <v/>
      </c>
      <c r="AF450" s="57" t="str">
        <f t="shared" si="55"/>
        <v/>
      </c>
      <c r="AG450" s="57" t="str">
        <f t="shared" si="56"/>
        <v/>
      </c>
      <c r="AH450" s="58" t="str">
        <f t="shared" si="57"/>
        <v/>
      </c>
      <c r="AV450" s="22" t="str">
        <f>IF(A450&lt;&gt;"",A450 &amp; "-" &amp;#REF! &amp; ROW(),"")</f>
        <v/>
      </c>
    </row>
    <row r="451" spans="11:48" x14ac:dyDescent="0.2">
      <c r="K451" s="11" t="str">
        <f>IF(AND(COUNTA(B451:C451)&gt;1,COUNTA(F451:G451)&gt;1,O451="Completed"),(G451-C451)/(C451-#REF!+1)%,"")</f>
        <v/>
      </c>
      <c r="L451" s="11" t="str">
        <f>IF(AND(COUNT(D451:E451)&gt;0,COUNTA(F451:G451)&gt;1,O451="Completed"),(G451-AG451)/(AG451-#REF!+1)%,"")</f>
        <v/>
      </c>
      <c r="M451" s="11" t="str">
        <f t="shared" si="52"/>
        <v/>
      </c>
      <c r="N451" s="11" t="str">
        <f t="shared" si="53"/>
        <v/>
      </c>
      <c r="O451" s="12"/>
      <c r="P451" s="12"/>
      <c r="R451" s="10" t="str">
        <f>IF(H451&lt;&gt;"",SUMIF(H$3:H451,"&lt;&gt;" &amp; "",H$3:H451),"")</f>
        <v/>
      </c>
      <c r="S451" s="10" t="str">
        <f t="array" ref="S451">IF(O451="Completed",SUMIF(W$3:W451,"&lt;&gt;" &amp; "",W$3:W451),"")</f>
        <v/>
      </c>
      <c r="T451" s="10" t="str">
        <f t="array" ref="T451">IF(AND(J451&lt;&gt;"",O451="Completed"),SUM(IF(O$3:O451="Completed",J$3:J451,0)),"")</f>
        <v/>
      </c>
      <c r="U451" s="10" t="str">
        <f t="shared" ref="U451:U496" si="58">IF(AND(A451&lt;&gt;"",P451="Yes"),ROW(),"")</f>
        <v/>
      </c>
      <c r="V451" s="10">
        <f>ROW()</f>
        <v>451</v>
      </c>
      <c r="W451" s="10" t="str">
        <f t="shared" si="54"/>
        <v/>
      </c>
      <c r="Z451" s="10" t="str">
        <f>IF(A451&lt;&gt;"",'Metrics planning and tracking'!$K$4,"")</f>
        <v/>
      </c>
      <c r="AA451" s="10" t="str">
        <f>IF(A451&lt;&gt;"",'Metrics planning and tracking'!$K$5,"")</f>
        <v/>
      </c>
      <c r="AB451" s="10" t="str">
        <f>IF(A451&lt;&gt;"",'Metrics planning and tracking'!$K$2,"")</f>
        <v/>
      </c>
      <c r="AC451" s="10" t="str">
        <f>IF(A451&lt;&gt;"",'Metrics planning and tracking'!$K$3,"")</f>
        <v/>
      </c>
      <c r="AD451" s="10" t="str">
        <f>IF(A451&lt;&gt;"",IF(AND(#REF!&lt;&gt;"",#REF!&lt;&gt;"",#REF!&lt;&gt;0),#REF!/#REF!*100,"NA"),"")</f>
        <v/>
      </c>
      <c r="AE451" s="10" t="str">
        <f>IF(A451&lt;&gt;"",IF(AND(#REF!&lt;&gt;"",#REF!&lt;&gt;"",#REF!&lt;&gt;0),#REF!/#REF!*100,"NA"),"")</f>
        <v/>
      </c>
      <c r="AF451" s="57" t="str">
        <f t="shared" si="55"/>
        <v/>
      </c>
      <c r="AG451" s="57" t="str">
        <f t="shared" si="56"/>
        <v/>
      </c>
      <c r="AH451" s="58" t="str">
        <f t="shared" si="57"/>
        <v/>
      </c>
      <c r="AV451" s="22" t="str">
        <f>IF(A451&lt;&gt;"",A451 &amp; "-" &amp;#REF! &amp; ROW(),"")</f>
        <v/>
      </c>
    </row>
    <row r="452" spans="11:48" x14ac:dyDescent="0.2">
      <c r="K452" s="11" t="str">
        <f>IF(AND(COUNTA(B452:C452)&gt;1,COUNTA(F452:G452)&gt;1,O452="Completed"),(G452-C452)/(C452-#REF!+1)%,"")</f>
        <v/>
      </c>
      <c r="L452" s="11" t="str">
        <f>IF(AND(COUNT(D452:E452)&gt;0,COUNTA(F452:G452)&gt;1,O452="Completed"),(G452-AG452)/(AG452-#REF!+1)%,"")</f>
        <v/>
      </c>
      <c r="M452" s="11" t="str">
        <f t="shared" si="52"/>
        <v/>
      </c>
      <c r="N452" s="11" t="str">
        <f t="shared" si="53"/>
        <v/>
      </c>
      <c r="O452" s="12"/>
      <c r="P452" s="12"/>
      <c r="R452" s="10" t="str">
        <f>IF(H452&lt;&gt;"",SUMIF(H$3:H452,"&lt;&gt;" &amp; "",H$3:H452),"")</f>
        <v/>
      </c>
      <c r="S452" s="10" t="str">
        <f t="array" ref="S452">IF(O452="Completed",SUMIF(W$3:W452,"&lt;&gt;" &amp; "",W$3:W452),"")</f>
        <v/>
      </c>
      <c r="T452" s="10" t="str">
        <f t="array" ref="T452">IF(AND(J452&lt;&gt;"",O452="Completed"),SUM(IF(O$3:O452="Completed",J$3:J452,0)),"")</f>
        <v/>
      </c>
      <c r="U452" s="10" t="str">
        <f t="shared" si="58"/>
        <v/>
      </c>
      <c r="V452" s="10">
        <f>ROW()</f>
        <v>452</v>
      </c>
      <c r="W452" s="10" t="str">
        <f t="shared" si="54"/>
        <v/>
      </c>
      <c r="Z452" s="10" t="str">
        <f>IF(A452&lt;&gt;"",'Metrics planning and tracking'!$K$4,"")</f>
        <v/>
      </c>
      <c r="AA452" s="10" t="str">
        <f>IF(A452&lt;&gt;"",'Metrics planning and tracking'!$K$5,"")</f>
        <v/>
      </c>
      <c r="AB452" s="10" t="str">
        <f>IF(A452&lt;&gt;"",'Metrics planning and tracking'!$K$2,"")</f>
        <v/>
      </c>
      <c r="AC452" s="10" t="str">
        <f>IF(A452&lt;&gt;"",'Metrics planning and tracking'!$K$3,"")</f>
        <v/>
      </c>
      <c r="AD452" s="10" t="str">
        <f>IF(A452&lt;&gt;"",IF(AND(#REF!&lt;&gt;"",#REF!&lt;&gt;"",#REF!&lt;&gt;0),#REF!/#REF!*100,"NA"),"")</f>
        <v/>
      </c>
      <c r="AE452" s="10" t="str">
        <f>IF(A452&lt;&gt;"",IF(AND(#REF!&lt;&gt;"",#REF!&lt;&gt;"",#REF!&lt;&gt;0),#REF!/#REF!*100,"NA"),"")</f>
        <v/>
      </c>
      <c r="AF452" s="57" t="str">
        <f t="shared" si="55"/>
        <v/>
      </c>
      <c r="AG452" s="57" t="str">
        <f t="shared" si="56"/>
        <v/>
      </c>
      <c r="AH452" s="58" t="str">
        <f t="shared" si="57"/>
        <v/>
      </c>
      <c r="AV452" s="22" t="str">
        <f>IF(A452&lt;&gt;"",A452 &amp; "-" &amp;#REF! &amp; ROW(),"")</f>
        <v/>
      </c>
    </row>
    <row r="453" spans="11:48" x14ac:dyDescent="0.2">
      <c r="K453" s="11" t="str">
        <f>IF(AND(COUNTA(B453:C453)&gt;1,COUNTA(F453:G453)&gt;1,O453="Completed"),(G453-C453)/(C453-#REF!+1)%,"")</f>
        <v/>
      </c>
      <c r="L453" s="11" t="str">
        <f>IF(AND(COUNT(D453:E453)&gt;0,COUNTA(F453:G453)&gt;1,O453="Completed"),(G453-AG453)/(AG453-#REF!+1)%,"")</f>
        <v/>
      </c>
      <c r="M453" s="11" t="str">
        <f t="shared" si="52"/>
        <v/>
      </c>
      <c r="N453" s="11" t="str">
        <f t="shared" si="53"/>
        <v/>
      </c>
      <c r="O453" s="12"/>
      <c r="P453" s="12"/>
      <c r="R453" s="10" t="str">
        <f>IF(H453&lt;&gt;"",SUMIF(H$3:H453,"&lt;&gt;" &amp; "",H$3:H453),"")</f>
        <v/>
      </c>
      <c r="S453" s="10" t="str">
        <f t="array" ref="S453">IF(O453="Completed",SUMIF(W$3:W453,"&lt;&gt;" &amp; "",W$3:W453),"")</f>
        <v/>
      </c>
      <c r="T453" s="10" t="str">
        <f t="array" ref="T453">IF(AND(J453&lt;&gt;"",O453="Completed"),SUM(IF(O$3:O453="Completed",J$3:J453,0)),"")</f>
        <v/>
      </c>
      <c r="U453" s="10" t="str">
        <f t="shared" si="58"/>
        <v/>
      </c>
      <c r="V453" s="10">
        <f>ROW()</f>
        <v>453</v>
      </c>
      <c r="W453" s="10" t="str">
        <f t="shared" si="54"/>
        <v/>
      </c>
      <c r="Z453" s="10" t="str">
        <f>IF(A453&lt;&gt;"",'Metrics planning and tracking'!$K$4,"")</f>
        <v/>
      </c>
      <c r="AA453" s="10" t="str">
        <f>IF(A453&lt;&gt;"",'Metrics planning and tracking'!$K$5,"")</f>
        <v/>
      </c>
      <c r="AB453" s="10" t="str">
        <f>IF(A453&lt;&gt;"",'Metrics planning and tracking'!$K$2,"")</f>
        <v/>
      </c>
      <c r="AC453" s="10" t="str">
        <f>IF(A453&lt;&gt;"",'Metrics planning and tracking'!$K$3,"")</f>
        <v/>
      </c>
      <c r="AD453" s="10" t="str">
        <f>IF(A453&lt;&gt;"",IF(AND(#REF!&lt;&gt;"",#REF!&lt;&gt;"",#REF!&lt;&gt;0),#REF!/#REF!*100,"NA"),"")</f>
        <v/>
      </c>
      <c r="AE453" s="10" t="str">
        <f>IF(A453&lt;&gt;"",IF(AND(#REF!&lt;&gt;"",#REF!&lt;&gt;"",#REF!&lt;&gt;0),#REF!/#REF!*100,"NA"),"")</f>
        <v/>
      </c>
      <c r="AF453" s="57" t="str">
        <f t="shared" si="55"/>
        <v/>
      </c>
      <c r="AG453" s="57" t="str">
        <f t="shared" si="56"/>
        <v/>
      </c>
      <c r="AH453" s="58" t="str">
        <f t="shared" si="57"/>
        <v/>
      </c>
      <c r="AV453" s="22" t="str">
        <f>IF(A453&lt;&gt;"",A453 &amp; "-" &amp;#REF! &amp; ROW(),"")</f>
        <v/>
      </c>
    </row>
    <row r="454" spans="11:48" x14ac:dyDescent="0.2">
      <c r="K454" s="11" t="str">
        <f>IF(AND(COUNTA(B454:C454)&gt;1,COUNTA(F454:G454)&gt;1,O454="Completed"),(G454-C454)/(C454-#REF!+1)%,"")</f>
        <v/>
      </c>
      <c r="L454" s="11" t="str">
        <f>IF(AND(COUNT(D454:E454)&gt;0,COUNTA(F454:G454)&gt;1,O454="Completed"),(G454-AG454)/(AG454-#REF!+1)%,"")</f>
        <v/>
      </c>
      <c r="M454" s="11" t="str">
        <f t="shared" si="52"/>
        <v/>
      </c>
      <c r="N454" s="11" t="str">
        <f t="shared" si="53"/>
        <v/>
      </c>
      <c r="O454" s="12"/>
      <c r="P454" s="12"/>
      <c r="R454" s="10" t="str">
        <f>IF(H454&lt;&gt;"",SUMIF(H$3:H454,"&lt;&gt;" &amp; "",H$3:H454),"")</f>
        <v/>
      </c>
      <c r="S454" s="10" t="str">
        <f t="array" ref="S454">IF(O454="Completed",SUMIF(W$3:W454,"&lt;&gt;" &amp; "",W$3:W454),"")</f>
        <v/>
      </c>
      <c r="T454" s="10" t="str">
        <f t="array" ref="T454">IF(AND(J454&lt;&gt;"",O454="Completed"),SUM(IF(O$3:O454="Completed",J$3:J454,0)),"")</f>
        <v/>
      </c>
      <c r="U454" s="10" t="str">
        <f t="shared" si="58"/>
        <v/>
      </c>
      <c r="V454" s="10">
        <f>ROW()</f>
        <v>454</v>
      </c>
      <c r="W454" s="10" t="str">
        <f t="shared" si="54"/>
        <v/>
      </c>
      <c r="Z454" s="10" t="str">
        <f>IF(A454&lt;&gt;"",'Metrics planning and tracking'!$K$4,"")</f>
        <v/>
      </c>
      <c r="AA454" s="10" t="str">
        <f>IF(A454&lt;&gt;"",'Metrics planning and tracking'!$K$5,"")</f>
        <v/>
      </c>
      <c r="AB454" s="10" t="str">
        <f>IF(A454&lt;&gt;"",'Metrics planning and tracking'!$K$2,"")</f>
        <v/>
      </c>
      <c r="AC454" s="10" t="str">
        <f>IF(A454&lt;&gt;"",'Metrics planning and tracking'!$K$3,"")</f>
        <v/>
      </c>
      <c r="AD454" s="10" t="str">
        <f>IF(A454&lt;&gt;"",IF(AND(#REF!&lt;&gt;"",#REF!&lt;&gt;"",#REF!&lt;&gt;0),#REF!/#REF!*100,"NA"),"")</f>
        <v/>
      </c>
      <c r="AE454" s="10" t="str">
        <f>IF(A454&lt;&gt;"",IF(AND(#REF!&lt;&gt;"",#REF!&lt;&gt;"",#REF!&lt;&gt;0),#REF!/#REF!*100,"NA"),"")</f>
        <v/>
      </c>
      <c r="AF454" s="57" t="str">
        <f t="shared" si="55"/>
        <v/>
      </c>
      <c r="AG454" s="57" t="str">
        <f t="shared" si="56"/>
        <v/>
      </c>
      <c r="AH454" s="58" t="str">
        <f t="shared" si="57"/>
        <v/>
      </c>
      <c r="AV454" s="22" t="str">
        <f>IF(A454&lt;&gt;"",A454 &amp; "-" &amp;#REF! &amp; ROW(),"")</f>
        <v/>
      </c>
    </row>
    <row r="455" spans="11:48" x14ac:dyDescent="0.2">
      <c r="K455" s="11" t="str">
        <f>IF(AND(COUNTA(B455:C455)&gt;1,COUNTA(F455:G455)&gt;1,O455="Completed"),(G455-C455)/(C455-#REF!+1)%,"")</f>
        <v/>
      </c>
      <c r="L455" s="11" t="str">
        <f>IF(AND(COUNT(D455:E455)&gt;0,COUNTA(F455:G455)&gt;1,O455="Completed"),(G455-AG455)/(AG455-#REF!+1)%,"")</f>
        <v/>
      </c>
      <c r="M455" s="11" t="str">
        <f t="shared" si="52"/>
        <v/>
      </c>
      <c r="N455" s="11" t="str">
        <f t="shared" si="53"/>
        <v/>
      </c>
      <c r="O455" s="12"/>
      <c r="P455" s="12"/>
      <c r="R455" s="10" t="str">
        <f>IF(H455&lt;&gt;"",SUMIF(H$3:H455,"&lt;&gt;" &amp; "",H$3:H455),"")</f>
        <v/>
      </c>
      <c r="S455" s="10" t="str">
        <f t="array" ref="S455">IF(O455="Completed",SUMIF(W$3:W455,"&lt;&gt;" &amp; "",W$3:W455),"")</f>
        <v/>
      </c>
      <c r="T455" s="10" t="str">
        <f t="array" ref="T455">IF(AND(J455&lt;&gt;"",O455="Completed"),SUM(IF(O$3:O455="Completed",J$3:J455,0)),"")</f>
        <v/>
      </c>
      <c r="U455" s="10" t="str">
        <f t="shared" si="58"/>
        <v/>
      </c>
      <c r="V455" s="10">
        <f>ROW()</f>
        <v>455</v>
      </c>
      <c r="W455" s="10" t="str">
        <f t="shared" si="54"/>
        <v/>
      </c>
      <c r="Z455" s="10" t="str">
        <f>IF(A455&lt;&gt;"",'Metrics planning and tracking'!$K$4,"")</f>
        <v/>
      </c>
      <c r="AA455" s="10" t="str">
        <f>IF(A455&lt;&gt;"",'Metrics planning and tracking'!$K$5,"")</f>
        <v/>
      </c>
      <c r="AB455" s="10" t="str">
        <f>IF(A455&lt;&gt;"",'Metrics planning and tracking'!$K$2,"")</f>
        <v/>
      </c>
      <c r="AC455" s="10" t="str">
        <f>IF(A455&lt;&gt;"",'Metrics planning and tracking'!$K$3,"")</f>
        <v/>
      </c>
      <c r="AD455" s="10" t="str">
        <f>IF(A455&lt;&gt;"",IF(AND(#REF!&lt;&gt;"",#REF!&lt;&gt;"",#REF!&lt;&gt;0),#REF!/#REF!*100,"NA"),"")</f>
        <v/>
      </c>
      <c r="AE455" s="10" t="str">
        <f>IF(A455&lt;&gt;"",IF(AND(#REF!&lt;&gt;"",#REF!&lt;&gt;"",#REF!&lt;&gt;0),#REF!/#REF!*100,"NA"),"")</f>
        <v/>
      </c>
      <c r="AF455" s="57" t="str">
        <f t="shared" si="55"/>
        <v/>
      </c>
      <c r="AG455" s="57" t="str">
        <f t="shared" si="56"/>
        <v/>
      </c>
      <c r="AH455" s="58" t="str">
        <f t="shared" si="57"/>
        <v/>
      </c>
      <c r="AV455" s="22" t="str">
        <f>IF(A455&lt;&gt;"",A455 &amp; "-" &amp;#REF! &amp; ROW(),"")</f>
        <v/>
      </c>
    </row>
    <row r="456" spans="11:48" x14ac:dyDescent="0.2">
      <c r="K456" s="11" t="str">
        <f>IF(AND(COUNTA(B456:C456)&gt;1,COUNTA(F456:G456)&gt;1,O456="Completed"),(G456-C456)/(C456-#REF!+1)%,"")</f>
        <v/>
      </c>
      <c r="L456" s="11" t="str">
        <f>IF(AND(COUNT(D456:E456)&gt;0,COUNTA(F456:G456)&gt;1,O456="Completed"),(G456-AG456)/(AG456-#REF!+1)%,"")</f>
        <v/>
      </c>
      <c r="M456" s="11" t="str">
        <f t="shared" si="52"/>
        <v/>
      </c>
      <c r="N456" s="11" t="str">
        <f t="shared" si="53"/>
        <v/>
      </c>
      <c r="O456" s="12"/>
      <c r="P456" s="12"/>
      <c r="R456" s="10" t="str">
        <f>IF(H456&lt;&gt;"",SUMIF(H$3:H456,"&lt;&gt;" &amp; "",H$3:H456),"")</f>
        <v/>
      </c>
      <c r="S456" s="10" t="str">
        <f t="array" ref="S456">IF(O456="Completed",SUMIF(W$3:W456,"&lt;&gt;" &amp; "",W$3:W456),"")</f>
        <v/>
      </c>
      <c r="T456" s="10" t="str">
        <f t="array" ref="T456">IF(AND(J456&lt;&gt;"",O456="Completed"),SUM(IF(O$3:O456="Completed",J$3:J456,0)),"")</f>
        <v/>
      </c>
      <c r="U456" s="10" t="str">
        <f t="shared" si="58"/>
        <v/>
      </c>
      <c r="V456" s="10">
        <f>ROW()</f>
        <v>456</v>
      </c>
      <c r="W456" s="10" t="str">
        <f t="shared" si="54"/>
        <v/>
      </c>
      <c r="Z456" s="10" t="str">
        <f>IF(A456&lt;&gt;"",'Metrics planning and tracking'!$K$4,"")</f>
        <v/>
      </c>
      <c r="AA456" s="10" t="str">
        <f>IF(A456&lt;&gt;"",'Metrics planning and tracking'!$K$5,"")</f>
        <v/>
      </c>
      <c r="AB456" s="10" t="str">
        <f>IF(A456&lt;&gt;"",'Metrics planning and tracking'!$K$2,"")</f>
        <v/>
      </c>
      <c r="AC456" s="10" t="str">
        <f>IF(A456&lt;&gt;"",'Metrics planning and tracking'!$K$3,"")</f>
        <v/>
      </c>
      <c r="AD456" s="10" t="str">
        <f>IF(A456&lt;&gt;"",IF(AND(#REF!&lt;&gt;"",#REF!&lt;&gt;"",#REF!&lt;&gt;0),#REF!/#REF!*100,"NA"),"")</f>
        <v/>
      </c>
      <c r="AE456" s="10" t="str">
        <f>IF(A456&lt;&gt;"",IF(AND(#REF!&lt;&gt;"",#REF!&lt;&gt;"",#REF!&lt;&gt;0),#REF!/#REF!*100,"NA"),"")</f>
        <v/>
      </c>
      <c r="AF456" s="57" t="str">
        <f t="shared" si="55"/>
        <v/>
      </c>
      <c r="AG456" s="57" t="str">
        <f t="shared" si="56"/>
        <v/>
      </c>
      <c r="AH456" s="58" t="str">
        <f t="shared" si="57"/>
        <v/>
      </c>
      <c r="AV456" s="22" t="str">
        <f>IF(A456&lt;&gt;"",A456 &amp; "-" &amp;#REF! &amp; ROW(),"")</f>
        <v/>
      </c>
    </row>
    <row r="457" spans="11:48" x14ac:dyDescent="0.2">
      <c r="K457" s="11" t="str">
        <f>IF(AND(COUNTA(B457:C457)&gt;1,COUNTA(F457:G457)&gt;1,O457="Completed"),(G457-C457)/(C457-#REF!+1)%,"")</f>
        <v/>
      </c>
      <c r="L457" s="11" t="str">
        <f>IF(AND(COUNT(D457:E457)&gt;0,COUNTA(F457:G457)&gt;1,O457="Completed"),(G457-AG457)/(AG457-#REF!+1)%,"")</f>
        <v/>
      </c>
      <c r="M457" s="11" t="str">
        <f t="shared" si="52"/>
        <v/>
      </c>
      <c r="N457" s="11" t="str">
        <f t="shared" si="53"/>
        <v/>
      </c>
      <c r="O457" s="12"/>
      <c r="P457" s="12"/>
      <c r="R457" s="10" t="str">
        <f>IF(H457&lt;&gt;"",SUMIF(H$3:H457,"&lt;&gt;" &amp; "",H$3:H457),"")</f>
        <v/>
      </c>
      <c r="S457" s="10" t="str">
        <f t="array" ref="S457">IF(O457="Completed",SUMIF(W$3:W457,"&lt;&gt;" &amp; "",W$3:W457),"")</f>
        <v/>
      </c>
      <c r="T457" s="10" t="str">
        <f t="array" ref="T457">IF(AND(J457&lt;&gt;"",O457="Completed"),SUM(IF(O$3:O457="Completed",J$3:J457,0)),"")</f>
        <v/>
      </c>
      <c r="U457" s="10" t="str">
        <f t="shared" si="58"/>
        <v/>
      </c>
      <c r="V457" s="10">
        <f>ROW()</f>
        <v>457</v>
      </c>
      <c r="W457" s="10" t="str">
        <f t="shared" si="54"/>
        <v/>
      </c>
      <c r="Z457" s="10" t="str">
        <f>IF(A457&lt;&gt;"",'Metrics planning and tracking'!$K$4,"")</f>
        <v/>
      </c>
      <c r="AA457" s="10" t="str">
        <f>IF(A457&lt;&gt;"",'Metrics planning and tracking'!$K$5,"")</f>
        <v/>
      </c>
      <c r="AB457" s="10" t="str">
        <f>IF(A457&lt;&gt;"",'Metrics planning and tracking'!$K$2,"")</f>
        <v/>
      </c>
      <c r="AC457" s="10" t="str">
        <f>IF(A457&lt;&gt;"",'Metrics planning and tracking'!$K$3,"")</f>
        <v/>
      </c>
      <c r="AD457" s="10" t="str">
        <f>IF(A457&lt;&gt;"",IF(AND(#REF!&lt;&gt;"",#REF!&lt;&gt;"",#REF!&lt;&gt;0),#REF!/#REF!*100,"NA"),"")</f>
        <v/>
      </c>
      <c r="AE457" s="10" t="str">
        <f>IF(A457&lt;&gt;"",IF(AND(#REF!&lt;&gt;"",#REF!&lt;&gt;"",#REF!&lt;&gt;0),#REF!/#REF!*100,"NA"),"")</f>
        <v/>
      </c>
      <c r="AF457" s="57" t="str">
        <f t="shared" si="55"/>
        <v/>
      </c>
      <c r="AG457" s="57" t="str">
        <f t="shared" si="56"/>
        <v/>
      </c>
      <c r="AH457" s="58" t="str">
        <f t="shared" si="57"/>
        <v/>
      </c>
      <c r="AV457" s="22" t="str">
        <f>IF(A457&lt;&gt;"",A457 &amp; "-" &amp;#REF! &amp; ROW(),"")</f>
        <v/>
      </c>
    </row>
    <row r="458" spans="11:48" x14ac:dyDescent="0.2">
      <c r="K458" s="11" t="str">
        <f>IF(AND(COUNTA(B458:C458)&gt;1,COUNTA(F458:G458)&gt;1,O458="Completed"),(G458-C458)/(C458-#REF!+1)%,"")</f>
        <v/>
      </c>
      <c r="L458" s="11" t="str">
        <f>IF(AND(COUNT(D458:E458)&gt;0,COUNTA(F458:G458)&gt;1,O458="Completed"),(G458-AG458)/(AG458-#REF!+1)%,"")</f>
        <v/>
      </c>
      <c r="M458" s="11" t="str">
        <f t="shared" si="52"/>
        <v/>
      </c>
      <c r="N458" s="11" t="str">
        <f t="shared" si="53"/>
        <v/>
      </c>
      <c r="O458" s="12"/>
      <c r="P458" s="12"/>
      <c r="R458" s="10" t="str">
        <f>IF(H458&lt;&gt;"",SUMIF(H$3:H458,"&lt;&gt;" &amp; "",H$3:H458),"")</f>
        <v/>
      </c>
      <c r="S458" s="10" t="str">
        <f t="array" ref="S458">IF(O458="Completed",SUMIF(W$3:W458,"&lt;&gt;" &amp; "",W$3:W458),"")</f>
        <v/>
      </c>
      <c r="T458" s="10" t="str">
        <f t="array" ref="T458">IF(AND(J458&lt;&gt;"",O458="Completed"),SUM(IF(O$3:O458="Completed",J$3:J458,0)),"")</f>
        <v/>
      </c>
      <c r="U458" s="10" t="str">
        <f t="shared" si="58"/>
        <v/>
      </c>
      <c r="V458" s="10">
        <f>ROW()</f>
        <v>458</v>
      </c>
      <c r="W458" s="10" t="str">
        <f t="shared" si="54"/>
        <v/>
      </c>
      <c r="Z458" s="10" t="str">
        <f>IF(A458&lt;&gt;"",'Metrics planning and tracking'!$K$4,"")</f>
        <v/>
      </c>
      <c r="AA458" s="10" t="str">
        <f>IF(A458&lt;&gt;"",'Metrics planning and tracking'!$K$5,"")</f>
        <v/>
      </c>
      <c r="AB458" s="10" t="str">
        <f>IF(A458&lt;&gt;"",'Metrics planning and tracking'!$K$2,"")</f>
        <v/>
      </c>
      <c r="AC458" s="10" t="str">
        <f>IF(A458&lt;&gt;"",'Metrics planning and tracking'!$K$3,"")</f>
        <v/>
      </c>
      <c r="AD458" s="10" t="str">
        <f>IF(A458&lt;&gt;"",IF(AND(#REF!&lt;&gt;"",#REF!&lt;&gt;"",#REF!&lt;&gt;0),#REF!/#REF!*100,"NA"),"")</f>
        <v/>
      </c>
      <c r="AE458" s="10" t="str">
        <f>IF(A458&lt;&gt;"",IF(AND(#REF!&lt;&gt;"",#REF!&lt;&gt;"",#REF!&lt;&gt;0),#REF!/#REF!*100,"NA"),"")</f>
        <v/>
      </c>
      <c r="AF458" s="57" t="str">
        <f t="shared" si="55"/>
        <v/>
      </c>
      <c r="AG458" s="57" t="str">
        <f t="shared" si="56"/>
        <v/>
      </c>
      <c r="AH458" s="58" t="str">
        <f t="shared" si="57"/>
        <v/>
      </c>
      <c r="AV458" s="22" t="str">
        <f>IF(A458&lt;&gt;"",A458 &amp; "-" &amp;#REF! &amp; ROW(),"")</f>
        <v/>
      </c>
    </row>
    <row r="459" spans="11:48" x14ac:dyDescent="0.2">
      <c r="K459" s="11" t="str">
        <f>IF(AND(COUNTA(B459:C459)&gt;1,COUNTA(F459:G459)&gt;1,O459="Completed"),(G459-C459)/(C459-#REF!+1)%,"")</f>
        <v/>
      </c>
      <c r="L459" s="11" t="str">
        <f>IF(AND(COUNT(D459:E459)&gt;0,COUNTA(F459:G459)&gt;1,O459="Completed"),(G459-AG459)/(AG459-#REF!+1)%,"")</f>
        <v/>
      </c>
      <c r="M459" s="11" t="str">
        <f t="shared" si="52"/>
        <v/>
      </c>
      <c r="N459" s="11" t="str">
        <f t="shared" si="53"/>
        <v/>
      </c>
      <c r="O459" s="12"/>
      <c r="P459" s="12"/>
      <c r="R459" s="10" t="str">
        <f>IF(H459&lt;&gt;"",SUMIF(H$3:H459,"&lt;&gt;" &amp; "",H$3:H459),"")</f>
        <v/>
      </c>
      <c r="S459" s="10" t="str">
        <f t="array" ref="S459">IF(O459="Completed",SUMIF(W$3:W459,"&lt;&gt;" &amp; "",W$3:W459),"")</f>
        <v/>
      </c>
      <c r="T459" s="10" t="str">
        <f t="array" ref="T459">IF(AND(J459&lt;&gt;"",O459="Completed"),SUM(IF(O$3:O459="Completed",J$3:J459,0)),"")</f>
        <v/>
      </c>
      <c r="U459" s="10" t="str">
        <f t="shared" si="58"/>
        <v/>
      </c>
      <c r="V459" s="10">
        <f>ROW()</f>
        <v>459</v>
      </c>
      <c r="W459" s="10" t="str">
        <f t="shared" si="54"/>
        <v/>
      </c>
      <c r="Z459" s="10" t="str">
        <f>IF(A459&lt;&gt;"",'Metrics planning and tracking'!$K$4,"")</f>
        <v/>
      </c>
      <c r="AA459" s="10" t="str">
        <f>IF(A459&lt;&gt;"",'Metrics planning and tracking'!$K$5,"")</f>
        <v/>
      </c>
      <c r="AB459" s="10" t="str">
        <f>IF(A459&lt;&gt;"",'Metrics planning and tracking'!$K$2,"")</f>
        <v/>
      </c>
      <c r="AC459" s="10" t="str">
        <f>IF(A459&lt;&gt;"",'Metrics planning and tracking'!$K$3,"")</f>
        <v/>
      </c>
      <c r="AD459" s="10" t="str">
        <f>IF(A459&lt;&gt;"",IF(AND(#REF!&lt;&gt;"",#REF!&lt;&gt;"",#REF!&lt;&gt;0),#REF!/#REF!*100,"NA"),"")</f>
        <v/>
      </c>
      <c r="AE459" s="10" t="str">
        <f>IF(A459&lt;&gt;"",IF(AND(#REF!&lt;&gt;"",#REF!&lt;&gt;"",#REF!&lt;&gt;0),#REF!/#REF!*100,"NA"),"")</f>
        <v/>
      </c>
      <c r="AF459" s="57" t="str">
        <f t="shared" si="55"/>
        <v/>
      </c>
      <c r="AG459" s="57" t="str">
        <f t="shared" si="56"/>
        <v/>
      </c>
      <c r="AH459" s="58" t="str">
        <f t="shared" si="57"/>
        <v/>
      </c>
      <c r="AV459" s="22" t="str">
        <f>IF(A459&lt;&gt;"",A459 &amp; "-" &amp;#REF! &amp; ROW(),"")</f>
        <v/>
      </c>
    </row>
    <row r="460" spans="11:48" x14ac:dyDescent="0.2">
      <c r="K460" s="11" t="str">
        <f>IF(AND(COUNTA(B460:C460)&gt;1,COUNTA(F460:G460)&gt;1,O460="Completed"),(G460-C460)/(C460-#REF!+1)%,"")</f>
        <v/>
      </c>
      <c r="L460" s="11" t="str">
        <f>IF(AND(COUNT(D460:E460)&gt;0,COUNTA(F460:G460)&gt;1,O460="Completed"),(G460-AG460)/(AG460-#REF!+1)%,"")</f>
        <v/>
      </c>
      <c r="M460" s="11" t="str">
        <f t="shared" si="52"/>
        <v/>
      </c>
      <c r="N460" s="11" t="str">
        <f t="shared" si="53"/>
        <v/>
      </c>
      <c r="O460" s="12"/>
      <c r="P460" s="12"/>
      <c r="R460" s="10" t="str">
        <f>IF(H460&lt;&gt;"",SUMIF(H$3:H460,"&lt;&gt;" &amp; "",H$3:H460),"")</f>
        <v/>
      </c>
      <c r="S460" s="10" t="str">
        <f t="array" ref="S460">IF(O460="Completed",SUMIF(W$3:W460,"&lt;&gt;" &amp; "",W$3:W460),"")</f>
        <v/>
      </c>
      <c r="T460" s="10" t="str">
        <f t="array" ref="T460">IF(AND(J460&lt;&gt;"",O460="Completed"),SUM(IF(O$3:O460="Completed",J$3:J460,0)),"")</f>
        <v/>
      </c>
      <c r="U460" s="10" t="str">
        <f t="shared" si="58"/>
        <v/>
      </c>
      <c r="V460" s="10">
        <f>ROW()</f>
        <v>460</v>
      </c>
      <c r="W460" s="10" t="str">
        <f t="shared" si="54"/>
        <v/>
      </c>
      <c r="Z460" s="10" t="str">
        <f>IF(A460&lt;&gt;"",'Metrics planning and tracking'!$K$4,"")</f>
        <v/>
      </c>
      <c r="AA460" s="10" t="str">
        <f>IF(A460&lt;&gt;"",'Metrics planning and tracking'!$K$5,"")</f>
        <v/>
      </c>
      <c r="AB460" s="10" t="str">
        <f>IF(A460&lt;&gt;"",'Metrics planning and tracking'!$K$2,"")</f>
        <v/>
      </c>
      <c r="AC460" s="10" t="str">
        <f>IF(A460&lt;&gt;"",'Metrics planning and tracking'!$K$3,"")</f>
        <v/>
      </c>
      <c r="AD460" s="10" t="str">
        <f>IF(A460&lt;&gt;"",IF(AND(#REF!&lt;&gt;"",#REF!&lt;&gt;"",#REF!&lt;&gt;0),#REF!/#REF!*100,"NA"),"")</f>
        <v/>
      </c>
      <c r="AE460" s="10" t="str">
        <f>IF(A460&lt;&gt;"",IF(AND(#REF!&lt;&gt;"",#REF!&lt;&gt;"",#REF!&lt;&gt;0),#REF!/#REF!*100,"NA"),"")</f>
        <v/>
      </c>
      <c r="AF460" s="57" t="str">
        <f t="shared" si="55"/>
        <v/>
      </c>
      <c r="AG460" s="57" t="str">
        <f t="shared" si="56"/>
        <v/>
      </c>
      <c r="AH460" s="58" t="str">
        <f t="shared" si="57"/>
        <v/>
      </c>
      <c r="AV460" s="22" t="str">
        <f>IF(A460&lt;&gt;"",A460 &amp; "-" &amp;#REF! &amp; ROW(),"")</f>
        <v/>
      </c>
    </row>
    <row r="461" spans="11:48" x14ac:dyDescent="0.2">
      <c r="K461" s="11" t="str">
        <f>IF(AND(COUNTA(B461:C461)&gt;1,COUNTA(F461:G461)&gt;1,O461="Completed"),(G461-C461)/(C461-#REF!+1)%,"")</f>
        <v/>
      </c>
      <c r="L461" s="11" t="str">
        <f>IF(AND(COUNT(D461:E461)&gt;0,COUNTA(F461:G461)&gt;1,O461="Completed"),(G461-AG461)/(AG461-#REF!+1)%,"")</f>
        <v/>
      </c>
      <c r="M461" s="11" t="str">
        <f t="shared" si="52"/>
        <v/>
      </c>
      <c r="N461" s="11" t="str">
        <f t="shared" si="53"/>
        <v/>
      </c>
      <c r="O461" s="12"/>
      <c r="P461" s="12"/>
      <c r="R461" s="10" t="str">
        <f>IF(H461&lt;&gt;"",SUMIF(H$3:H461,"&lt;&gt;" &amp; "",H$3:H461),"")</f>
        <v/>
      </c>
      <c r="S461" s="10" t="str">
        <f t="array" ref="S461">IF(O461="Completed",SUMIF(W$3:W461,"&lt;&gt;" &amp; "",W$3:W461),"")</f>
        <v/>
      </c>
      <c r="T461" s="10" t="str">
        <f t="array" ref="T461">IF(AND(J461&lt;&gt;"",O461="Completed"),SUM(IF(O$3:O461="Completed",J$3:J461,0)),"")</f>
        <v/>
      </c>
      <c r="U461" s="10" t="str">
        <f t="shared" si="58"/>
        <v/>
      </c>
      <c r="V461" s="10">
        <f>ROW()</f>
        <v>461</v>
      </c>
      <c r="W461" s="10" t="str">
        <f t="shared" si="54"/>
        <v/>
      </c>
      <c r="Z461" s="10" t="str">
        <f>IF(A461&lt;&gt;"",'Metrics planning and tracking'!$K$4,"")</f>
        <v/>
      </c>
      <c r="AA461" s="10" t="str">
        <f>IF(A461&lt;&gt;"",'Metrics planning and tracking'!$K$5,"")</f>
        <v/>
      </c>
      <c r="AB461" s="10" t="str">
        <f>IF(A461&lt;&gt;"",'Metrics planning and tracking'!$K$2,"")</f>
        <v/>
      </c>
      <c r="AC461" s="10" t="str">
        <f>IF(A461&lt;&gt;"",'Metrics planning and tracking'!$K$3,"")</f>
        <v/>
      </c>
      <c r="AD461" s="10" t="str">
        <f>IF(A461&lt;&gt;"",IF(AND(#REF!&lt;&gt;"",#REF!&lt;&gt;"",#REF!&lt;&gt;0),#REF!/#REF!*100,"NA"),"")</f>
        <v/>
      </c>
      <c r="AE461" s="10" t="str">
        <f>IF(A461&lt;&gt;"",IF(AND(#REF!&lt;&gt;"",#REF!&lt;&gt;"",#REF!&lt;&gt;0),#REF!/#REF!*100,"NA"),"")</f>
        <v/>
      </c>
      <c r="AF461" s="57" t="str">
        <f t="shared" si="55"/>
        <v/>
      </c>
      <c r="AG461" s="57" t="str">
        <f t="shared" si="56"/>
        <v/>
      </c>
      <c r="AH461" s="58" t="str">
        <f t="shared" si="57"/>
        <v/>
      </c>
      <c r="AV461" s="22" t="str">
        <f>IF(A461&lt;&gt;"",A461 &amp; "-" &amp;#REF! &amp; ROW(),"")</f>
        <v/>
      </c>
    </row>
    <row r="462" spans="11:48" x14ac:dyDescent="0.2">
      <c r="K462" s="11" t="str">
        <f>IF(AND(COUNTA(B462:C462)&gt;1,COUNTA(F462:G462)&gt;1,O462="Completed"),(G462-C462)/(C462-#REF!+1)%,"")</f>
        <v/>
      </c>
      <c r="L462" s="11" t="str">
        <f>IF(AND(COUNT(D462:E462)&gt;0,COUNTA(F462:G462)&gt;1,O462="Completed"),(G462-AG462)/(AG462-#REF!+1)%,"")</f>
        <v/>
      </c>
      <c r="M462" s="11" t="str">
        <f t="shared" si="52"/>
        <v/>
      </c>
      <c r="N462" s="11" t="str">
        <f t="shared" si="53"/>
        <v/>
      </c>
      <c r="O462" s="12"/>
      <c r="P462" s="12"/>
      <c r="R462" s="10" t="str">
        <f>IF(H462&lt;&gt;"",SUMIF(H$3:H462,"&lt;&gt;" &amp; "",H$3:H462),"")</f>
        <v/>
      </c>
      <c r="S462" s="10" t="str">
        <f t="array" ref="S462">IF(O462="Completed",SUMIF(W$3:W462,"&lt;&gt;" &amp; "",W$3:W462),"")</f>
        <v/>
      </c>
      <c r="T462" s="10" t="str">
        <f t="array" ref="T462">IF(AND(J462&lt;&gt;"",O462="Completed"),SUM(IF(O$3:O462="Completed",J$3:J462,0)),"")</f>
        <v/>
      </c>
      <c r="U462" s="10" t="str">
        <f t="shared" si="58"/>
        <v/>
      </c>
      <c r="V462" s="10">
        <f>ROW()</f>
        <v>462</v>
      </c>
      <c r="W462" s="10" t="str">
        <f t="shared" si="54"/>
        <v/>
      </c>
      <c r="Z462" s="10" t="str">
        <f>IF(A462&lt;&gt;"",'Metrics planning and tracking'!$K$4,"")</f>
        <v/>
      </c>
      <c r="AA462" s="10" t="str">
        <f>IF(A462&lt;&gt;"",'Metrics planning and tracking'!$K$5,"")</f>
        <v/>
      </c>
      <c r="AB462" s="10" t="str">
        <f>IF(A462&lt;&gt;"",'Metrics planning and tracking'!$K$2,"")</f>
        <v/>
      </c>
      <c r="AC462" s="10" t="str">
        <f>IF(A462&lt;&gt;"",'Metrics planning and tracking'!$K$3,"")</f>
        <v/>
      </c>
      <c r="AD462" s="10" t="str">
        <f>IF(A462&lt;&gt;"",IF(AND(#REF!&lt;&gt;"",#REF!&lt;&gt;"",#REF!&lt;&gt;0),#REF!/#REF!*100,"NA"),"")</f>
        <v/>
      </c>
      <c r="AE462" s="10" t="str">
        <f>IF(A462&lt;&gt;"",IF(AND(#REF!&lt;&gt;"",#REF!&lt;&gt;"",#REF!&lt;&gt;0),#REF!/#REF!*100,"NA"),"")</f>
        <v/>
      </c>
      <c r="AF462" s="57" t="str">
        <f t="shared" si="55"/>
        <v/>
      </c>
      <c r="AG462" s="57" t="str">
        <f t="shared" si="56"/>
        <v/>
      </c>
      <c r="AH462" s="58" t="str">
        <f t="shared" si="57"/>
        <v/>
      </c>
      <c r="AV462" s="22" t="str">
        <f>IF(A462&lt;&gt;"",A462 &amp; "-" &amp;#REF! &amp; ROW(),"")</f>
        <v/>
      </c>
    </row>
    <row r="463" spans="11:48" x14ac:dyDescent="0.2">
      <c r="K463" s="11" t="str">
        <f>IF(AND(COUNTA(B463:C463)&gt;1,COUNTA(F463:G463)&gt;1,O463="Completed"),(G463-C463)/(C463-#REF!+1)%,"")</f>
        <v/>
      </c>
      <c r="L463" s="11" t="str">
        <f>IF(AND(COUNT(D463:E463)&gt;0,COUNTA(F463:G463)&gt;1,O463="Completed"),(G463-AG463)/(AG463-#REF!+1)%,"")</f>
        <v/>
      </c>
      <c r="M463" s="11" t="str">
        <f t="shared" si="52"/>
        <v/>
      </c>
      <c r="N463" s="11" t="str">
        <f t="shared" si="53"/>
        <v/>
      </c>
      <c r="O463" s="12"/>
      <c r="P463" s="12"/>
      <c r="R463" s="10" t="str">
        <f>IF(H463&lt;&gt;"",SUMIF(H$3:H463,"&lt;&gt;" &amp; "",H$3:H463),"")</f>
        <v/>
      </c>
      <c r="S463" s="10" t="str">
        <f t="array" ref="S463">IF(O463="Completed",SUMIF(W$3:W463,"&lt;&gt;" &amp; "",W$3:W463),"")</f>
        <v/>
      </c>
      <c r="T463" s="10" t="str">
        <f t="array" ref="T463">IF(AND(J463&lt;&gt;"",O463="Completed"),SUM(IF(O$3:O463="Completed",J$3:J463,0)),"")</f>
        <v/>
      </c>
      <c r="U463" s="10" t="str">
        <f t="shared" si="58"/>
        <v/>
      </c>
      <c r="V463" s="10">
        <f>ROW()</f>
        <v>463</v>
      </c>
      <c r="W463" s="10" t="str">
        <f t="shared" si="54"/>
        <v/>
      </c>
      <c r="Z463" s="10" t="str">
        <f>IF(A463&lt;&gt;"",'Metrics planning and tracking'!$K$4,"")</f>
        <v/>
      </c>
      <c r="AA463" s="10" t="str">
        <f>IF(A463&lt;&gt;"",'Metrics planning and tracking'!$K$5,"")</f>
        <v/>
      </c>
      <c r="AB463" s="10" t="str">
        <f>IF(A463&lt;&gt;"",'Metrics planning and tracking'!$K$2,"")</f>
        <v/>
      </c>
      <c r="AC463" s="10" t="str">
        <f>IF(A463&lt;&gt;"",'Metrics planning and tracking'!$K$3,"")</f>
        <v/>
      </c>
      <c r="AD463" s="10" t="str">
        <f>IF(A463&lt;&gt;"",IF(AND(#REF!&lt;&gt;"",#REF!&lt;&gt;"",#REF!&lt;&gt;0),#REF!/#REF!*100,"NA"),"")</f>
        <v/>
      </c>
      <c r="AE463" s="10" t="str">
        <f>IF(A463&lt;&gt;"",IF(AND(#REF!&lt;&gt;"",#REF!&lt;&gt;"",#REF!&lt;&gt;0),#REF!/#REF!*100,"NA"),"")</f>
        <v/>
      </c>
      <c r="AF463" s="57" t="str">
        <f t="shared" si="55"/>
        <v/>
      </c>
      <c r="AG463" s="57" t="str">
        <f t="shared" si="56"/>
        <v/>
      </c>
      <c r="AH463" s="58" t="str">
        <f t="shared" si="57"/>
        <v/>
      </c>
      <c r="AV463" s="22" t="str">
        <f>IF(A463&lt;&gt;"",A463 &amp; "-" &amp;#REF! &amp; ROW(),"")</f>
        <v/>
      </c>
    </row>
    <row r="464" spans="11:48" x14ac:dyDescent="0.2">
      <c r="K464" s="11" t="str">
        <f>IF(AND(COUNTA(B464:C464)&gt;1,COUNTA(F464:G464)&gt;1,O464="Completed"),(G464-C464)/(C464-#REF!+1)%,"")</f>
        <v/>
      </c>
      <c r="L464" s="11" t="str">
        <f>IF(AND(COUNT(D464:E464)&gt;0,COUNTA(F464:G464)&gt;1,O464="Completed"),(G464-AG464)/(AG464-#REF!+1)%,"")</f>
        <v/>
      </c>
      <c r="M464" s="11" t="str">
        <f t="shared" si="52"/>
        <v/>
      </c>
      <c r="N464" s="11" t="str">
        <f t="shared" si="53"/>
        <v/>
      </c>
      <c r="O464" s="12"/>
      <c r="P464" s="12"/>
      <c r="R464" s="10" t="str">
        <f>IF(H464&lt;&gt;"",SUMIF(H$3:H464,"&lt;&gt;" &amp; "",H$3:H464),"")</f>
        <v/>
      </c>
      <c r="S464" s="10" t="str">
        <f t="array" ref="S464">IF(O464="Completed",SUMIF(W$3:W464,"&lt;&gt;" &amp; "",W$3:W464),"")</f>
        <v/>
      </c>
      <c r="T464" s="10" t="str">
        <f t="array" ref="T464">IF(AND(J464&lt;&gt;"",O464="Completed"),SUM(IF(O$3:O464="Completed",J$3:J464,0)),"")</f>
        <v/>
      </c>
      <c r="U464" s="10" t="str">
        <f t="shared" si="58"/>
        <v/>
      </c>
      <c r="V464" s="10">
        <f>ROW()</f>
        <v>464</v>
      </c>
      <c r="W464" s="10" t="str">
        <f t="shared" si="54"/>
        <v/>
      </c>
      <c r="Z464" s="10" t="str">
        <f>IF(A464&lt;&gt;"",'Metrics planning and tracking'!$K$4,"")</f>
        <v/>
      </c>
      <c r="AA464" s="10" t="str">
        <f>IF(A464&lt;&gt;"",'Metrics planning and tracking'!$K$5,"")</f>
        <v/>
      </c>
      <c r="AB464" s="10" t="str">
        <f>IF(A464&lt;&gt;"",'Metrics planning and tracking'!$K$2,"")</f>
        <v/>
      </c>
      <c r="AC464" s="10" t="str">
        <f>IF(A464&lt;&gt;"",'Metrics planning and tracking'!$K$3,"")</f>
        <v/>
      </c>
      <c r="AD464" s="10" t="str">
        <f>IF(A464&lt;&gt;"",IF(AND(#REF!&lt;&gt;"",#REF!&lt;&gt;"",#REF!&lt;&gt;0),#REF!/#REF!*100,"NA"),"")</f>
        <v/>
      </c>
      <c r="AE464" s="10" t="str">
        <f>IF(A464&lt;&gt;"",IF(AND(#REF!&lt;&gt;"",#REF!&lt;&gt;"",#REF!&lt;&gt;0),#REF!/#REF!*100,"NA"),"")</f>
        <v/>
      </c>
      <c r="AF464" s="57" t="str">
        <f t="shared" si="55"/>
        <v/>
      </c>
      <c r="AG464" s="57" t="str">
        <f t="shared" si="56"/>
        <v/>
      </c>
      <c r="AH464" s="58" t="str">
        <f t="shared" si="57"/>
        <v/>
      </c>
      <c r="AV464" s="22" t="str">
        <f>IF(A464&lt;&gt;"",A464 &amp; "-" &amp;#REF! &amp; ROW(),"")</f>
        <v/>
      </c>
    </row>
    <row r="465" spans="11:48" x14ac:dyDescent="0.2">
      <c r="K465" s="11" t="str">
        <f>IF(AND(COUNTA(B465:C465)&gt;1,COUNTA(F465:G465)&gt;1,O465="Completed"),(G465-C465)/(C465-#REF!+1)%,"")</f>
        <v/>
      </c>
      <c r="L465" s="11" t="str">
        <f>IF(AND(COUNT(D465:E465)&gt;0,COUNTA(F465:G465)&gt;1,O465="Completed"),(G465-AG465)/(AG465-#REF!+1)%,"")</f>
        <v/>
      </c>
      <c r="M465" s="11" t="str">
        <f t="shared" si="52"/>
        <v/>
      </c>
      <c r="N465" s="11" t="str">
        <f t="shared" si="53"/>
        <v/>
      </c>
      <c r="O465" s="12"/>
      <c r="P465" s="12"/>
      <c r="R465" s="10" t="str">
        <f>IF(H465&lt;&gt;"",SUMIF(H$3:H465,"&lt;&gt;" &amp; "",H$3:H465),"")</f>
        <v/>
      </c>
      <c r="S465" s="10" t="str">
        <f t="array" ref="S465">IF(O465="Completed",SUMIF(W$3:W465,"&lt;&gt;" &amp; "",W$3:W465),"")</f>
        <v/>
      </c>
      <c r="T465" s="10" t="str">
        <f t="array" ref="T465">IF(AND(J465&lt;&gt;"",O465="Completed"),SUM(IF(O$3:O465="Completed",J$3:J465,0)),"")</f>
        <v/>
      </c>
      <c r="U465" s="10" t="str">
        <f t="shared" si="58"/>
        <v/>
      </c>
      <c r="V465" s="10">
        <f>ROW()</f>
        <v>465</v>
      </c>
      <c r="W465" s="10" t="str">
        <f t="shared" si="54"/>
        <v/>
      </c>
      <c r="Z465" s="10" t="str">
        <f>IF(A465&lt;&gt;"",'Metrics planning and tracking'!$K$4,"")</f>
        <v/>
      </c>
      <c r="AA465" s="10" t="str">
        <f>IF(A465&lt;&gt;"",'Metrics planning and tracking'!$K$5,"")</f>
        <v/>
      </c>
      <c r="AB465" s="10" t="str">
        <f>IF(A465&lt;&gt;"",'Metrics planning and tracking'!$K$2,"")</f>
        <v/>
      </c>
      <c r="AC465" s="10" t="str">
        <f>IF(A465&lt;&gt;"",'Metrics planning and tracking'!$K$3,"")</f>
        <v/>
      </c>
      <c r="AD465" s="10" t="str">
        <f>IF(A465&lt;&gt;"",IF(AND(#REF!&lt;&gt;"",#REF!&lt;&gt;"",#REF!&lt;&gt;0),#REF!/#REF!*100,"NA"),"")</f>
        <v/>
      </c>
      <c r="AE465" s="10" t="str">
        <f>IF(A465&lt;&gt;"",IF(AND(#REF!&lt;&gt;"",#REF!&lt;&gt;"",#REF!&lt;&gt;0),#REF!/#REF!*100,"NA"),"")</f>
        <v/>
      </c>
      <c r="AF465" s="57" t="str">
        <f t="shared" si="55"/>
        <v/>
      </c>
      <c r="AG465" s="57" t="str">
        <f t="shared" si="56"/>
        <v/>
      </c>
      <c r="AH465" s="58" t="str">
        <f t="shared" si="57"/>
        <v/>
      </c>
      <c r="AV465" s="22" t="str">
        <f>IF(A465&lt;&gt;"",A465 &amp; "-" &amp;#REF! &amp; ROW(),"")</f>
        <v/>
      </c>
    </row>
    <row r="466" spans="11:48" x14ac:dyDescent="0.2">
      <c r="K466" s="11" t="str">
        <f>IF(AND(COUNTA(B466:C466)&gt;1,COUNTA(F466:G466)&gt;1,O466="Completed"),(G466-C466)/(C466-#REF!+1)%,"")</f>
        <v/>
      </c>
      <c r="L466" s="11" t="str">
        <f>IF(AND(COUNT(D466:E466)&gt;0,COUNTA(F466:G466)&gt;1,O466="Completed"),(G466-AG466)/(AG466-#REF!+1)%,"")</f>
        <v/>
      </c>
      <c r="M466" s="11" t="str">
        <f t="shared" si="52"/>
        <v/>
      </c>
      <c r="N466" s="11" t="str">
        <f t="shared" si="53"/>
        <v/>
      </c>
      <c r="O466" s="12"/>
      <c r="P466" s="12"/>
      <c r="R466" s="10" t="str">
        <f>IF(H466&lt;&gt;"",SUMIF(H$3:H466,"&lt;&gt;" &amp; "",H$3:H466),"")</f>
        <v/>
      </c>
      <c r="S466" s="10" t="str">
        <f t="array" ref="S466">IF(O466="Completed",SUMIF(W$3:W466,"&lt;&gt;" &amp; "",W$3:W466),"")</f>
        <v/>
      </c>
      <c r="T466" s="10" t="str">
        <f t="array" ref="T466">IF(AND(J466&lt;&gt;"",O466="Completed"),SUM(IF(O$3:O466="Completed",J$3:J466,0)),"")</f>
        <v/>
      </c>
      <c r="U466" s="10" t="str">
        <f t="shared" si="58"/>
        <v/>
      </c>
      <c r="V466" s="10">
        <f>ROW()</f>
        <v>466</v>
      </c>
      <c r="W466" s="10" t="str">
        <f t="shared" si="54"/>
        <v/>
      </c>
      <c r="Z466" s="10" t="str">
        <f>IF(A466&lt;&gt;"",'Metrics planning and tracking'!$K$4,"")</f>
        <v/>
      </c>
      <c r="AA466" s="10" t="str">
        <f>IF(A466&lt;&gt;"",'Metrics planning and tracking'!$K$5,"")</f>
        <v/>
      </c>
      <c r="AB466" s="10" t="str">
        <f>IF(A466&lt;&gt;"",'Metrics planning and tracking'!$K$2,"")</f>
        <v/>
      </c>
      <c r="AC466" s="10" t="str">
        <f>IF(A466&lt;&gt;"",'Metrics planning and tracking'!$K$3,"")</f>
        <v/>
      </c>
      <c r="AD466" s="10" t="str">
        <f>IF(A466&lt;&gt;"",IF(AND(#REF!&lt;&gt;"",#REF!&lt;&gt;"",#REF!&lt;&gt;0),#REF!/#REF!*100,"NA"),"")</f>
        <v/>
      </c>
      <c r="AE466" s="10" t="str">
        <f>IF(A466&lt;&gt;"",IF(AND(#REF!&lt;&gt;"",#REF!&lt;&gt;"",#REF!&lt;&gt;0),#REF!/#REF!*100,"NA"),"")</f>
        <v/>
      </c>
      <c r="AF466" s="57" t="str">
        <f t="shared" si="55"/>
        <v/>
      </c>
      <c r="AG466" s="57" t="str">
        <f t="shared" si="56"/>
        <v/>
      </c>
      <c r="AH466" s="58" t="str">
        <f t="shared" si="57"/>
        <v/>
      </c>
      <c r="AV466" s="22" t="str">
        <f>IF(A466&lt;&gt;"",A466 &amp; "-" &amp;#REF! &amp; ROW(),"")</f>
        <v/>
      </c>
    </row>
    <row r="467" spans="11:48" x14ac:dyDescent="0.2">
      <c r="K467" s="11" t="str">
        <f>IF(AND(COUNTA(B467:C467)&gt;1,COUNTA(F467:G467)&gt;1,O467="Completed"),(G467-C467)/(C467-#REF!+1)%,"")</f>
        <v/>
      </c>
      <c r="L467" s="11" t="str">
        <f>IF(AND(COUNT(D467:E467)&gt;0,COUNTA(F467:G467)&gt;1,O467="Completed"),(G467-AG467)/(AG467-#REF!+1)%,"")</f>
        <v/>
      </c>
      <c r="M467" s="11" t="str">
        <f t="shared" si="52"/>
        <v/>
      </c>
      <c r="N467" s="11" t="str">
        <f t="shared" si="53"/>
        <v/>
      </c>
      <c r="O467" s="12"/>
      <c r="P467" s="12"/>
      <c r="R467" s="10" t="str">
        <f>IF(H467&lt;&gt;"",SUMIF(H$3:H467,"&lt;&gt;" &amp; "",H$3:H467),"")</f>
        <v/>
      </c>
      <c r="S467" s="10" t="str">
        <f t="array" ref="S467">IF(O467="Completed",SUMIF(W$3:W467,"&lt;&gt;" &amp; "",W$3:W467),"")</f>
        <v/>
      </c>
      <c r="T467" s="10" t="str">
        <f t="array" ref="T467">IF(AND(J467&lt;&gt;"",O467="Completed"),SUM(IF(O$3:O467="Completed",J$3:J467,0)),"")</f>
        <v/>
      </c>
      <c r="U467" s="10" t="str">
        <f t="shared" si="58"/>
        <v/>
      </c>
      <c r="V467" s="10">
        <f>ROW()</f>
        <v>467</v>
      </c>
      <c r="W467" s="10" t="str">
        <f t="shared" si="54"/>
        <v/>
      </c>
      <c r="Z467" s="10" t="str">
        <f>IF(A467&lt;&gt;"",'Metrics planning and tracking'!$K$4,"")</f>
        <v/>
      </c>
      <c r="AA467" s="10" t="str">
        <f>IF(A467&lt;&gt;"",'Metrics planning and tracking'!$K$5,"")</f>
        <v/>
      </c>
      <c r="AB467" s="10" t="str">
        <f>IF(A467&lt;&gt;"",'Metrics planning and tracking'!$K$2,"")</f>
        <v/>
      </c>
      <c r="AC467" s="10" t="str">
        <f>IF(A467&lt;&gt;"",'Metrics planning and tracking'!$K$3,"")</f>
        <v/>
      </c>
      <c r="AD467" s="10" t="str">
        <f>IF(A467&lt;&gt;"",IF(AND(#REF!&lt;&gt;"",#REF!&lt;&gt;"",#REF!&lt;&gt;0),#REF!/#REF!*100,"NA"),"")</f>
        <v/>
      </c>
      <c r="AE467" s="10" t="str">
        <f>IF(A467&lt;&gt;"",IF(AND(#REF!&lt;&gt;"",#REF!&lt;&gt;"",#REF!&lt;&gt;0),#REF!/#REF!*100,"NA"),"")</f>
        <v/>
      </c>
      <c r="AF467" s="57" t="str">
        <f t="shared" si="55"/>
        <v/>
      </c>
      <c r="AG467" s="57" t="str">
        <f t="shared" si="56"/>
        <v/>
      </c>
      <c r="AH467" s="58" t="str">
        <f t="shared" si="57"/>
        <v/>
      </c>
      <c r="AV467" s="22" t="str">
        <f>IF(A467&lt;&gt;"",A467 &amp; "-" &amp;#REF! &amp; ROW(),"")</f>
        <v/>
      </c>
    </row>
    <row r="468" spans="11:48" x14ac:dyDescent="0.2">
      <c r="K468" s="11" t="str">
        <f>IF(AND(COUNTA(B468:C468)&gt;1,COUNTA(F468:G468)&gt;1,O468="Completed"),(G468-C468)/(C468-#REF!+1)%,"")</f>
        <v/>
      </c>
      <c r="L468" s="11" t="str">
        <f>IF(AND(COUNT(D468:E468)&gt;0,COUNTA(F468:G468)&gt;1,O468="Completed"),(G468-AG468)/(AG468-#REF!+1)%,"")</f>
        <v/>
      </c>
      <c r="M468" s="11" t="str">
        <f t="shared" si="52"/>
        <v/>
      </c>
      <c r="N468" s="11" t="str">
        <f t="shared" si="53"/>
        <v/>
      </c>
      <c r="O468" s="12"/>
      <c r="P468" s="12"/>
      <c r="R468" s="10" t="str">
        <f>IF(H468&lt;&gt;"",SUMIF(H$3:H468,"&lt;&gt;" &amp; "",H$3:H468),"")</f>
        <v/>
      </c>
      <c r="S468" s="10" t="str">
        <f t="array" ref="S468">IF(O468="Completed",SUMIF(W$3:W468,"&lt;&gt;" &amp; "",W$3:W468),"")</f>
        <v/>
      </c>
      <c r="T468" s="10" t="str">
        <f t="array" ref="T468">IF(AND(J468&lt;&gt;"",O468="Completed"),SUM(IF(O$3:O468="Completed",J$3:J468,0)),"")</f>
        <v/>
      </c>
      <c r="U468" s="10" t="str">
        <f t="shared" si="58"/>
        <v/>
      </c>
      <c r="V468" s="10">
        <f>ROW()</f>
        <v>468</v>
      </c>
      <c r="W468" s="10" t="str">
        <f t="shared" si="54"/>
        <v/>
      </c>
      <c r="Z468" s="10" t="str">
        <f>IF(A468&lt;&gt;"",'Metrics planning and tracking'!$K$4,"")</f>
        <v/>
      </c>
      <c r="AA468" s="10" t="str">
        <f>IF(A468&lt;&gt;"",'Metrics planning and tracking'!$K$5,"")</f>
        <v/>
      </c>
      <c r="AB468" s="10" t="str">
        <f>IF(A468&lt;&gt;"",'Metrics planning and tracking'!$K$2,"")</f>
        <v/>
      </c>
      <c r="AC468" s="10" t="str">
        <f>IF(A468&lt;&gt;"",'Metrics planning and tracking'!$K$3,"")</f>
        <v/>
      </c>
      <c r="AD468" s="10" t="str">
        <f>IF(A468&lt;&gt;"",IF(AND(#REF!&lt;&gt;"",#REF!&lt;&gt;"",#REF!&lt;&gt;0),#REF!/#REF!*100,"NA"),"")</f>
        <v/>
      </c>
      <c r="AE468" s="10" t="str">
        <f>IF(A468&lt;&gt;"",IF(AND(#REF!&lt;&gt;"",#REF!&lt;&gt;"",#REF!&lt;&gt;0),#REF!/#REF!*100,"NA"),"")</f>
        <v/>
      </c>
      <c r="AF468" s="57" t="str">
        <f t="shared" si="55"/>
        <v/>
      </c>
      <c r="AG468" s="57" t="str">
        <f t="shared" si="56"/>
        <v/>
      </c>
      <c r="AH468" s="58" t="str">
        <f t="shared" si="57"/>
        <v/>
      </c>
      <c r="AV468" s="22" t="str">
        <f>IF(A468&lt;&gt;"",A468 &amp; "-" &amp;#REF! &amp; ROW(),"")</f>
        <v/>
      </c>
    </row>
    <row r="469" spans="11:48" x14ac:dyDescent="0.2">
      <c r="K469" s="11" t="str">
        <f>IF(AND(COUNTA(B469:C469)&gt;1,COUNTA(F469:G469)&gt;1,O469="Completed"),(G469-C469)/(C469-#REF!+1)%,"")</f>
        <v/>
      </c>
      <c r="L469" s="11" t="str">
        <f>IF(AND(COUNT(D469:E469)&gt;0,COUNTA(F469:G469)&gt;1,O469="Completed"),(G469-AG469)/(AG469-#REF!+1)%,"")</f>
        <v/>
      </c>
      <c r="M469" s="11" t="str">
        <f t="shared" si="52"/>
        <v/>
      </c>
      <c r="N469" s="11" t="str">
        <f t="shared" si="53"/>
        <v/>
      </c>
      <c r="O469" s="12"/>
      <c r="P469" s="12"/>
      <c r="R469" s="10" t="str">
        <f>IF(H469&lt;&gt;"",SUMIF(H$3:H469,"&lt;&gt;" &amp; "",H$3:H469),"")</f>
        <v/>
      </c>
      <c r="S469" s="10" t="str">
        <f t="array" ref="S469">IF(O469="Completed",SUMIF(W$3:W469,"&lt;&gt;" &amp; "",W$3:W469),"")</f>
        <v/>
      </c>
      <c r="T469" s="10" t="str">
        <f t="array" ref="T469">IF(AND(J469&lt;&gt;"",O469="Completed"),SUM(IF(O$3:O469="Completed",J$3:J469,0)),"")</f>
        <v/>
      </c>
      <c r="U469" s="10" t="str">
        <f t="shared" si="58"/>
        <v/>
      </c>
      <c r="V469" s="10">
        <f>ROW()</f>
        <v>469</v>
      </c>
      <c r="W469" s="10" t="str">
        <f t="shared" si="54"/>
        <v/>
      </c>
      <c r="Z469" s="10" t="str">
        <f>IF(A469&lt;&gt;"",'Metrics planning and tracking'!$K$4,"")</f>
        <v/>
      </c>
      <c r="AA469" s="10" t="str">
        <f>IF(A469&lt;&gt;"",'Metrics planning and tracking'!$K$5,"")</f>
        <v/>
      </c>
      <c r="AB469" s="10" t="str">
        <f>IF(A469&lt;&gt;"",'Metrics planning and tracking'!$K$2,"")</f>
        <v/>
      </c>
      <c r="AC469" s="10" t="str">
        <f>IF(A469&lt;&gt;"",'Metrics planning and tracking'!$K$3,"")</f>
        <v/>
      </c>
      <c r="AD469" s="10" t="str">
        <f>IF(A469&lt;&gt;"",IF(AND(#REF!&lt;&gt;"",#REF!&lt;&gt;"",#REF!&lt;&gt;0),#REF!/#REF!*100,"NA"),"")</f>
        <v/>
      </c>
      <c r="AE469" s="10" t="str">
        <f>IF(A469&lt;&gt;"",IF(AND(#REF!&lt;&gt;"",#REF!&lt;&gt;"",#REF!&lt;&gt;0),#REF!/#REF!*100,"NA"),"")</f>
        <v/>
      </c>
      <c r="AF469" s="57" t="str">
        <f t="shared" si="55"/>
        <v/>
      </c>
      <c r="AG469" s="57" t="str">
        <f t="shared" si="56"/>
        <v/>
      </c>
      <c r="AH469" s="58" t="str">
        <f t="shared" si="57"/>
        <v/>
      </c>
      <c r="AV469" s="22" t="str">
        <f>IF(A469&lt;&gt;"",A469 &amp; "-" &amp;#REF! &amp; ROW(),"")</f>
        <v/>
      </c>
    </row>
    <row r="470" spans="11:48" x14ac:dyDescent="0.2">
      <c r="K470" s="11" t="str">
        <f>IF(AND(COUNTA(B470:C470)&gt;1,COUNTA(F470:G470)&gt;1,O470="Completed"),(G470-C470)/(C470-#REF!+1)%,"")</f>
        <v/>
      </c>
      <c r="L470" s="11" t="str">
        <f>IF(AND(COUNT(D470:E470)&gt;0,COUNTA(F470:G470)&gt;1,O470="Completed"),(G470-AG470)/(AG470-#REF!+1)%,"")</f>
        <v/>
      </c>
      <c r="M470" s="11" t="str">
        <f t="shared" ref="M470:M496" si="59">IF(AND(T470&lt;&gt;"",T470&lt;&gt;0,R470&lt;&gt;"",R470&lt;&gt;0),(T470-R470)/R470%,IF(AND(H470&lt;&gt;"",H470&lt;&gt;0,OR(J470="",J470=0)),"Actual Effort reqd.",""))</f>
        <v/>
      </c>
      <c r="N470" s="11" t="str">
        <f t="shared" ref="N470:N496" si="60">IF(AND(T470&lt;&gt;"",T470&lt;&gt;0,S470&lt;&gt;"",S470&lt;&gt;0),(T470-S470)/S470%,IF(AND(I470&lt;&gt;"",I470&lt;&gt;0,OR(J470="",J470=0)),"Actual Effort reqd.",""))</f>
        <v/>
      </c>
      <c r="O470" s="12"/>
      <c r="P470" s="12"/>
      <c r="R470" s="10" t="str">
        <f>IF(H470&lt;&gt;"",SUMIF(H$3:H470,"&lt;&gt;" &amp; "",H$3:H470),"")</f>
        <v/>
      </c>
      <c r="S470" s="10" t="str">
        <f t="array" ref="S470">IF(O470="Completed",SUMIF(W$3:W470,"&lt;&gt;" &amp; "",W$3:W470),"")</f>
        <v/>
      </c>
      <c r="T470" s="10" t="str">
        <f t="array" ref="T470">IF(AND(J470&lt;&gt;"",O470="Completed"),SUM(IF(O$3:O470="Completed",J$3:J470,0)),"")</f>
        <v/>
      </c>
      <c r="U470" s="10" t="str">
        <f t="shared" si="58"/>
        <v/>
      </c>
      <c r="V470" s="10">
        <f>ROW()</f>
        <v>470</v>
      </c>
      <c r="W470" s="10" t="str">
        <f t="shared" ref="W470:W496" si="61">IF(O470="Completed",IF(COUNT($I$3:$I$596)&gt;0,IF(I470&lt;&gt;"",I470,H470),""),"")</f>
        <v/>
      </c>
      <c r="Z470" s="10" t="str">
        <f>IF(A470&lt;&gt;"",'Metrics planning and tracking'!$K$4,"")</f>
        <v/>
      </c>
      <c r="AA470" s="10" t="str">
        <f>IF(A470&lt;&gt;"",'Metrics planning and tracking'!$K$5,"")</f>
        <v/>
      </c>
      <c r="AB470" s="10" t="str">
        <f>IF(A470&lt;&gt;"",'Metrics planning and tracking'!$K$2,"")</f>
        <v/>
      </c>
      <c r="AC470" s="10" t="str">
        <f>IF(A470&lt;&gt;"",'Metrics planning and tracking'!$K$3,"")</f>
        <v/>
      </c>
      <c r="AD470" s="10" t="str">
        <f>IF(A470&lt;&gt;"",IF(AND(#REF!&lt;&gt;"",#REF!&lt;&gt;"",#REF!&lt;&gt;0),#REF!/#REF!*100,"NA"),"")</f>
        <v/>
      </c>
      <c r="AE470" s="10" t="str">
        <f>IF(A470&lt;&gt;"",IF(AND(#REF!&lt;&gt;"",#REF!&lt;&gt;"",#REF!&lt;&gt;0),#REF!/#REF!*100,"NA"),"")</f>
        <v/>
      </c>
      <c r="AF470" s="57" t="str">
        <f t="shared" ref="AF470:AF496" si="62">IF($O470="Completed",IF(D470&lt;&gt;"",D470,IF(B470&lt;&gt;"",B470,"")),"")</f>
        <v/>
      </c>
      <c r="AG470" s="57" t="str">
        <f t="shared" ref="AG470:AG496" si="63">IF($O470="Completed",IF(E470&lt;&gt;"",E470,IF(C470&lt;&gt;"",C470,"")),"")</f>
        <v/>
      </c>
      <c r="AH470" s="58" t="str">
        <f t="shared" ref="AH470:AH496" si="64">IF(O470="Completed",IF(L470&lt;&gt;"",L470,IF(K470&lt;&gt;"",K470,"")),"")</f>
        <v/>
      </c>
      <c r="AV470" s="22" t="str">
        <f>IF(A470&lt;&gt;"",A470 &amp; "-" &amp;#REF! &amp; ROW(),"")</f>
        <v/>
      </c>
    </row>
    <row r="471" spans="11:48" x14ac:dyDescent="0.2">
      <c r="K471" s="11" t="str">
        <f>IF(AND(COUNTA(B471:C471)&gt;1,COUNTA(F471:G471)&gt;1,O471="Completed"),(G471-C471)/(C471-#REF!+1)%,"")</f>
        <v/>
      </c>
      <c r="L471" s="11" t="str">
        <f>IF(AND(COUNT(D471:E471)&gt;0,COUNTA(F471:G471)&gt;1,O471="Completed"),(G471-AG471)/(AG471-#REF!+1)%,"")</f>
        <v/>
      </c>
      <c r="M471" s="11" t="str">
        <f t="shared" si="59"/>
        <v/>
      </c>
      <c r="N471" s="11" t="str">
        <f t="shared" si="60"/>
        <v/>
      </c>
      <c r="O471" s="12"/>
      <c r="P471" s="12"/>
      <c r="R471" s="10" t="str">
        <f>IF(H471&lt;&gt;"",SUMIF(H$3:H471,"&lt;&gt;" &amp; "",H$3:H471),"")</f>
        <v/>
      </c>
      <c r="S471" s="10" t="str">
        <f t="array" ref="S471">IF(O471="Completed",SUMIF(W$3:W471,"&lt;&gt;" &amp; "",W$3:W471),"")</f>
        <v/>
      </c>
      <c r="T471" s="10" t="str">
        <f t="array" ref="T471">IF(AND(J471&lt;&gt;"",O471="Completed"),SUM(IF(O$3:O471="Completed",J$3:J471,0)),"")</f>
        <v/>
      </c>
      <c r="U471" s="10" t="str">
        <f t="shared" si="58"/>
        <v/>
      </c>
      <c r="V471" s="10">
        <f>ROW()</f>
        <v>471</v>
      </c>
      <c r="W471" s="10" t="str">
        <f t="shared" si="61"/>
        <v/>
      </c>
      <c r="Z471" s="10" t="str">
        <f>IF(A471&lt;&gt;"",'Metrics planning and tracking'!$K$4,"")</f>
        <v/>
      </c>
      <c r="AA471" s="10" t="str">
        <f>IF(A471&lt;&gt;"",'Metrics planning and tracking'!$K$5,"")</f>
        <v/>
      </c>
      <c r="AB471" s="10" t="str">
        <f>IF(A471&lt;&gt;"",'Metrics planning and tracking'!$K$2,"")</f>
        <v/>
      </c>
      <c r="AC471" s="10" t="str">
        <f>IF(A471&lt;&gt;"",'Metrics planning and tracking'!$K$3,"")</f>
        <v/>
      </c>
      <c r="AD471" s="10" t="str">
        <f>IF(A471&lt;&gt;"",IF(AND(#REF!&lt;&gt;"",#REF!&lt;&gt;"",#REF!&lt;&gt;0),#REF!/#REF!*100,"NA"),"")</f>
        <v/>
      </c>
      <c r="AE471" s="10" t="str">
        <f>IF(A471&lt;&gt;"",IF(AND(#REF!&lt;&gt;"",#REF!&lt;&gt;"",#REF!&lt;&gt;0),#REF!/#REF!*100,"NA"),"")</f>
        <v/>
      </c>
      <c r="AF471" s="57" t="str">
        <f t="shared" si="62"/>
        <v/>
      </c>
      <c r="AG471" s="57" t="str">
        <f t="shared" si="63"/>
        <v/>
      </c>
      <c r="AH471" s="58" t="str">
        <f t="shared" si="64"/>
        <v/>
      </c>
      <c r="AV471" s="22" t="str">
        <f>IF(A471&lt;&gt;"",A471 &amp; "-" &amp;#REF! &amp; ROW(),"")</f>
        <v/>
      </c>
    </row>
    <row r="472" spans="11:48" x14ac:dyDescent="0.2">
      <c r="K472" s="11" t="str">
        <f>IF(AND(COUNTA(B472:C472)&gt;1,COUNTA(F472:G472)&gt;1,O472="Completed"),(G472-C472)/(C472-#REF!+1)%,"")</f>
        <v/>
      </c>
      <c r="L472" s="11" t="str">
        <f>IF(AND(COUNT(D472:E472)&gt;0,COUNTA(F472:G472)&gt;1,O472="Completed"),(G472-AG472)/(AG472-#REF!+1)%,"")</f>
        <v/>
      </c>
      <c r="M472" s="11" t="str">
        <f t="shared" si="59"/>
        <v/>
      </c>
      <c r="N472" s="11" t="str">
        <f t="shared" si="60"/>
        <v/>
      </c>
      <c r="O472" s="12"/>
      <c r="P472" s="12"/>
      <c r="R472" s="10" t="str">
        <f>IF(H472&lt;&gt;"",SUMIF(H$3:H472,"&lt;&gt;" &amp; "",H$3:H472),"")</f>
        <v/>
      </c>
      <c r="S472" s="10" t="str">
        <f t="array" ref="S472">IF(O472="Completed",SUMIF(W$3:W472,"&lt;&gt;" &amp; "",W$3:W472),"")</f>
        <v/>
      </c>
      <c r="T472" s="10" t="str">
        <f t="array" ref="T472">IF(AND(J472&lt;&gt;"",O472="Completed"),SUM(IF(O$3:O472="Completed",J$3:J472,0)),"")</f>
        <v/>
      </c>
      <c r="U472" s="10" t="str">
        <f t="shared" si="58"/>
        <v/>
      </c>
      <c r="V472" s="10">
        <f>ROW()</f>
        <v>472</v>
      </c>
      <c r="W472" s="10" t="str">
        <f t="shared" si="61"/>
        <v/>
      </c>
      <c r="Z472" s="10" t="str">
        <f>IF(A472&lt;&gt;"",'Metrics planning and tracking'!$K$4,"")</f>
        <v/>
      </c>
      <c r="AA472" s="10" t="str">
        <f>IF(A472&lt;&gt;"",'Metrics planning and tracking'!$K$5,"")</f>
        <v/>
      </c>
      <c r="AB472" s="10" t="str">
        <f>IF(A472&lt;&gt;"",'Metrics planning and tracking'!$K$2,"")</f>
        <v/>
      </c>
      <c r="AC472" s="10" t="str">
        <f>IF(A472&lt;&gt;"",'Metrics planning and tracking'!$K$3,"")</f>
        <v/>
      </c>
      <c r="AD472" s="10" t="str">
        <f>IF(A472&lt;&gt;"",IF(AND(#REF!&lt;&gt;"",#REF!&lt;&gt;"",#REF!&lt;&gt;0),#REF!/#REF!*100,"NA"),"")</f>
        <v/>
      </c>
      <c r="AE472" s="10" t="str">
        <f>IF(A472&lt;&gt;"",IF(AND(#REF!&lt;&gt;"",#REF!&lt;&gt;"",#REF!&lt;&gt;0),#REF!/#REF!*100,"NA"),"")</f>
        <v/>
      </c>
      <c r="AF472" s="57" t="str">
        <f t="shared" si="62"/>
        <v/>
      </c>
      <c r="AG472" s="57" t="str">
        <f t="shared" si="63"/>
        <v/>
      </c>
      <c r="AH472" s="58" t="str">
        <f t="shared" si="64"/>
        <v/>
      </c>
      <c r="AV472" s="22" t="str">
        <f>IF(A472&lt;&gt;"",A472 &amp; "-" &amp;#REF! &amp; ROW(),"")</f>
        <v/>
      </c>
    </row>
    <row r="473" spans="11:48" x14ac:dyDescent="0.2">
      <c r="K473" s="11" t="str">
        <f>IF(AND(COUNTA(B473:C473)&gt;1,COUNTA(F473:G473)&gt;1,O473="Completed"),(G473-C473)/(C473-#REF!+1)%,"")</f>
        <v/>
      </c>
      <c r="L473" s="11" t="str">
        <f>IF(AND(COUNT(D473:E473)&gt;0,COUNTA(F473:G473)&gt;1,O473="Completed"),(G473-AG473)/(AG473-#REF!+1)%,"")</f>
        <v/>
      </c>
      <c r="M473" s="11" t="str">
        <f t="shared" si="59"/>
        <v/>
      </c>
      <c r="N473" s="11" t="str">
        <f t="shared" si="60"/>
        <v/>
      </c>
      <c r="O473" s="12"/>
      <c r="P473" s="12"/>
      <c r="R473" s="10" t="str">
        <f>IF(H473&lt;&gt;"",SUMIF(H$3:H473,"&lt;&gt;" &amp; "",H$3:H473),"")</f>
        <v/>
      </c>
      <c r="S473" s="10" t="str">
        <f t="array" ref="S473">IF(O473="Completed",SUMIF(W$3:W473,"&lt;&gt;" &amp; "",W$3:W473),"")</f>
        <v/>
      </c>
      <c r="T473" s="10" t="str">
        <f t="array" ref="T473">IF(AND(J473&lt;&gt;"",O473="Completed"),SUM(IF(O$3:O473="Completed",J$3:J473,0)),"")</f>
        <v/>
      </c>
      <c r="U473" s="10" t="str">
        <f t="shared" si="58"/>
        <v/>
      </c>
      <c r="V473" s="10">
        <f>ROW()</f>
        <v>473</v>
      </c>
      <c r="W473" s="10" t="str">
        <f t="shared" si="61"/>
        <v/>
      </c>
      <c r="Z473" s="10" t="str">
        <f>IF(A473&lt;&gt;"",'Metrics planning and tracking'!$K$4,"")</f>
        <v/>
      </c>
      <c r="AA473" s="10" t="str">
        <f>IF(A473&lt;&gt;"",'Metrics planning and tracking'!$K$5,"")</f>
        <v/>
      </c>
      <c r="AB473" s="10" t="str">
        <f>IF(A473&lt;&gt;"",'Metrics planning and tracking'!$K$2,"")</f>
        <v/>
      </c>
      <c r="AC473" s="10" t="str">
        <f>IF(A473&lt;&gt;"",'Metrics planning and tracking'!$K$3,"")</f>
        <v/>
      </c>
      <c r="AD473" s="10" t="str">
        <f>IF(A473&lt;&gt;"",IF(AND(#REF!&lt;&gt;"",#REF!&lt;&gt;"",#REF!&lt;&gt;0),#REF!/#REF!*100,"NA"),"")</f>
        <v/>
      </c>
      <c r="AE473" s="10" t="str">
        <f>IF(A473&lt;&gt;"",IF(AND(#REF!&lt;&gt;"",#REF!&lt;&gt;"",#REF!&lt;&gt;0),#REF!/#REF!*100,"NA"),"")</f>
        <v/>
      </c>
      <c r="AF473" s="57" t="str">
        <f t="shared" si="62"/>
        <v/>
      </c>
      <c r="AG473" s="57" t="str">
        <f t="shared" si="63"/>
        <v/>
      </c>
      <c r="AH473" s="58" t="str">
        <f t="shared" si="64"/>
        <v/>
      </c>
      <c r="AV473" s="22" t="str">
        <f>IF(A473&lt;&gt;"",A473 &amp; "-" &amp;#REF! &amp; ROW(),"")</f>
        <v/>
      </c>
    </row>
    <row r="474" spans="11:48" x14ac:dyDescent="0.2">
      <c r="K474" s="11" t="str">
        <f>IF(AND(COUNTA(B474:C474)&gt;1,COUNTA(F474:G474)&gt;1,O474="Completed"),(G474-C474)/(C474-#REF!+1)%,"")</f>
        <v/>
      </c>
      <c r="L474" s="11" t="str">
        <f>IF(AND(COUNT(D474:E474)&gt;0,COUNTA(F474:G474)&gt;1,O474="Completed"),(G474-AG474)/(AG474-#REF!+1)%,"")</f>
        <v/>
      </c>
      <c r="M474" s="11" t="str">
        <f t="shared" si="59"/>
        <v/>
      </c>
      <c r="N474" s="11" t="str">
        <f t="shared" si="60"/>
        <v/>
      </c>
      <c r="O474" s="12"/>
      <c r="P474" s="12"/>
      <c r="R474" s="10" t="str">
        <f>IF(H474&lt;&gt;"",SUMIF(H$3:H474,"&lt;&gt;" &amp; "",H$3:H474),"")</f>
        <v/>
      </c>
      <c r="S474" s="10" t="str">
        <f t="array" ref="S474">IF(O474="Completed",SUMIF(W$3:W474,"&lt;&gt;" &amp; "",W$3:W474),"")</f>
        <v/>
      </c>
      <c r="T474" s="10" t="str">
        <f t="array" ref="T474">IF(AND(J474&lt;&gt;"",O474="Completed"),SUM(IF(O$3:O474="Completed",J$3:J474,0)),"")</f>
        <v/>
      </c>
      <c r="U474" s="10" t="str">
        <f t="shared" si="58"/>
        <v/>
      </c>
      <c r="V474" s="10">
        <f>ROW()</f>
        <v>474</v>
      </c>
      <c r="W474" s="10" t="str">
        <f t="shared" si="61"/>
        <v/>
      </c>
      <c r="Z474" s="10" t="str">
        <f>IF(A474&lt;&gt;"",'Metrics planning and tracking'!$K$4,"")</f>
        <v/>
      </c>
      <c r="AA474" s="10" t="str">
        <f>IF(A474&lt;&gt;"",'Metrics planning and tracking'!$K$5,"")</f>
        <v/>
      </c>
      <c r="AB474" s="10" t="str">
        <f>IF(A474&lt;&gt;"",'Metrics planning and tracking'!$K$2,"")</f>
        <v/>
      </c>
      <c r="AC474" s="10" t="str">
        <f>IF(A474&lt;&gt;"",'Metrics planning and tracking'!$K$3,"")</f>
        <v/>
      </c>
      <c r="AD474" s="10" t="str">
        <f>IF(A474&lt;&gt;"",IF(AND(#REF!&lt;&gt;"",#REF!&lt;&gt;"",#REF!&lt;&gt;0),#REF!/#REF!*100,"NA"),"")</f>
        <v/>
      </c>
      <c r="AE474" s="10" t="str">
        <f>IF(A474&lt;&gt;"",IF(AND(#REF!&lt;&gt;"",#REF!&lt;&gt;"",#REF!&lt;&gt;0),#REF!/#REF!*100,"NA"),"")</f>
        <v/>
      </c>
      <c r="AF474" s="57" t="str">
        <f t="shared" si="62"/>
        <v/>
      </c>
      <c r="AG474" s="57" t="str">
        <f t="shared" si="63"/>
        <v/>
      </c>
      <c r="AH474" s="58" t="str">
        <f t="shared" si="64"/>
        <v/>
      </c>
      <c r="AV474" s="22" t="str">
        <f>IF(A474&lt;&gt;"",A474 &amp; "-" &amp;#REF! &amp; ROW(),"")</f>
        <v/>
      </c>
    </row>
    <row r="475" spans="11:48" x14ac:dyDescent="0.2">
      <c r="K475" s="11" t="str">
        <f>IF(AND(COUNTA(B475:C475)&gt;1,COUNTA(F475:G475)&gt;1,O475="Completed"),(G475-C475)/(C475-#REF!+1)%,"")</f>
        <v/>
      </c>
      <c r="L475" s="11" t="str">
        <f>IF(AND(COUNT(D475:E475)&gt;0,COUNTA(F475:G475)&gt;1,O475="Completed"),(G475-AG475)/(AG475-#REF!+1)%,"")</f>
        <v/>
      </c>
      <c r="M475" s="11" t="str">
        <f t="shared" si="59"/>
        <v/>
      </c>
      <c r="N475" s="11" t="str">
        <f t="shared" si="60"/>
        <v/>
      </c>
      <c r="O475" s="12"/>
      <c r="P475" s="12"/>
      <c r="R475" s="10" t="str">
        <f>IF(H475&lt;&gt;"",SUMIF(H$3:H475,"&lt;&gt;" &amp; "",H$3:H475),"")</f>
        <v/>
      </c>
      <c r="S475" s="10" t="str">
        <f t="array" ref="S475">IF(O475="Completed",SUMIF(W$3:W475,"&lt;&gt;" &amp; "",W$3:W475),"")</f>
        <v/>
      </c>
      <c r="T475" s="10" t="str">
        <f t="array" ref="T475">IF(AND(J475&lt;&gt;"",O475="Completed"),SUM(IF(O$3:O475="Completed",J$3:J475,0)),"")</f>
        <v/>
      </c>
      <c r="U475" s="10" t="str">
        <f t="shared" si="58"/>
        <v/>
      </c>
      <c r="V475" s="10">
        <f>ROW()</f>
        <v>475</v>
      </c>
      <c r="W475" s="10" t="str">
        <f t="shared" si="61"/>
        <v/>
      </c>
      <c r="Z475" s="10" t="str">
        <f>IF(A475&lt;&gt;"",'Metrics planning and tracking'!$K$4,"")</f>
        <v/>
      </c>
      <c r="AA475" s="10" t="str">
        <f>IF(A475&lt;&gt;"",'Metrics planning and tracking'!$K$5,"")</f>
        <v/>
      </c>
      <c r="AB475" s="10" t="str">
        <f>IF(A475&lt;&gt;"",'Metrics planning and tracking'!$K$2,"")</f>
        <v/>
      </c>
      <c r="AC475" s="10" t="str">
        <f>IF(A475&lt;&gt;"",'Metrics planning and tracking'!$K$3,"")</f>
        <v/>
      </c>
      <c r="AD475" s="10" t="str">
        <f>IF(A475&lt;&gt;"",IF(AND(#REF!&lt;&gt;"",#REF!&lt;&gt;"",#REF!&lt;&gt;0),#REF!/#REF!*100,"NA"),"")</f>
        <v/>
      </c>
      <c r="AE475" s="10" t="str">
        <f>IF(A475&lt;&gt;"",IF(AND(#REF!&lt;&gt;"",#REF!&lt;&gt;"",#REF!&lt;&gt;0),#REF!/#REF!*100,"NA"),"")</f>
        <v/>
      </c>
      <c r="AF475" s="57" t="str">
        <f t="shared" si="62"/>
        <v/>
      </c>
      <c r="AG475" s="57" t="str">
        <f t="shared" si="63"/>
        <v/>
      </c>
      <c r="AH475" s="58" t="str">
        <f t="shared" si="64"/>
        <v/>
      </c>
      <c r="AV475" s="22" t="str">
        <f>IF(A475&lt;&gt;"",A475 &amp; "-" &amp;#REF! &amp; ROW(),"")</f>
        <v/>
      </c>
    </row>
    <row r="476" spans="11:48" x14ac:dyDescent="0.2">
      <c r="K476" s="11" t="str">
        <f>IF(AND(COUNTA(B476:C476)&gt;1,COUNTA(F476:G476)&gt;1,O476="Completed"),(G476-C476)/(C476-#REF!+1)%,"")</f>
        <v/>
      </c>
      <c r="L476" s="11" t="str">
        <f>IF(AND(COUNT(D476:E476)&gt;0,COUNTA(F476:G476)&gt;1,O476="Completed"),(G476-AG476)/(AG476-#REF!+1)%,"")</f>
        <v/>
      </c>
      <c r="M476" s="11" t="str">
        <f t="shared" si="59"/>
        <v/>
      </c>
      <c r="N476" s="11" t="str">
        <f t="shared" si="60"/>
        <v/>
      </c>
      <c r="O476" s="12"/>
      <c r="P476" s="12"/>
      <c r="R476" s="10" t="str">
        <f>IF(H476&lt;&gt;"",SUMIF(H$3:H476,"&lt;&gt;" &amp; "",H$3:H476),"")</f>
        <v/>
      </c>
      <c r="S476" s="10" t="str">
        <f t="array" ref="S476">IF(O476="Completed",SUMIF(W$3:W476,"&lt;&gt;" &amp; "",W$3:W476),"")</f>
        <v/>
      </c>
      <c r="T476" s="10" t="str">
        <f t="array" ref="T476">IF(AND(J476&lt;&gt;"",O476="Completed"),SUM(IF(O$3:O476="Completed",J$3:J476,0)),"")</f>
        <v/>
      </c>
      <c r="U476" s="10" t="str">
        <f t="shared" si="58"/>
        <v/>
      </c>
      <c r="V476" s="10">
        <f>ROW()</f>
        <v>476</v>
      </c>
      <c r="W476" s="10" t="str">
        <f t="shared" si="61"/>
        <v/>
      </c>
      <c r="Z476" s="10" t="str">
        <f>IF(A476&lt;&gt;"",'Metrics planning and tracking'!$K$4,"")</f>
        <v/>
      </c>
      <c r="AA476" s="10" t="str">
        <f>IF(A476&lt;&gt;"",'Metrics planning and tracking'!$K$5,"")</f>
        <v/>
      </c>
      <c r="AB476" s="10" t="str">
        <f>IF(A476&lt;&gt;"",'Metrics planning and tracking'!$K$2,"")</f>
        <v/>
      </c>
      <c r="AC476" s="10" t="str">
        <f>IF(A476&lt;&gt;"",'Metrics planning and tracking'!$K$3,"")</f>
        <v/>
      </c>
      <c r="AD476" s="10" t="str">
        <f>IF(A476&lt;&gt;"",IF(AND(#REF!&lt;&gt;"",#REF!&lt;&gt;"",#REF!&lt;&gt;0),#REF!/#REF!*100,"NA"),"")</f>
        <v/>
      </c>
      <c r="AE476" s="10" t="str">
        <f>IF(A476&lt;&gt;"",IF(AND(#REF!&lt;&gt;"",#REF!&lt;&gt;"",#REF!&lt;&gt;0),#REF!/#REF!*100,"NA"),"")</f>
        <v/>
      </c>
      <c r="AF476" s="57" t="str">
        <f t="shared" si="62"/>
        <v/>
      </c>
      <c r="AG476" s="57" t="str">
        <f t="shared" si="63"/>
        <v/>
      </c>
      <c r="AH476" s="58" t="str">
        <f t="shared" si="64"/>
        <v/>
      </c>
      <c r="AV476" s="22" t="str">
        <f>IF(A476&lt;&gt;"",A476 &amp; "-" &amp;#REF! &amp; ROW(),"")</f>
        <v/>
      </c>
    </row>
    <row r="477" spans="11:48" x14ac:dyDescent="0.2">
      <c r="K477" s="11" t="str">
        <f>IF(AND(COUNTA(B477:C477)&gt;1,COUNTA(F477:G477)&gt;1,O477="Completed"),(G477-C477)/(C477-#REF!+1)%,"")</f>
        <v/>
      </c>
      <c r="L477" s="11" t="str">
        <f>IF(AND(COUNT(D477:E477)&gt;0,COUNTA(F477:G477)&gt;1,O477="Completed"),(G477-AG477)/(AG477-#REF!+1)%,"")</f>
        <v/>
      </c>
      <c r="M477" s="11" t="str">
        <f t="shared" si="59"/>
        <v/>
      </c>
      <c r="N477" s="11" t="str">
        <f t="shared" si="60"/>
        <v/>
      </c>
      <c r="O477" s="12"/>
      <c r="P477" s="12"/>
      <c r="R477" s="10" t="str">
        <f>IF(H477&lt;&gt;"",SUMIF(H$3:H477,"&lt;&gt;" &amp; "",H$3:H477),"")</f>
        <v/>
      </c>
      <c r="S477" s="10" t="str">
        <f t="array" ref="S477">IF(O477="Completed",SUMIF(W$3:W477,"&lt;&gt;" &amp; "",W$3:W477),"")</f>
        <v/>
      </c>
      <c r="T477" s="10" t="str">
        <f t="array" ref="T477">IF(AND(J477&lt;&gt;"",O477="Completed"),SUM(IF(O$3:O477="Completed",J$3:J477,0)),"")</f>
        <v/>
      </c>
      <c r="U477" s="10" t="str">
        <f t="shared" si="58"/>
        <v/>
      </c>
      <c r="V477" s="10">
        <f>ROW()</f>
        <v>477</v>
      </c>
      <c r="W477" s="10" t="str">
        <f t="shared" si="61"/>
        <v/>
      </c>
      <c r="Z477" s="10" t="str">
        <f>IF(A477&lt;&gt;"",'Metrics planning and tracking'!$K$4,"")</f>
        <v/>
      </c>
      <c r="AA477" s="10" t="str">
        <f>IF(A477&lt;&gt;"",'Metrics planning and tracking'!$K$5,"")</f>
        <v/>
      </c>
      <c r="AB477" s="10" t="str">
        <f>IF(A477&lt;&gt;"",'Metrics planning and tracking'!$K$2,"")</f>
        <v/>
      </c>
      <c r="AC477" s="10" t="str">
        <f>IF(A477&lt;&gt;"",'Metrics planning and tracking'!$K$3,"")</f>
        <v/>
      </c>
      <c r="AD477" s="10" t="str">
        <f>IF(A477&lt;&gt;"",IF(AND(#REF!&lt;&gt;"",#REF!&lt;&gt;"",#REF!&lt;&gt;0),#REF!/#REF!*100,"NA"),"")</f>
        <v/>
      </c>
      <c r="AE477" s="10" t="str">
        <f>IF(A477&lt;&gt;"",IF(AND(#REF!&lt;&gt;"",#REF!&lt;&gt;"",#REF!&lt;&gt;0),#REF!/#REF!*100,"NA"),"")</f>
        <v/>
      </c>
      <c r="AF477" s="57" t="str">
        <f t="shared" si="62"/>
        <v/>
      </c>
      <c r="AG477" s="57" t="str">
        <f t="shared" si="63"/>
        <v/>
      </c>
      <c r="AH477" s="58" t="str">
        <f t="shared" si="64"/>
        <v/>
      </c>
      <c r="AV477" s="22" t="str">
        <f>IF(A477&lt;&gt;"",A477 &amp; "-" &amp;#REF! &amp; ROW(),"")</f>
        <v/>
      </c>
    </row>
    <row r="478" spans="11:48" x14ac:dyDescent="0.2">
      <c r="K478" s="11" t="str">
        <f>IF(AND(COUNTA(B478:C478)&gt;1,COUNTA(F478:G478)&gt;1,O478="Completed"),(G478-C478)/(C478-#REF!+1)%,"")</f>
        <v/>
      </c>
      <c r="L478" s="11" t="str">
        <f>IF(AND(COUNT(D478:E478)&gt;0,COUNTA(F478:G478)&gt;1,O478="Completed"),(G478-AG478)/(AG478-#REF!+1)%,"")</f>
        <v/>
      </c>
      <c r="M478" s="11" t="str">
        <f t="shared" si="59"/>
        <v/>
      </c>
      <c r="N478" s="11" t="str">
        <f t="shared" si="60"/>
        <v/>
      </c>
      <c r="O478" s="12"/>
      <c r="P478" s="12"/>
      <c r="R478" s="10" t="str">
        <f>IF(H478&lt;&gt;"",SUMIF(H$3:H478,"&lt;&gt;" &amp; "",H$3:H478),"")</f>
        <v/>
      </c>
      <c r="S478" s="10" t="str">
        <f t="array" ref="S478">IF(O478="Completed",SUMIF(W$3:W478,"&lt;&gt;" &amp; "",W$3:W478),"")</f>
        <v/>
      </c>
      <c r="T478" s="10" t="str">
        <f t="array" ref="T478">IF(AND(J478&lt;&gt;"",O478="Completed"),SUM(IF(O$3:O478="Completed",J$3:J478,0)),"")</f>
        <v/>
      </c>
      <c r="U478" s="10" t="str">
        <f t="shared" si="58"/>
        <v/>
      </c>
      <c r="V478" s="10">
        <f>ROW()</f>
        <v>478</v>
      </c>
      <c r="W478" s="10" t="str">
        <f t="shared" si="61"/>
        <v/>
      </c>
      <c r="Z478" s="10" t="str">
        <f>IF(A478&lt;&gt;"",'Metrics planning and tracking'!$K$4,"")</f>
        <v/>
      </c>
      <c r="AA478" s="10" t="str">
        <f>IF(A478&lt;&gt;"",'Metrics planning and tracking'!$K$5,"")</f>
        <v/>
      </c>
      <c r="AB478" s="10" t="str">
        <f>IF(A478&lt;&gt;"",'Metrics planning and tracking'!$K$2,"")</f>
        <v/>
      </c>
      <c r="AC478" s="10" t="str">
        <f>IF(A478&lt;&gt;"",'Metrics planning and tracking'!$K$3,"")</f>
        <v/>
      </c>
      <c r="AD478" s="10" t="str">
        <f>IF(A478&lt;&gt;"",IF(AND(#REF!&lt;&gt;"",#REF!&lt;&gt;"",#REF!&lt;&gt;0),#REF!/#REF!*100,"NA"),"")</f>
        <v/>
      </c>
      <c r="AE478" s="10" t="str">
        <f>IF(A478&lt;&gt;"",IF(AND(#REF!&lt;&gt;"",#REF!&lt;&gt;"",#REF!&lt;&gt;0),#REF!/#REF!*100,"NA"),"")</f>
        <v/>
      </c>
      <c r="AF478" s="57" t="str">
        <f t="shared" si="62"/>
        <v/>
      </c>
      <c r="AG478" s="57" t="str">
        <f t="shared" si="63"/>
        <v/>
      </c>
      <c r="AH478" s="58" t="str">
        <f t="shared" si="64"/>
        <v/>
      </c>
      <c r="AV478" s="22" t="str">
        <f>IF(A478&lt;&gt;"",A478 &amp; "-" &amp;#REF! &amp; ROW(),"")</f>
        <v/>
      </c>
    </row>
    <row r="479" spans="11:48" x14ac:dyDescent="0.2">
      <c r="K479" s="11" t="str">
        <f>IF(AND(COUNTA(B479:C479)&gt;1,COUNTA(F479:G479)&gt;1,O479="Completed"),(G479-C479)/(C479-#REF!+1)%,"")</f>
        <v/>
      </c>
      <c r="L479" s="11" t="str">
        <f>IF(AND(COUNT(D479:E479)&gt;0,COUNTA(F479:G479)&gt;1,O479="Completed"),(G479-AG479)/(AG479-#REF!+1)%,"")</f>
        <v/>
      </c>
      <c r="M479" s="11" t="str">
        <f t="shared" si="59"/>
        <v/>
      </c>
      <c r="N479" s="11" t="str">
        <f t="shared" si="60"/>
        <v/>
      </c>
      <c r="O479" s="12"/>
      <c r="P479" s="12"/>
      <c r="R479" s="10" t="str">
        <f>IF(H479&lt;&gt;"",SUMIF(H$3:H479,"&lt;&gt;" &amp; "",H$3:H479),"")</f>
        <v/>
      </c>
      <c r="S479" s="10" t="str">
        <f t="array" ref="S479">IF(O479="Completed",SUMIF(W$3:W479,"&lt;&gt;" &amp; "",W$3:W479),"")</f>
        <v/>
      </c>
      <c r="T479" s="10" t="str">
        <f t="array" ref="T479">IF(AND(J479&lt;&gt;"",O479="Completed"),SUM(IF(O$3:O479="Completed",J$3:J479,0)),"")</f>
        <v/>
      </c>
      <c r="U479" s="10" t="str">
        <f t="shared" si="58"/>
        <v/>
      </c>
      <c r="V479" s="10">
        <f>ROW()</f>
        <v>479</v>
      </c>
      <c r="W479" s="10" t="str">
        <f t="shared" si="61"/>
        <v/>
      </c>
      <c r="Z479" s="10" t="str">
        <f>IF(A479&lt;&gt;"",'Metrics planning and tracking'!$K$4,"")</f>
        <v/>
      </c>
      <c r="AA479" s="10" t="str">
        <f>IF(A479&lt;&gt;"",'Metrics planning and tracking'!$K$5,"")</f>
        <v/>
      </c>
      <c r="AB479" s="10" t="str">
        <f>IF(A479&lt;&gt;"",'Metrics planning and tracking'!$K$2,"")</f>
        <v/>
      </c>
      <c r="AC479" s="10" t="str">
        <f>IF(A479&lt;&gt;"",'Metrics planning and tracking'!$K$3,"")</f>
        <v/>
      </c>
      <c r="AD479" s="10" t="str">
        <f>IF(A479&lt;&gt;"",IF(AND(#REF!&lt;&gt;"",#REF!&lt;&gt;"",#REF!&lt;&gt;0),#REF!/#REF!*100,"NA"),"")</f>
        <v/>
      </c>
      <c r="AE479" s="10" t="str">
        <f>IF(A479&lt;&gt;"",IF(AND(#REF!&lt;&gt;"",#REF!&lt;&gt;"",#REF!&lt;&gt;0),#REF!/#REF!*100,"NA"),"")</f>
        <v/>
      </c>
      <c r="AF479" s="57" t="str">
        <f t="shared" si="62"/>
        <v/>
      </c>
      <c r="AG479" s="57" t="str">
        <f t="shared" si="63"/>
        <v/>
      </c>
      <c r="AH479" s="58" t="str">
        <f t="shared" si="64"/>
        <v/>
      </c>
      <c r="AV479" s="22" t="str">
        <f>IF(A479&lt;&gt;"",A479 &amp; "-" &amp;#REF! &amp; ROW(),"")</f>
        <v/>
      </c>
    </row>
    <row r="480" spans="11:48" x14ac:dyDescent="0.2">
      <c r="K480" s="11" t="str">
        <f>IF(AND(COUNTA(B480:C480)&gt;1,COUNTA(F480:G480)&gt;1,O480="Completed"),(G480-C480)/(C480-#REF!+1)%,"")</f>
        <v/>
      </c>
      <c r="L480" s="11" t="str">
        <f>IF(AND(COUNT(D480:E480)&gt;0,COUNTA(F480:G480)&gt;1,O480="Completed"),(G480-AG480)/(AG480-#REF!+1)%,"")</f>
        <v/>
      </c>
      <c r="M480" s="11" t="str">
        <f t="shared" si="59"/>
        <v/>
      </c>
      <c r="N480" s="11" t="str">
        <f t="shared" si="60"/>
        <v/>
      </c>
      <c r="O480" s="12"/>
      <c r="P480" s="12"/>
      <c r="R480" s="10" t="str">
        <f>IF(H480&lt;&gt;"",SUMIF(H$3:H480,"&lt;&gt;" &amp; "",H$3:H480),"")</f>
        <v/>
      </c>
      <c r="S480" s="10" t="str">
        <f t="array" ref="S480">IF(O480="Completed",SUMIF(W$3:W480,"&lt;&gt;" &amp; "",W$3:W480),"")</f>
        <v/>
      </c>
      <c r="T480" s="10" t="str">
        <f t="array" ref="T480">IF(AND(J480&lt;&gt;"",O480="Completed"),SUM(IF(O$3:O480="Completed",J$3:J480,0)),"")</f>
        <v/>
      </c>
      <c r="U480" s="10" t="str">
        <f t="shared" si="58"/>
        <v/>
      </c>
      <c r="V480" s="10">
        <f>ROW()</f>
        <v>480</v>
      </c>
      <c r="W480" s="10" t="str">
        <f t="shared" si="61"/>
        <v/>
      </c>
      <c r="Z480" s="10" t="str">
        <f>IF(A480&lt;&gt;"",'Metrics planning and tracking'!$K$4,"")</f>
        <v/>
      </c>
      <c r="AA480" s="10" t="str">
        <f>IF(A480&lt;&gt;"",'Metrics planning and tracking'!$K$5,"")</f>
        <v/>
      </c>
      <c r="AB480" s="10" t="str">
        <f>IF(A480&lt;&gt;"",'Metrics planning and tracking'!$K$2,"")</f>
        <v/>
      </c>
      <c r="AC480" s="10" t="str">
        <f>IF(A480&lt;&gt;"",'Metrics planning and tracking'!$K$3,"")</f>
        <v/>
      </c>
      <c r="AD480" s="10" t="str">
        <f>IF(A480&lt;&gt;"",IF(AND(#REF!&lt;&gt;"",#REF!&lt;&gt;"",#REF!&lt;&gt;0),#REF!/#REF!*100,"NA"),"")</f>
        <v/>
      </c>
      <c r="AE480" s="10" t="str">
        <f>IF(A480&lt;&gt;"",IF(AND(#REF!&lt;&gt;"",#REF!&lt;&gt;"",#REF!&lt;&gt;0),#REF!/#REF!*100,"NA"),"")</f>
        <v/>
      </c>
      <c r="AF480" s="57" t="str">
        <f t="shared" si="62"/>
        <v/>
      </c>
      <c r="AG480" s="57" t="str">
        <f t="shared" si="63"/>
        <v/>
      </c>
      <c r="AH480" s="58" t="str">
        <f t="shared" si="64"/>
        <v/>
      </c>
      <c r="AV480" s="22" t="str">
        <f>IF(A480&lt;&gt;"",A480 &amp; "-" &amp;#REF! &amp; ROW(),"")</f>
        <v/>
      </c>
    </row>
    <row r="481" spans="11:48" x14ac:dyDescent="0.2">
      <c r="K481" s="11" t="str">
        <f>IF(AND(COUNTA(B481:C481)&gt;1,COUNTA(F481:G481)&gt;1,O481="Completed"),(G481-C481)/(C481-#REF!+1)%,"")</f>
        <v/>
      </c>
      <c r="L481" s="11" t="str">
        <f>IF(AND(COUNT(D481:E481)&gt;0,COUNTA(F481:G481)&gt;1,O481="Completed"),(G481-AG481)/(AG481-#REF!+1)%,"")</f>
        <v/>
      </c>
      <c r="M481" s="11" t="str">
        <f t="shared" si="59"/>
        <v/>
      </c>
      <c r="N481" s="11" t="str">
        <f t="shared" si="60"/>
        <v/>
      </c>
      <c r="O481" s="12"/>
      <c r="P481" s="12"/>
      <c r="R481" s="10" t="str">
        <f>IF(H481&lt;&gt;"",SUMIF(H$3:H481,"&lt;&gt;" &amp; "",H$3:H481),"")</f>
        <v/>
      </c>
      <c r="S481" s="10" t="str">
        <f t="array" ref="S481">IF(O481="Completed",SUMIF(W$3:W481,"&lt;&gt;" &amp; "",W$3:W481),"")</f>
        <v/>
      </c>
      <c r="T481" s="10" t="str">
        <f t="array" ref="T481">IF(AND(J481&lt;&gt;"",O481="Completed"),SUM(IF(O$3:O481="Completed",J$3:J481,0)),"")</f>
        <v/>
      </c>
      <c r="U481" s="10" t="str">
        <f t="shared" si="58"/>
        <v/>
      </c>
      <c r="V481" s="10">
        <f>ROW()</f>
        <v>481</v>
      </c>
      <c r="W481" s="10" t="str">
        <f t="shared" si="61"/>
        <v/>
      </c>
      <c r="Z481" s="10" t="str">
        <f>IF(A481&lt;&gt;"",'Metrics planning and tracking'!$K$4,"")</f>
        <v/>
      </c>
      <c r="AA481" s="10" t="str">
        <f>IF(A481&lt;&gt;"",'Metrics planning and tracking'!$K$5,"")</f>
        <v/>
      </c>
      <c r="AB481" s="10" t="str">
        <f>IF(A481&lt;&gt;"",'Metrics planning and tracking'!$K$2,"")</f>
        <v/>
      </c>
      <c r="AC481" s="10" t="str">
        <f>IF(A481&lt;&gt;"",'Metrics planning and tracking'!$K$3,"")</f>
        <v/>
      </c>
      <c r="AD481" s="10" t="str">
        <f>IF(A481&lt;&gt;"",IF(AND(#REF!&lt;&gt;"",#REF!&lt;&gt;"",#REF!&lt;&gt;0),#REF!/#REF!*100,"NA"),"")</f>
        <v/>
      </c>
      <c r="AE481" s="10" t="str">
        <f>IF(A481&lt;&gt;"",IF(AND(#REF!&lt;&gt;"",#REF!&lt;&gt;"",#REF!&lt;&gt;0),#REF!/#REF!*100,"NA"),"")</f>
        <v/>
      </c>
      <c r="AF481" s="57" t="str">
        <f t="shared" si="62"/>
        <v/>
      </c>
      <c r="AG481" s="57" t="str">
        <f t="shared" si="63"/>
        <v/>
      </c>
      <c r="AH481" s="58" t="str">
        <f t="shared" si="64"/>
        <v/>
      </c>
      <c r="AV481" s="22" t="str">
        <f>IF(A481&lt;&gt;"",A481 &amp; "-" &amp;#REF! &amp; ROW(),"")</f>
        <v/>
      </c>
    </row>
    <row r="482" spans="11:48" x14ac:dyDescent="0.2">
      <c r="K482" s="11" t="str">
        <f>IF(AND(COUNTA(B482:C482)&gt;1,COUNTA(F482:G482)&gt;1,O482="Completed"),(G482-C482)/(C482-#REF!+1)%,"")</f>
        <v/>
      </c>
      <c r="L482" s="11" t="str">
        <f>IF(AND(COUNT(D482:E482)&gt;0,COUNTA(F482:G482)&gt;1,O482="Completed"),(G482-AG482)/(AG482-#REF!+1)%,"")</f>
        <v/>
      </c>
      <c r="M482" s="11" t="str">
        <f t="shared" si="59"/>
        <v/>
      </c>
      <c r="N482" s="11" t="str">
        <f t="shared" si="60"/>
        <v/>
      </c>
      <c r="O482" s="12"/>
      <c r="P482" s="12"/>
      <c r="R482" s="10" t="str">
        <f>IF(H482&lt;&gt;"",SUMIF(H$3:H482,"&lt;&gt;" &amp; "",H$3:H482),"")</f>
        <v/>
      </c>
      <c r="S482" s="10" t="str">
        <f t="array" ref="S482">IF(O482="Completed",SUMIF(W$3:W482,"&lt;&gt;" &amp; "",W$3:W482),"")</f>
        <v/>
      </c>
      <c r="T482" s="10" t="str">
        <f t="array" ref="T482">IF(AND(J482&lt;&gt;"",O482="Completed"),SUM(IF(O$3:O482="Completed",J$3:J482,0)),"")</f>
        <v/>
      </c>
      <c r="U482" s="10" t="str">
        <f t="shared" si="58"/>
        <v/>
      </c>
      <c r="V482" s="10">
        <f>ROW()</f>
        <v>482</v>
      </c>
      <c r="W482" s="10" t="str">
        <f t="shared" si="61"/>
        <v/>
      </c>
      <c r="Z482" s="10" t="str">
        <f>IF(A482&lt;&gt;"",'Metrics planning and tracking'!$K$4,"")</f>
        <v/>
      </c>
      <c r="AA482" s="10" t="str">
        <f>IF(A482&lt;&gt;"",'Metrics planning and tracking'!$K$5,"")</f>
        <v/>
      </c>
      <c r="AB482" s="10" t="str">
        <f>IF(A482&lt;&gt;"",'Metrics planning and tracking'!$K$2,"")</f>
        <v/>
      </c>
      <c r="AC482" s="10" t="str">
        <f>IF(A482&lt;&gt;"",'Metrics planning and tracking'!$K$3,"")</f>
        <v/>
      </c>
      <c r="AD482" s="10" t="str">
        <f>IF(A482&lt;&gt;"",IF(AND(#REF!&lt;&gt;"",#REF!&lt;&gt;"",#REF!&lt;&gt;0),#REF!/#REF!*100,"NA"),"")</f>
        <v/>
      </c>
      <c r="AE482" s="10" t="str">
        <f>IF(A482&lt;&gt;"",IF(AND(#REF!&lt;&gt;"",#REF!&lt;&gt;"",#REF!&lt;&gt;0),#REF!/#REF!*100,"NA"),"")</f>
        <v/>
      </c>
      <c r="AF482" s="57" t="str">
        <f t="shared" si="62"/>
        <v/>
      </c>
      <c r="AG482" s="57" t="str">
        <f t="shared" si="63"/>
        <v/>
      </c>
      <c r="AH482" s="58" t="str">
        <f t="shared" si="64"/>
        <v/>
      </c>
      <c r="AV482" s="22" t="str">
        <f>IF(A482&lt;&gt;"",A482 &amp; "-" &amp;#REF! &amp; ROW(),"")</f>
        <v/>
      </c>
    </row>
    <row r="483" spans="11:48" x14ac:dyDescent="0.2">
      <c r="K483" s="11" t="str">
        <f>IF(AND(COUNTA(B483:C483)&gt;1,COUNTA(F483:G483)&gt;1,O483="Completed"),(G483-C483)/(C483-#REF!+1)%,"")</f>
        <v/>
      </c>
      <c r="L483" s="11" t="str">
        <f>IF(AND(COUNT(D483:E483)&gt;0,COUNTA(F483:G483)&gt;1,O483="Completed"),(G483-AG483)/(AG483-#REF!+1)%,"")</f>
        <v/>
      </c>
      <c r="M483" s="11" t="str">
        <f t="shared" si="59"/>
        <v/>
      </c>
      <c r="N483" s="11" t="str">
        <f t="shared" si="60"/>
        <v/>
      </c>
      <c r="O483" s="12"/>
      <c r="P483" s="12"/>
      <c r="R483" s="10" t="str">
        <f>IF(H483&lt;&gt;"",SUMIF(H$3:H483,"&lt;&gt;" &amp; "",H$3:H483),"")</f>
        <v/>
      </c>
      <c r="S483" s="10" t="str">
        <f t="array" ref="S483">IF(O483="Completed",SUMIF(W$3:W483,"&lt;&gt;" &amp; "",W$3:W483),"")</f>
        <v/>
      </c>
      <c r="T483" s="10" t="str">
        <f t="array" ref="T483">IF(AND(J483&lt;&gt;"",O483="Completed"),SUM(IF(O$3:O483="Completed",J$3:J483,0)),"")</f>
        <v/>
      </c>
      <c r="U483" s="10" t="str">
        <f t="shared" si="58"/>
        <v/>
      </c>
      <c r="V483" s="10">
        <f>ROW()</f>
        <v>483</v>
      </c>
      <c r="W483" s="10" t="str">
        <f t="shared" si="61"/>
        <v/>
      </c>
      <c r="Z483" s="10" t="str">
        <f>IF(A483&lt;&gt;"",'Metrics planning and tracking'!$K$4,"")</f>
        <v/>
      </c>
      <c r="AA483" s="10" t="str">
        <f>IF(A483&lt;&gt;"",'Metrics planning and tracking'!$K$5,"")</f>
        <v/>
      </c>
      <c r="AB483" s="10" t="str">
        <f>IF(A483&lt;&gt;"",'Metrics planning and tracking'!$K$2,"")</f>
        <v/>
      </c>
      <c r="AC483" s="10" t="str">
        <f>IF(A483&lt;&gt;"",'Metrics planning and tracking'!$K$3,"")</f>
        <v/>
      </c>
      <c r="AD483" s="10" t="str">
        <f>IF(A483&lt;&gt;"",IF(AND(#REF!&lt;&gt;"",#REF!&lt;&gt;"",#REF!&lt;&gt;0),#REF!/#REF!*100,"NA"),"")</f>
        <v/>
      </c>
      <c r="AE483" s="10" t="str">
        <f>IF(A483&lt;&gt;"",IF(AND(#REF!&lt;&gt;"",#REF!&lt;&gt;"",#REF!&lt;&gt;0),#REF!/#REF!*100,"NA"),"")</f>
        <v/>
      </c>
      <c r="AF483" s="57" t="str">
        <f t="shared" si="62"/>
        <v/>
      </c>
      <c r="AG483" s="57" t="str">
        <f t="shared" si="63"/>
        <v/>
      </c>
      <c r="AH483" s="58" t="str">
        <f t="shared" si="64"/>
        <v/>
      </c>
      <c r="AV483" s="22" t="str">
        <f>IF(A483&lt;&gt;"",A483 &amp; "-" &amp;#REF! &amp; ROW(),"")</f>
        <v/>
      </c>
    </row>
    <row r="484" spans="11:48" x14ac:dyDescent="0.2">
      <c r="K484" s="11" t="str">
        <f>IF(AND(COUNTA(B484:C484)&gt;1,COUNTA(F484:G484)&gt;1,O484="Completed"),(G484-C484)/(C484-#REF!+1)%,"")</f>
        <v/>
      </c>
      <c r="L484" s="11" t="str">
        <f>IF(AND(COUNT(D484:E484)&gt;0,COUNTA(F484:G484)&gt;1,O484="Completed"),(G484-AG484)/(AG484-#REF!+1)%,"")</f>
        <v/>
      </c>
      <c r="M484" s="11" t="str">
        <f t="shared" si="59"/>
        <v/>
      </c>
      <c r="N484" s="11" t="str">
        <f t="shared" si="60"/>
        <v/>
      </c>
      <c r="O484" s="12"/>
      <c r="P484" s="12"/>
      <c r="R484" s="10" t="str">
        <f>IF(H484&lt;&gt;"",SUMIF(H$3:H484,"&lt;&gt;" &amp; "",H$3:H484),"")</f>
        <v/>
      </c>
      <c r="S484" s="10" t="str">
        <f t="array" ref="S484">IF(O484="Completed",SUMIF(W$3:W484,"&lt;&gt;" &amp; "",W$3:W484),"")</f>
        <v/>
      </c>
      <c r="T484" s="10" t="str">
        <f t="array" ref="T484">IF(AND(J484&lt;&gt;"",O484="Completed"),SUM(IF(O$3:O484="Completed",J$3:J484,0)),"")</f>
        <v/>
      </c>
      <c r="U484" s="10" t="str">
        <f t="shared" si="58"/>
        <v/>
      </c>
      <c r="V484" s="10">
        <f>ROW()</f>
        <v>484</v>
      </c>
      <c r="W484" s="10" t="str">
        <f t="shared" si="61"/>
        <v/>
      </c>
      <c r="Z484" s="10" t="str">
        <f>IF(A484&lt;&gt;"",'Metrics planning and tracking'!$K$4,"")</f>
        <v/>
      </c>
      <c r="AA484" s="10" t="str">
        <f>IF(A484&lt;&gt;"",'Metrics planning and tracking'!$K$5,"")</f>
        <v/>
      </c>
      <c r="AB484" s="10" t="str">
        <f>IF(A484&lt;&gt;"",'Metrics planning and tracking'!$K$2,"")</f>
        <v/>
      </c>
      <c r="AC484" s="10" t="str">
        <f>IF(A484&lt;&gt;"",'Metrics planning and tracking'!$K$3,"")</f>
        <v/>
      </c>
      <c r="AD484" s="10" t="str">
        <f>IF(A484&lt;&gt;"",IF(AND(#REF!&lt;&gt;"",#REF!&lt;&gt;"",#REF!&lt;&gt;0),#REF!/#REF!*100,"NA"),"")</f>
        <v/>
      </c>
      <c r="AE484" s="10" t="str">
        <f>IF(A484&lt;&gt;"",IF(AND(#REF!&lt;&gt;"",#REF!&lt;&gt;"",#REF!&lt;&gt;0),#REF!/#REF!*100,"NA"),"")</f>
        <v/>
      </c>
      <c r="AF484" s="57" t="str">
        <f t="shared" si="62"/>
        <v/>
      </c>
      <c r="AG484" s="57" t="str">
        <f t="shared" si="63"/>
        <v/>
      </c>
      <c r="AH484" s="58" t="str">
        <f t="shared" si="64"/>
        <v/>
      </c>
      <c r="AV484" s="22" t="str">
        <f>IF(A484&lt;&gt;"",A484 &amp; "-" &amp;#REF! &amp; ROW(),"")</f>
        <v/>
      </c>
    </row>
    <row r="485" spans="11:48" x14ac:dyDescent="0.2">
      <c r="K485" s="11" t="str">
        <f>IF(AND(COUNTA(B485:C485)&gt;1,COUNTA(F485:G485)&gt;1,O485="Completed"),(G485-C485)/(C485-#REF!+1)%,"")</f>
        <v/>
      </c>
      <c r="L485" s="11" t="str">
        <f>IF(AND(COUNT(D485:E485)&gt;0,COUNTA(F485:G485)&gt;1,O485="Completed"),(G485-AG485)/(AG485-#REF!+1)%,"")</f>
        <v/>
      </c>
      <c r="M485" s="11" t="str">
        <f t="shared" si="59"/>
        <v/>
      </c>
      <c r="N485" s="11" t="str">
        <f t="shared" si="60"/>
        <v/>
      </c>
      <c r="O485" s="12"/>
      <c r="P485" s="12"/>
      <c r="R485" s="10" t="str">
        <f>IF(H485&lt;&gt;"",SUMIF(H$3:H485,"&lt;&gt;" &amp; "",H$3:H485),"")</f>
        <v/>
      </c>
      <c r="S485" s="10" t="str">
        <f t="array" ref="S485">IF(O485="Completed",SUMIF(W$3:W485,"&lt;&gt;" &amp; "",W$3:W485),"")</f>
        <v/>
      </c>
      <c r="T485" s="10" t="str">
        <f t="array" ref="T485">IF(AND(J485&lt;&gt;"",O485="Completed"),SUM(IF(O$3:O485="Completed",J$3:J485,0)),"")</f>
        <v/>
      </c>
      <c r="U485" s="10" t="str">
        <f t="shared" si="58"/>
        <v/>
      </c>
      <c r="V485" s="10">
        <f>ROW()</f>
        <v>485</v>
      </c>
      <c r="W485" s="10" t="str">
        <f t="shared" si="61"/>
        <v/>
      </c>
      <c r="Z485" s="10" t="str">
        <f>IF(A485&lt;&gt;"",'Metrics planning and tracking'!$K$4,"")</f>
        <v/>
      </c>
      <c r="AA485" s="10" t="str">
        <f>IF(A485&lt;&gt;"",'Metrics planning and tracking'!$K$5,"")</f>
        <v/>
      </c>
      <c r="AB485" s="10" t="str">
        <f>IF(A485&lt;&gt;"",'Metrics planning and tracking'!$K$2,"")</f>
        <v/>
      </c>
      <c r="AC485" s="10" t="str">
        <f>IF(A485&lt;&gt;"",'Metrics planning and tracking'!$K$3,"")</f>
        <v/>
      </c>
      <c r="AD485" s="10" t="str">
        <f>IF(A485&lt;&gt;"",IF(AND(#REF!&lt;&gt;"",#REF!&lt;&gt;"",#REF!&lt;&gt;0),#REF!/#REF!*100,"NA"),"")</f>
        <v/>
      </c>
      <c r="AE485" s="10" t="str">
        <f>IF(A485&lt;&gt;"",IF(AND(#REF!&lt;&gt;"",#REF!&lt;&gt;"",#REF!&lt;&gt;0),#REF!/#REF!*100,"NA"),"")</f>
        <v/>
      </c>
      <c r="AF485" s="57" t="str">
        <f t="shared" si="62"/>
        <v/>
      </c>
      <c r="AG485" s="57" t="str">
        <f t="shared" si="63"/>
        <v/>
      </c>
      <c r="AH485" s="58" t="str">
        <f t="shared" si="64"/>
        <v/>
      </c>
      <c r="AV485" s="22" t="str">
        <f>IF(A485&lt;&gt;"",A485 &amp; "-" &amp;#REF! &amp; ROW(),"")</f>
        <v/>
      </c>
    </row>
    <row r="486" spans="11:48" x14ac:dyDescent="0.2">
      <c r="K486" s="11" t="str">
        <f>IF(AND(COUNTA(B486:C486)&gt;1,COUNTA(F486:G486)&gt;1,O486="Completed"),(G486-C486)/(C486-#REF!+1)%,"")</f>
        <v/>
      </c>
      <c r="L486" s="11" t="str">
        <f>IF(AND(COUNT(D486:E486)&gt;0,COUNTA(F486:G486)&gt;1,O486="Completed"),(G486-AG486)/(AG486-#REF!+1)%,"")</f>
        <v/>
      </c>
      <c r="M486" s="11" t="str">
        <f t="shared" si="59"/>
        <v/>
      </c>
      <c r="N486" s="11" t="str">
        <f t="shared" si="60"/>
        <v/>
      </c>
      <c r="O486" s="12"/>
      <c r="P486" s="12"/>
      <c r="R486" s="10" t="str">
        <f>IF(H486&lt;&gt;"",SUMIF(H$3:H486,"&lt;&gt;" &amp; "",H$3:H486),"")</f>
        <v/>
      </c>
      <c r="S486" s="10" t="str">
        <f t="array" ref="S486">IF(O486="Completed",SUMIF(W$3:W486,"&lt;&gt;" &amp; "",W$3:W486),"")</f>
        <v/>
      </c>
      <c r="T486" s="10" t="str">
        <f t="array" ref="T486">IF(AND(J486&lt;&gt;"",O486="Completed"),SUM(IF(O$3:O486="Completed",J$3:J486,0)),"")</f>
        <v/>
      </c>
      <c r="U486" s="10" t="str">
        <f t="shared" si="58"/>
        <v/>
      </c>
      <c r="V486" s="10">
        <f>ROW()</f>
        <v>486</v>
      </c>
      <c r="W486" s="10" t="str">
        <f t="shared" si="61"/>
        <v/>
      </c>
      <c r="Z486" s="10" t="str">
        <f>IF(A486&lt;&gt;"",'Metrics planning and tracking'!$K$4,"")</f>
        <v/>
      </c>
      <c r="AA486" s="10" t="str">
        <f>IF(A486&lt;&gt;"",'Metrics planning and tracking'!$K$5,"")</f>
        <v/>
      </c>
      <c r="AB486" s="10" t="str">
        <f>IF(A486&lt;&gt;"",'Metrics planning and tracking'!$K$2,"")</f>
        <v/>
      </c>
      <c r="AC486" s="10" t="str">
        <f>IF(A486&lt;&gt;"",'Metrics planning and tracking'!$K$3,"")</f>
        <v/>
      </c>
      <c r="AD486" s="10" t="str">
        <f>IF(A486&lt;&gt;"",IF(AND(#REF!&lt;&gt;"",#REF!&lt;&gt;"",#REF!&lt;&gt;0),#REF!/#REF!*100,"NA"),"")</f>
        <v/>
      </c>
      <c r="AE486" s="10" t="str">
        <f>IF(A486&lt;&gt;"",IF(AND(#REF!&lt;&gt;"",#REF!&lt;&gt;"",#REF!&lt;&gt;0),#REF!/#REF!*100,"NA"),"")</f>
        <v/>
      </c>
      <c r="AF486" s="57" t="str">
        <f t="shared" si="62"/>
        <v/>
      </c>
      <c r="AG486" s="57" t="str">
        <f t="shared" si="63"/>
        <v/>
      </c>
      <c r="AH486" s="58" t="str">
        <f t="shared" si="64"/>
        <v/>
      </c>
      <c r="AV486" s="22" t="str">
        <f>IF(A486&lt;&gt;"",A486 &amp; "-" &amp;#REF! &amp; ROW(),"")</f>
        <v/>
      </c>
    </row>
    <row r="487" spans="11:48" x14ac:dyDescent="0.2">
      <c r="K487" s="11" t="str">
        <f>IF(AND(COUNTA(B487:C487)&gt;1,COUNTA(F487:G487)&gt;1,O487="Completed"),(G487-C487)/(C487-#REF!+1)%,"")</f>
        <v/>
      </c>
      <c r="L487" s="11" t="str">
        <f>IF(AND(COUNT(D487:E487)&gt;0,COUNTA(F487:G487)&gt;1,O487="Completed"),(G487-AG487)/(AG487-#REF!+1)%,"")</f>
        <v/>
      </c>
      <c r="M487" s="11" t="str">
        <f t="shared" si="59"/>
        <v/>
      </c>
      <c r="N487" s="11" t="str">
        <f t="shared" si="60"/>
        <v/>
      </c>
      <c r="O487" s="12"/>
      <c r="P487" s="12"/>
      <c r="R487" s="10" t="str">
        <f>IF(H487&lt;&gt;"",SUMIF(H$3:H487,"&lt;&gt;" &amp; "",H$3:H487),"")</f>
        <v/>
      </c>
      <c r="S487" s="10" t="str">
        <f t="array" ref="S487">IF(O487="Completed",SUMIF(W$3:W487,"&lt;&gt;" &amp; "",W$3:W487),"")</f>
        <v/>
      </c>
      <c r="T487" s="10" t="str">
        <f t="array" ref="T487">IF(AND(J487&lt;&gt;"",O487="Completed"),SUM(IF(O$3:O487="Completed",J$3:J487,0)),"")</f>
        <v/>
      </c>
      <c r="U487" s="10" t="str">
        <f t="shared" si="58"/>
        <v/>
      </c>
      <c r="V487" s="10">
        <f>ROW()</f>
        <v>487</v>
      </c>
      <c r="W487" s="10" t="str">
        <f t="shared" si="61"/>
        <v/>
      </c>
      <c r="Z487" s="10" t="str">
        <f>IF(A487&lt;&gt;"",'Metrics planning and tracking'!$K$4,"")</f>
        <v/>
      </c>
      <c r="AA487" s="10" t="str">
        <f>IF(A487&lt;&gt;"",'Metrics planning and tracking'!$K$5,"")</f>
        <v/>
      </c>
      <c r="AB487" s="10" t="str">
        <f>IF(A487&lt;&gt;"",'Metrics planning and tracking'!$K$2,"")</f>
        <v/>
      </c>
      <c r="AC487" s="10" t="str">
        <f>IF(A487&lt;&gt;"",'Metrics planning and tracking'!$K$3,"")</f>
        <v/>
      </c>
      <c r="AD487" s="10" t="str">
        <f>IF(A487&lt;&gt;"",IF(AND(#REF!&lt;&gt;"",#REF!&lt;&gt;"",#REF!&lt;&gt;0),#REF!/#REF!*100,"NA"),"")</f>
        <v/>
      </c>
      <c r="AE487" s="10" t="str">
        <f>IF(A487&lt;&gt;"",IF(AND(#REF!&lt;&gt;"",#REF!&lt;&gt;"",#REF!&lt;&gt;0),#REF!/#REF!*100,"NA"),"")</f>
        <v/>
      </c>
      <c r="AF487" s="57" t="str">
        <f t="shared" si="62"/>
        <v/>
      </c>
      <c r="AG487" s="57" t="str">
        <f t="shared" si="63"/>
        <v/>
      </c>
      <c r="AH487" s="58" t="str">
        <f t="shared" si="64"/>
        <v/>
      </c>
      <c r="AV487" s="22" t="str">
        <f>IF(A487&lt;&gt;"",A487 &amp; "-" &amp;#REF! &amp; ROW(),"")</f>
        <v/>
      </c>
    </row>
    <row r="488" spans="11:48" x14ac:dyDescent="0.2">
      <c r="K488" s="11" t="str">
        <f>IF(AND(COUNTA(B488:C488)&gt;1,COUNTA(F488:G488)&gt;1,O488="Completed"),(G488-C488)/(C488-#REF!+1)%,"")</f>
        <v/>
      </c>
      <c r="L488" s="11" t="str">
        <f>IF(AND(COUNT(D488:E488)&gt;0,COUNTA(F488:G488)&gt;1,O488="Completed"),(G488-AG488)/(AG488-#REF!+1)%,"")</f>
        <v/>
      </c>
      <c r="M488" s="11" t="str">
        <f t="shared" si="59"/>
        <v/>
      </c>
      <c r="N488" s="11" t="str">
        <f t="shared" si="60"/>
        <v/>
      </c>
      <c r="O488" s="12"/>
      <c r="P488" s="12"/>
      <c r="R488" s="10" t="str">
        <f>IF(H488&lt;&gt;"",SUMIF(H$3:H488,"&lt;&gt;" &amp; "",H$3:H488),"")</f>
        <v/>
      </c>
      <c r="S488" s="10" t="str">
        <f t="array" ref="S488">IF(O488="Completed",SUMIF(W$3:W488,"&lt;&gt;" &amp; "",W$3:W488),"")</f>
        <v/>
      </c>
      <c r="T488" s="10" t="str">
        <f t="array" ref="T488">IF(AND(J488&lt;&gt;"",O488="Completed"),SUM(IF(O$3:O488="Completed",J$3:J488,0)),"")</f>
        <v/>
      </c>
      <c r="U488" s="10" t="str">
        <f t="shared" si="58"/>
        <v/>
      </c>
      <c r="V488" s="10">
        <f>ROW()</f>
        <v>488</v>
      </c>
      <c r="W488" s="10" t="str">
        <f t="shared" si="61"/>
        <v/>
      </c>
      <c r="Z488" s="10" t="str">
        <f>IF(A488&lt;&gt;"",'Metrics planning and tracking'!$K$4,"")</f>
        <v/>
      </c>
      <c r="AA488" s="10" t="str">
        <f>IF(A488&lt;&gt;"",'Metrics planning and tracking'!$K$5,"")</f>
        <v/>
      </c>
      <c r="AB488" s="10" t="str">
        <f>IF(A488&lt;&gt;"",'Metrics planning and tracking'!$K$2,"")</f>
        <v/>
      </c>
      <c r="AC488" s="10" t="str">
        <f>IF(A488&lt;&gt;"",'Metrics planning and tracking'!$K$3,"")</f>
        <v/>
      </c>
      <c r="AD488" s="10" t="str">
        <f>IF(A488&lt;&gt;"",IF(AND(#REF!&lt;&gt;"",#REF!&lt;&gt;"",#REF!&lt;&gt;0),#REF!/#REF!*100,"NA"),"")</f>
        <v/>
      </c>
      <c r="AE488" s="10" t="str">
        <f>IF(A488&lt;&gt;"",IF(AND(#REF!&lt;&gt;"",#REF!&lt;&gt;"",#REF!&lt;&gt;0),#REF!/#REF!*100,"NA"),"")</f>
        <v/>
      </c>
      <c r="AF488" s="57" t="str">
        <f t="shared" si="62"/>
        <v/>
      </c>
      <c r="AG488" s="57" t="str">
        <f t="shared" si="63"/>
        <v/>
      </c>
      <c r="AH488" s="58" t="str">
        <f t="shared" si="64"/>
        <v/>
      </c>
      <c r="AV488" s="22" t="str">
        <f>IF(A488&lt;&gt;"",A488 &amp; "-" &amp;#REF! &amp; ROW(),"")</f>
        <v/>
      </c>
    </row>
    <row r="489" spans="11:48" x14ac:dyDescent="0.2">
      <c r="K489" s="11" t="str">
        <f>IF(AND(COUNTA(B489:C489)&gt;1,COUNTA(F489:G489)&gt;1,O489="Completed"),(G489-C489)/(C489-#REF!+1)%,"")</f>
        <v/>
      </c>
      <c r="L489" s="11" t="str">
        <f>IF(AND(COUNT(D489:E489)&gt;0,COUNTA(F489:G489)&gt;1,O489="Completed"),(G489-AG489)/(AG489-#REF!+1)%,"")</f>
        <v/>
      </c>
      <c r="M489" s="11" t="str">
        <f t="shared" si="59"/>
        <v/>
      </c>
      <c r="N489" s="11" t="str">
        <f t="shared" si="60"/>
        <v/>
      </c>
      <c r="O489" s="12"/>
      <c r="P489" s="12"/>
      <c r="R489" s="10" t="str">
        <f>IF(H489&lt;&gt;"",SUMIF(H$3:H489,"&lt;&gt;" &amp; "",H$3:H489),"")</f>
        <v/>
      </c>
      <c r="S489" s="10" t="str">
        <f t="array" ref="S489">IF(O489="Completed",SUMIF(W$3:W489,"&lt;&gt;" &amp; "",W$3:W489),"")</f>
        <v/>
      </c>
      <c r="T489" s="10" t="str">
        <f t="array" ref="T489">IF(AND(J489&lt;&gt;"",O489="Completed"),SUM(IF(O$3:O489="Completed",J$3:J489,0)),"")</f>
        <v/>
      </c>
      <c r="U489" s="10" t="str">
        <f t="shared" si="58"/>
        <v/>
      </c>
      <c r="V489" s="10">
        <f>ROW()</f>
        <v>489</v>
      </c>
      <c r="W489" s="10" t="str">
        <f t="shared" si="61"/>
        <v/>
      </c>
      <c r="Z489" s="10" t="str">
        <f>IF(A489&lt;&gt;"",'Metrics planning and tracking'!$K$4,"")</f>
        <v/>
      </c>
      <c r="AA489" s="10" t="str">
        <f>IF(A489&lt;&gt;"",'Metrics planning and tracking'!$K$5,"")</f>
        <v/>
      </c>
      <c r="AB489" s="10" t="str">
        <f>IF(A489&lt;&gt;"",'Metrics planning and tracking'!$K$2,"")</f>
        <v/>
      </c>
      <c r="AC489" s="10" t="str">
        <f>IF(A489&lt;&gt;"",'Metrics planning and tracking'!$K$3,"")</f>
        <v/>
      </c>
      <c r="AD489" s="10" t="str">
        <f>IF(A489&lt;&gt;"",IF(AND(#REF!&lt;&gt;"",#REF!&lt;&gt;"",#REF!&lt;&gt;0),#REF!/#REF!*100,"NA"),"")</f>
        <v/>
      </c>
      <c r="AE489" s="10" t="str">
        <f>IF(A489&lt;&gt;"",IF(AND(#REF!&lt;&gt;"",#REF!&lt;&gt;"",#REF!&lt;&gt;0),#REF!/#REF!*100,"NA"),"")</f>
        <v/>
      </c>
      <c r="AF489" s="57" t="str">
        <f t="shared" si="62"/>
        <v/>
      </c>
      <c r="AG489" s="57" t="str">
        <f t="shared" si="63"/>
        <v/>
      </c>
      <c r="AH489" s="58" t="str">
        <f t="shared" si="64"/>
        <v/>
      </c>
      <c r="AV489" s="22" t="str">
        <f>IF(A489&lt;&gt;"",A489 &amp; "-" &amp;#REF! &amp; ROW(),"")</f>
        <v/>
      </c>
    </row>
    <row r="490" spans="11:48" x14ac:dyDescent="0.2">
      <c r="K490" s="11" t="str">
        <f>IF(AND(COUNTA(B490:C490)&gt;1,COUNTA(F490:G490)&gt;1,O490="Completed"),(G490-C490)/(C490-#REF!+1)%,"")</f>
        <v/>
      </c>
      <c r="L490" s="11" t="str">
        <f>IF(AND(COUNT(D490:E490)&gt;0,COUNTA(F490:G490)&gt;1,O490="Completed"),(G490-AG490)/(AG490-#REF!+1)%,"")</f>
        <v/>
      </c>
      <c r="M490" s="11" t="str">
        <f t="shared" si="59"/>
        <v/>
      </c>
      <c r="N490" s="11" t="str">
        <f t="shared" si="60"/>
        <v/>
      </c>
      <c r="O490" s="12"/>
      <c r="P490" s="12"/>
      <c r="R490" s="10" t="str">
        <f>IF(H490&lt;&gt;"",SUMIF(H$3:H490,"&lt;&gt;" &amp; "",H$3:H490),"")</f>
        <v/>
      </c>
      <c r="S490" s="10" t="str">
        <f t="array" ref="S490">IF(O490="Completed",SUMIF(W$3:W490,"&lt;&gt;" &amp; "",W$3:W490),"")</f>
        <v/>
      </c>
      <c r="T490" s="10" t="str">
        <f t="array" ref="T490">IF(AND(J490&lt;&gt;"",O490="Completed"),SUM(IF(O$3:O490="Completed",J$3:J490,0)),"")</f>
        <v/>
      </c>
      <c r="U490" s="10" t="str">
        <f t="shared" si="58"/>
        <v/>
      </c>
      <c r="V490" s="10">
        <f>ROW()</f>
        <v>490</v>
      </c>
      <c r="W490" s="10" t="str">
        <f t="shared" si="61"/>
        <v/>
      </c>
      <c r="Z490" s="10" t="str">
        <f>IF(A490&lt;&gt;"",'Metrics planning and tracking'!$K$4,"")</f>
        <v/>
      </c>
      <c r="AA490" s="10" t="str">
        <f>IF(A490&lt;&gt;"",'Metrics planning and tracking'!$K$5,"")</f>
        <v/>
      </c>
      <c r="AB490" s="10" t="str">
        <f>IF(A490&lt;&gt;"",'Metrics planning and tracking'!$K$2,"")</f>
        <v/>
      </c>
      <c r="AC490" s="10" t="str">
        <f>IF(A490&lt;&gt;"",'Metrics planning and tracking'!$K$3,"")</f>
        <v/>
      </c>
      <c r="AD490" s="10" t="str">
        <f>IF(A490&lt;&gt;"",IF(AND(#REF!&lt;&gt;"",#REF!&lt;&gt;"",#REF!&lt;&gt;0),#REF!/#REF!*100,"NA"),"")</f>
        <v/>
      </c>
      <c r="AE490" s="10" t="str">
        <f>IF(A490&lt;&gt;"",IF(AND(#REF!&lt;&gt;"",#REF!&lt;&gt;"",#REF!&lt;&gt;0),#REF!/#REF!*100,"NA"),"")</f>
        <v/>
      </c>
      <c r="AF490" s="57" t="str">
        <f t="shared" si="62"/>
        <v/>
      </c>
      <c r="AG490" s="57" t="str">
        <f t="shared" si="63"/>
        <v/>
      </c>
      <c r="AH490" s="58" t="str">
        <f t="shared" si="64"/>
        <v/>
      </c>
      <c r="AV490" s="22" t="str">
        <f>IF(A490&lt;&gt;"",A490 &amp; "-" &amp;#REF! &amp; ROW(),"")</f>
        <v/>
      </c>
    </row>
    <row r="491" spans="11:48" x14ac:dyDescent="0.2">
      <c r="K491" s="11" t="str">
        <f>IF(AND(COUNTA(B491:C491)&gt;1,COUNTA(F491:G491)&gt;1,O491="Completed"),(G491-C491)/(C491-#REF!+1)%,"")</f>
        <v/>
      </c>
      <c r="L491" s="11" t="str">
        <f>IF(AND(COUNT(D491:E491)&gt;0,COUNTA(F491:G491)&gt;1,O491="Completed"),(G491-AG491)/(AG491-#REF!+1)%,"")</f>
        <v/>
      </c>
      <c r="M491" s="11" t="str">
        <f t="shared" si="59"/>
        <v/>
      </c>
      <c r="N491" s="11" t="str">
        <f t="shared" si="60"/>
        <v/>
      </c>
      <c r="O491" s="12"/>
      <c r="P491" s="12"/>
      <c r="R491" s="10" t="str">
        <f>IF(H491&lt;&gt;"",SUMIF(H$3:H491,"&lt;&gt;" &amp; "",H$3:H491),"")</f>
        <v/>
      </c>
      <c r="S491" s="10" t="str">
        <f t="array" ref="S491">IF(O491="Completed",SUMIF(W$3:W491,"&lt;&gt;" &amp; "",W$3:W491),"")</f>
        <v/>
      </c>
      <c r="T491" s="10" t="str">
        <f t="array" ref="T491">IF(AND(J491&lt;&gt;"",O491="Completed"),SUM(IF(O$3:O491="Completed",J$3:J491,0)),"")</f>
        <v/>
      </c>
      <c r="U491" s="10" t="str">
        <f t="shared" si="58"/>
        <v/>
      </c>
      <c r="V491" s="10">
        <f>ROW()</f>
        <v>491</v>
      </c>
      <c r="W491" s="10" t="str">
        <f t="shared" si="61"/>
        <v/>
      </c>
      <c r="Z491" s="10" t="str">
        <f>IF(A491&lt;&gt;"",'Metrics planning and tracking'!$K$4,"")</f>
        <v/>
      </c>
      <c r="AA491" s="10" t="str">
        <f>IF(A491&lt;&gt;"",'Metrics planning and tracking'!$K$5,"")</f>
        <v/>
      </c>
      <c r="AB491" s="10" t="str">
        <f>IF(A491&lt;&gt;"",'Metrics planning and tracking'!$K$2,"")</f>
        <v/>
      </c>
      <c r="AC491" s="10" t="str">
        <f>IF(A491&lt;&gt;"",'Metrics planning and tracking'!$K$3,"")</f>
        <v/>
      </c>
      <c r="AD491" s="10" t="str">
        <f>IF(A491&lt;&gt;"",IF(AND(#REF!&lt;&gt;"",#REF!&lt;&gt;"",#REF!&lt;&gt;0),#REF!/#REF!*100,"NA"),"")</f>
        <v/>
      </c>
      <c r="AE491" s="10" t="str">
        <f>IF(A491&lt;&gt;"",IF(AND(#REF!&lt;&gt;"",#REF!&lt;&gt;"",#REF!&lt;&gt;0),#REF!/#REF!*100,"NA"),"")</f>
        <v/>
      </c>
      <c r="AF491" s="57" t="str">
        <f t="shared" si="62"/>
        <v/>
      </c>
      <c r="AG491" s="57" t="str">
        <f t="shared" si="63"/>
        <v/>
      </c>
      <c r="AH491" s="58" t="str">
        <f t="shared" si="64"/>
        <v/>
      </c>
      <c r="AV491" s="22" t="str">
        <f>IF(A491&lt;&gt;"",A491 &amp; "-" &amp;#REF! &amp; ROW(),"")</f>
        <v/>
      </c>
    </row>
    <row r="492" spans="11:48" x14ac:dyDescent="0.2">
      <c r="K492" s="11" t="str">
        <f>IF(AND(COUNTA(B492:C492)&gt;1,COUNTA(F492:G492)&gt;1,O492="Completed"),(G492-C492)/(C492-#REF!+1)%,"")</f>
        <v/>
      </c>
      <c r="L492" s="11" t="str">
        <f>IF(AND(COUNT(D492:E492)&gt;0,COUNTA(F492:G492)&gt;1,O492="Completed"),(G492-AG492)/(AG492-#REF!+1)%,"")</f>
        <v/>
      </c>
      <c r="M492" s="11" t="str">
        <f t="shared" si="59"/>
        <v/>
      </c>
      <c r="N492" s="11" t="str">
        <f t="shared" si="60"/>
        <v/>
      </c>
      <c r="O492" s="12"/>
      <c r="P492" s="12"/>
      <c r="R492" s="10" t="str">
        <f>IF(H492&lt;&gt;"",SUMIF(H$3:H492,"&lt;&gt;" &amp; "",H$3:H492),"")</f>
        <v/>
      </c>
      <c r="S492" s="10" t="str">
        <f t="array" ref="S492">IF(O492="Completed",SUMIF(W$3:W492,"&lt;&gt;" &amp; "",W$3:W492),"")</f>
        <v/>
      </c>
      <c r="T492" s="10" t="str">
        <f t="array" ref="T492">IF(AND(J492&lt;&gt;"",O492="Completed"),SUM(IF(O$3:O492="Completed",J$3:J492,0)),"")</f>
        <v/>
      </c>
      <c r="U492" s="10" t="str">
        <f t="shared" si="58"/>
        <v/>
      </c>
      <c r="V492" s="10">
        <f>ROW()</f>
        <v>492</v>
      </c>
      <c r="W492" s="10" t="str">
        <f t="shared" si="61"/>
        <v/>
      </c>
      <c r="Z492" s="10" t="str">
        <f>IF(A492&lt;&gt;"",'Metrics planning and tracking'!$K$4,"")</f>
        <v/>
      </c>
      <c r="AA492" s="10" t="str">
        <f>IF(A492&lt;&gt;"",'Metrics planning and tracking'!$K$5,"")</f>
        <v/>
      </c>
      <c r="AB492" s="10" t="str">
        <f>IF(A492&lt;&gt;"",'Metrics planning and tracking'!$K$2,"")</f>
        <v/>
      </c>
      <c r="AC492" s="10" t="str">
        <f>IF(A492&lt;&gt;"",'Metrics planning and tracking'!$K$3,"")</f>
        <v/>
      </c>
      <c r="AD492" s="10" t="str">
        <f>IF(A492&lt;&gt;"",IF(AND(#REF!&lt;&gt;"",#REF!&lt;&gt;"",#REF!&lt;&gt;0),#REF!/#REF!*100,"NA"),"")</f>
        <v/>
      </c>
      <c r="AE492" s="10" t="str">
        <f>IF(A492&lt;&gt;"",IF(AND(#REF!&lt;&gt;"",#REF!&lt;&gt;"",#REF!&lt;&gt;0),#REF!/#REF!*100,"NA"),"")</f>
        <v/>
      </c>
      <c r="AF492" s="57" t="str">
        <f t="shared" si="62"/>
        <v/>
      </c>
      <c r="AG492" s="57" t="str">
        <f t="shared" si="63"/>
        <v/>
      </c>
      <c r="AH492" s="58" t="str">
        <f t="shared" si="64"/>
        <v/>
      </c>
      <c r="AV492" s="22" t="str">
        <f>IF(A492&lt;&gt;"",A492 &amp; "-" &amp;#REF! &amp; ROW(),"")</f>
        <v/>
      </c>
    </row>
    <row r="493" spans="11:48" x14ac:dyDescent="0.2">
      <c r="K493" s="11" t="str">
        <f>IF(AND(COUNTA(B493:C493)&gt;1,COUNTA(F493:G493)&gt;1,O493="Completed"),(G493-C493)/(C493-#REF!+1)%,"")</f>
        <v/>
      </c>
      <c r="L493" s="11" t="str">
        <f>IF(AND(COUNT(D493:E493)&gt;0,COUNTA(F493:G493)&gt;1,O493="Completed"),(G493-AG493)/(AG493-#REF!+1)%,"")</f>
        <v/>
      </c>
      <c r="M493" s="11" t="str">
        <f t="shared" si="59"/>
        <v/>
      </c>
      <c r="N493" s="11" t="str">
        <f t="shared" si="60"/>
        <v/>
      </c>
      <c r="O493" s="12"/>
      <c r="P493" s="12"/>
      <c r="R493" s="10" t="str">
        <f>IF(H493&lt;&gt;"",SUMIF(H$3:H493,"&lt;&gt;" &amp; "",H$3:H493),"")</f>
        <v/>
      </c>
      <c r="S493" s="10" t="str">
        <f t="array" ref="S493">IF(O493="Completed",SUMIF(W$3:W493,"&lt;&gt;" &amp; "",W$3:W493),"")</f>
        <v/>
      </c>
      <c r="T493" s="10" t="str">
        <f t="array" ref="T493">IF(AND(J493&lt;&gt;"",O493="Completed"),SUM(IF(O$3:O493="Completed",J$3:J493,0)),"")</f>
        <v/>
      </c>
      <c r="U493" s="10" t="str">
        <f t="shared" si="58"/>
        <v/>
      </c>
      <c r="V493" s="10">
        <f>ROW()</f>
        <v>493</v>
      </c>
      <c r="W493" s="10" t="str">
        <f t="shared" si="61"/>
        <v/>
      </c>
      <c r="Z493" s="10" t="str">
        <f>IF(A493&lt;&gt;"",'Metrics planning and tracking'!$K$4,"")</f>
        <v/>
      </c>
      <c r="AA493" s="10" t="str">
        <f>IF(A493&lt;&gt;"",'Metrics planning and tracking'!$K$5,"")</f>
        <v/>
      </c>
      <c r="AB493" s="10" t="str">
        <f>IF(A493&lt;&gt;"",'Metrics planning and tracking'!$K$2,"")</f>
        <v/>
      </c>
      <c r="AC493" s="10" t="str">
        <f>IF(A493&lt;&gt;"",'Metrics planning and tracking'!$K$3,"")</f>
        <v/>
      </c>
      <c r="AD493" s="10" t="str">
        <f>IF(A493&lt;&gt;"",IF(AND(#REF!&lt;&gt;"",#REF!&lt;&gt;"",#REF!&lt;&gt;0),#REF!/#REF!*100,"NA"),"")</f>
        <v/>
      </c>
      <c r="AE493" s="10" t="str">
        <f>IF(A493&lt;&gt;"",IF(AND(#REF!&lt;&gt;"",#REF!&lt;&gt;"",#REF!&lt;&gt;0),#REF!/#REF!*100,"NA"),"")</f>
        <v/>
      </c>
      <c r="AF493" s="57" t="str">
        <f t="shared" si="62"/>
        <v/>
      </c>
      <c r="AG493" s="57" t="str">
        <f t="shared" si="63"/>
        <v/>
      </c>
      <c r="AH493" s="58" t="str">
        <f t="shared" si="64"/>
        <v/>
      </c>
      <c r="AV493" s="22" t="str">
        <f>IF(A493&lt;&gt;"",A493 &amp; "-" &amp;#REF! &amp; ROW(),"")</f>
        <v/>
      </c>
    </row>
    <row r="494" spans="11:48" x14ac:dyDescent="0.2">
      <c r="K494" s="11" t="str">
        <f>IF(AND(COUNTA(B494:C494)&gt;1,COUNTA(F494:G494)&gt;1,O494="Completed"),(G494-C494)/(C494-#REF!+1)%,"")</f>
        <v/>
      </c>
      <c r="L494" s="11" t="str">
        <f>IF(AND(COUNT(D494:E494)&gt;0,COUNTA(F494:G494)&gt;1,O494="Completed"),(G494-AG494)/(AG494-#REF!+1)%,"")</f>
        <v/>
      </c>
      <c r="M494" s="11" t="str">
        <f t="shared" si="59"/>
        <v/>
      </c>
      <c r="N494" s="11" t="str">
        <f t="shared" si="60"/>
        <v/>
      </c>
      <c r="O494" s="12"/>
      <c r="P494" s="12"/>
      <c r="R494" s="10" t="str">
        <f>IF(H494&lt;&gt;"",SUMIF(H$3:H494,"&lt;&gt;" &amp; "",H$3:H494),"")</f>
        <v/>
      </c>
      <c r="S494" s="10" t="str">
        <f t="array" ref="S494">IF(O494="Completed",SUMIF(W$3:W494,"&lt;&gt;" &amp; "",W$3:W494),"")</f>
        <v/>
      </c>
      <c r="T494" s="10" t="str">
        <f t="array" ref="T494">IF(AND(J494&lt;&gt;"",O494="Completed"),SUM(IF(O$3:O494="Completed",J$3:J494,0)),"")</f>
        <v/>
      </c>
      <c r="U494" s="10" t="str">
        <f t="shared" si="58"/>
        <v/>
      </c>
      <c r="V494" s="10">
        <f>ROW()</f>
        <v>494</v>
      </c>
      <c r="W494" s="10" t="str">
        <f t="shared" si="61"/>
        <v/>
      </c>
      <c r="Z494" s="10" t="str">
        <f>IF(A494&lt;&gt;"",'Metrics planning and tracking'!$K$4,"")</f>
        <v/>
      </c>
      <c r="AA494" s="10" t="str">
        <f>IF(A494&lt;&gt;"",'Metrics planning and tracking'!$K$5,"")</f>
        <v/>
      </c>
      <c r="AB494" s="10" t="str">
        <f>IF(A494&lt;&gt;"",'Metrics planning and tracking'!$K$2,"")</f>
        <v/>
      </c>
      <c r="AC494" s="10" t="str">
        <f>IF(A494&lt;&gt;"",'Metrics planning and tracking'!$K$3,"")</f>
        <v/>
      </c>
      <c r="AD494" s="10" t="str">
        <f>IF(A494&lt;&gt;"",IF(AND(#REF!&lt;&gt;"",#REF!&lt;&gt;"",#REF!&lt;&gt;0),#REF!/#REF!*100,"NA"),"")</f>
        <v/>
      </c>
      <c r="AE494" s="10" t="str">
        <f>IF(A494&lt;&gt;"",IF(AND(#REF!&lt;&gt;"",#REF!&lt;&gt;"",#REF!&lt;&gt;0),#REF!/#REF!*100,"NA"),"")</f>
        <v/>
      </c>
      <c r="AF494" s="57" t="str">
        <f t="shared" si="62"/>
        <v/>
      </c>
      <c r="AG494" s="57" t="str">
        <f t="shared" si="63"/>
        <v/>
      </c>
      <c r="AH494" s="58" t="str">
        <f t="shared" si="64"/>
        <v/>
      </c>
      <c r="AV494" s="22" t="str">
        <f>IF(A494&lt;&gt;"",A494 &amp; "-" &amp;#REF! &amp; ROW(),"")</f>
        <v/>
      </c>
    </row>
    <row r="495" spans="11:48" x14ac:dyDescent="0.2">
      <c r="K495" s="11" t="str">
        <f>IF(AND(COUNTA(B495:C495)&gt;1,COUNTA(F495:G495)&gt;1,O495="Completed"),(G495-C495)/(C495-#REF!+1)%,"")</f>
        <v/>
      </c>
      <c r="L495" s="11" t="str">
        <f>IF(AND(COUNT(D495:E495)&gt;0,COUNTA(F495:G495)&gt;1,O495="Completed"),(G495-AG495)/(AG495-#REF!+1)%,"")</f>
        <v/>
      </c>
      <c r="M495" s="11" t="str">
        <f t="shared" si="59"/>
        <v/>
      </c>
      <c r="N495" s="11" t="str">
        <f t="shared" si="60"/>
        <v/>
      </c>
      <c r="O495" s="12"/>
      <c r="P495" s="12"/>
      <c r="R495" s="10" t="str">
        <f>IF(H495&lt;&gt;"",SUMIF(H$3:H495,"&lt;&gt;" &amp; "",H$3:H495),"")</f>
        <v/>
      </c>
      <c r="S495" s="10" t="str">
        <f t="array" ref="S495">IF(O495="Completed",SUMIF(W$3:W495,"&lt;&gt;" &amp; "",W$3:W495),"")</f>
        <v/>
      </c>
      <c r="T495" s="10" t="str">
        <f t="array" ref="T495">IF(AND(J495&lt;&gt;"",O495="Completed"),SUM(IF(O$3:O495="Completed",J$3:J495,0)),"")</f>
        <v/>
      </c>
      <c r="U495" s="10" t="str">
        <f t="shared" si="58"/>
        <v/>
      </c>
      <c r="V495" s="10">
        <f>ROW()</f>
        <v>495</v>
      </c>
      <c r="W495" s="10" t="str">
        <f t="shared" si="61"/>
        <v/>
      </c>
      <c r="Z495" s="10" t="str">
        <f>IF(A495&lt;&gt;"",'Metrics planning and tracking'!$K$4,"")</f>
        <v/>
      </c>
      <c r="AA495" s="10" t="str">
        <f>IF(A495&lt;&gt;"",'Metrics planning and tracking'!$K$5,"")</f>
        <v/>
      </c>
      <c r="AB495" s="10" t="str">
        <f>IF(A495&lt;&gt;"",'Metrics planning and tracking'!$K$2,"")</f>
        <v/>
      </c>
      <c r="AC495" s="10" t="str">
        <f>IF(A495&lt;&gt;"",'Metrics planning and tracking'!$K$3,"")</f>
        <v/>
      </c>
      <c r="AD495" s="10" t="str">
        <f>IF(A495&lt;&gt;"",IF(AND(#REF!&lt;&gt;"",#REF!&lt;&gt;"",#REF!&lt;&gt;0),#REF!/#REF!*100,"NA"),"")</f>
        <v/>
      </c>
      <c r="AE495" s="10" t="str">
        <f>IF(A495&lt;&gt;"",IF(AND(#REF!&lt;&gt;"",#REF!&lt;&gt;"",#REF!&lt;&gt;0),#REF!/#REF!*100,"NA"),"")</f>
        <v/>
      </c>
      <c r="AF495" s="57" t="str">
        <f t="shared" si="62"/>
        <v/>
      </c>
      <c r="AG495" s="57" t="str">
        <f t="shared" si="63"/>
        <v/>
      </c>
      <c r="AH495" s="58" t="str">
        <f t="shared" si="64"/>
        <v/>
      </c>
      <c r="AV495" s="22" t="str">
        <f>IF(A495&lt;&gt;"",A495 &amp; "-" &amp;#REF! &amp; ROW(),"")</f>
        <v/>
      </c>
    </row>
    <row r="496" spans="11:48" x14ac:dyDescent="0.2">
      <c r="K496" s="11" t="str">
        <f>IF(AND(COUNTA(B496:C496)&gt;1,COUNTA(F496:G496)&gt;1,O496="Completed"),(G496-C496)/(C496-#REF!+1)%,"")</f>
        <v/>
      </c>
      <c r="L496" s="11" t="str">
        <f>IF(AND(COUNT(D496:E496)&gt;0,COUNTA(F496:G496)&gt;1,O496="Completed"),(G496-AG496)/(AG496-#REF!+1)%,"")</f>
        <v/>
      </c>
      <c r="M496" s="11" t="str">
        <f t="shared" si="59"/>
        <v/>
      </c>
      <c r="N496" s="11" t="str">
        <f t="shared" si="60"/>
        <v/>
      </c>
      <c r="O496" s="12"/>
      <c r="P496" s="12"/>
      <c r="R496" s="10" t="str">
        <f>IF(H496&lt;&gt;"",SUMIF(H$3:H496,"&lt;&gt;" &amp; "",H$3:H496),"")</f>
        <v/>
      </c>
      <c r="S496" s="10" t="str">
        <f t="array" ref="S496">IF(O496="Completed",SUMIF(W$3:W496,"&lt;&gt;" &amp; "",W$3:W496),"")</f>
        <v/>
      </c>
      <c r="T496" s="10" t="str">
        <f t="array" ref="T496">IF(AND(J496&lt;&gt;"",O496="Completed"),SUM(IF(O$3:O496="Completed",J$3:J496,0)),"")</f>
        <v/>
      </c>
      <c r="U496" s="10" t="str">
        <f t="shared" si="58"/>
        <v/>
      </c>
      <c r="V496" s="10">
        <f>ROW()</f>
        <v>496</v>
      </c>
      <c r="W496" s="10" t="str">
        <f t="shared" si="61"/>
        <v/>
      </c>
      <c r="Z496" s="10" t="str">
        <f>IF(A496&lt;&gt;"",'Metrics planning and tracking'!$K$4,"")</f>
        <v/>
      </c>
      <c r="AA496" s="10" t="str">
        <f>IF(A496&lt;&gt;"",'Metrics planning and tracking'!$K$5,"")</f>
        <v/>
      </c>
      <c r="AB496" s="10" t="str">
        <f>IF(A496&lt;&gt;"",'Metrics planning and tracking'!$K$2,"")</f>
        <v/>
      </c>
      <c r="AC496" s="10" t="str">
        <f>IF(A496&lt;&gt;"",'Metrics planning and tracking'!$K$3,"")</f>
        <v/>
      </c>
      <c r="AD496" s="10" t="str">
        <f>IF(A496&lt;&gt;"",IF(AND(#REF!&lt;&gt;"",#REF!&lt;&gt;"",#REF!&lt;&gt;0),#REF!/#REF!*100,"NA"),"")</f>
        <v/>
      </c>
      <c r="AE496" s="10" t="str">
        <f>IF(A496&lt;&gt;"",IF(AND(#REF!&lt;&gt;"",#REF!&lt;&gt;"",#REF!&lt;&gt;0),#REF!/#REF!*100,"NA"),"")</f>
        <v/>
      </c>
      <c r="AF496" s="57" t="str">
        <f t="shared" si="62"/>
        <v/>
      </c>
      <c r="AG496" s="57" t="str">
        <f t="shared" si="63"/>
        <v/>
      </c>
      <c r="AH496" s="58" t="str">
        <f t="shared" si="64"/>
        <v/>
      </c>
      <c r="AV496" s="22" t="str">
        <f>IF(A496&lt;&gt;"",A496 &amp; "-" &amp;#REF! &amp; ROW(),"")</f>
        <v/>
      </c>
    </row>
  </sheetData>
  <mergeCells count="5">
    <mergeCell ref="B1:G1"/>
    <mergeCell ref="H1:J1"/>
    <mergeCell ref="M1:N1"/>
    <mergeCell ref="K1:L1"/>
    <mergeCell ref="O1:P1"/>
  </mergeCells>
  <phoneticPr fontId="0" type="noConversion"/>
  <conditionalFormatting sqref="K28:N496">
    <cfRule type="expression" dxfId="13" priority="391" stopIfTrue="1">
      <formula>COUNTA($A28:$J28,$O28:$Q28)&gt;0</formula>
    </cfRule>
    <cfRule type="expression" dxfId="12" priority="392" stopIfTrue="1">
      <formula>COUNTA($A28:$J74,$O28:$Q74)&gt;0</formula>
    </cfRule>
  </conditionalFormatting>
  <conditionalFormatting sqref="M9:N27">
    <cfRule type="expression" dxfId="11" priority="393" stopIfTrue="1">
      <formula>COUNTA($A9:$J9,$O9:$Q9)&gt;0</formula>
    </cfRule>
    <cfRule type="expression" dxfId="10" priority="394" stopIfTrue="1">
      <formula>COUNTA($A9:$J59,$O9:$Q59)&gt;0</formula>
    </cfRule>
  </conditionalFormatting>
  <conditionalFormatting sqref="M3:N3">
    <cfRule type="expression" dxfId="9" priority="395" stopIfTrue="1">
      <formula>COUNTA($A3:$J3,$O3:$Q3)&gt;0</formula>
    </cfRule>
    <cfRule type="expression" dxfId="8" priority="396" stopIfTrue="1">
      <formula>COUNTA($A3:$J46,$O3:$Q46)&gt;0</formula>
    </cfRule>
  </conditionalFormatting>
  <conditionalFormatting sqref="M4:N8">
    <cfRule type="expression" dxfId="7" priority="397" stopIfTrue="1">
      <formula>COUNTA($A4:$J4,$O4:$Q4)&gt;0</formula>
    </cfRule>
    <cfRule type="expression" dxfId="6" priority="398" stopIfTrue="1">
      <formula>COUNTA($A4:$J48,$O4:$Q48)&gt;0</formula>
    </cfRule>
  </conditionalFormatting>
  <dataValidations xWindow="1684" yWindow="581" count="11">
    <dataValidation allowBlank="1" showInputMessage="1" showErrorMessage="1" promptTitle="Guidance" prompt="The schedule variance computed is cumulative and depends on the start dates entered in &quot;Project information sheet&quot;." sqref="K28:L496" xr:uid="{00000000-0002-0000-0A00-000000000000}"/>
    <dataValidation allowBlank="1" showInputMessage="1" showErrorMessage="1" promptTitle="Note:" prompt="Please do not leave any blank rows. This will affect the broadVu metrics collation." sqref="A14:A65528" xr:uid="{00000000-0002-0000-0A00-000001000000}"/>
    <dataValidation type="date" operator="greaterThanOrEqual" allowBlank="1" showInputMessage="1" showErrorMessage="1" errorTitle="Data error" error="This fields takes only date inputs equal or greater than the start date." sqref="E14:E65528" xr:uid="{00000000-0002-0000-0A00-000002000000}">
      <formula1>D13</formula1>
    </dataValidation>
    <dataValidation type="date" operator="greaterThanOrEqual" allowBlank="1" showInputMessage="1" showErrorMessage="1" errorTitle="Data error" error="This fields takes only date inputs equal or greater than the start date." sqref="C14:C65528 E11 C11 G16:G65528 G9:G14" xr:uid="{00000000-0002-0000-0A00-000003000000}">
      <formula1>B9</formula1>
    </dataValidation>
    <dataValidation type="date" operator="greaterThanOrEqual" allowBlank="1" showInputMessage="1" showErrorMessage="1" errorTitle="Data validation error" error="This cell can take only date values." promptTitle="Guidance" prompt="This date is used for the computation of schedule variance data." sqref="B3 B5 F3 D3" xr:uid="{00000000-0002-0000-0A00-000004000000}">
      <formula1>32874</formula1>
    </dataValidation>
    <dataValidation type="date" operator="greaterThanOrEqual" allowBlank="1" showInputMessage="1" showErrorMessage="1" errorTitle="Data error" error="This fields takes only date inputs equal or greater than the start date." sqref="H15" xr:uid="{00000000-0002-0000-0A00-000005000000}">
      <formula1>F15</formula1>
    </dataValidation>
    <dataValidation type="decimal" operator="greaterThan" allowBlank="1" showInputMessage="1" showErrorMessage="1" errorTitle="Data error" error="This cell takes only numeric inputs." sqref="H4:J65528" xr:uid="{00000000-0002-0000-0A00-000006000000}">
      <formula1>0</formula1>
    </dataValidation>
    <dataValidation type="date" operator="greaterThanOrEqual" allowBlank="1" showInputMessage="1" showErrorMessage="1" errorTitle="Data error" error="This field takes only date inputs." sqref="B9:B65528 F9:F65528 D9:D65528" xr:uid="{00000000-0002-0000-0A00-000007000000}">
      <formula1>36892</formula1>
    </dataValidation>
    <dataValidation type="list" allowBlank="1" showInputMessage="1" showErrorMessage="1" sqref="P3:P65528" xr:uid="{00000000-0002-0000-0A00-000008000000}">
      <formula1>"Yes,No"</formula1>
    </dataValidation>
    <dataValidation type="list" allowBlank="1" showInputMessage="1" showErrorMessage="1" promptTitle="Note" prompt="Actual End date of activity must be entered before setting the status to &quot;completed&quot;." sqref="O16:O65528 O3:O14" xr:uid="{00000000-0002-0000-0A00-000009000000}">
      <formula1>IF($G3&lt;&gt;"",$U$1:$Y$1,$U$1:$X$1)</formula1>
    </dataValidation>
    <dataValidation type="list" allowBlank="1" showInputMessage="1" showErrorMessage="1" promptTitle="Note" prompt="Actual End date of activity must be entered before setting the status to &quot;completed&quot;." sqref="O15" xr:uid="{00000000-0002-0000-0A00-00000A000000}">
      <formula1>IF($H15&lt;&gt;"",$U$1:$Y$1,$U$1:$X$1)</formula1>
    </dataValidation>
  </dataValidations>
  <pageMargins left="0.75" right="0.75" top="1" bottom="1" header="0.5" footer="0.5"/>
  <pageSetup paperSize="9" scale="95" orientation="landscape" r:id="rId1"/>
  <headerFooter alignWithMargins="0">
    <oddFooter>&amp;R&amp;P of &amp;N</oddFooter>
  </headerFooter>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K45"/>
  <sheetViews>
    <sheetView topLeftCell="A3" zoomScaleNormal="100" workbookViewId="0">
      <selection activeCell="K7" sqref="K7"/>
    </sheetView>
  </sheetViews>
  <sheetFormatPr defaultColWidth="9.140625" defaultRowHeight="12.75" x14ac:dyDescent="0.2"/>
  <cols>
    <col min="1" max="1" width="17.7109375" style="86" customWidth="1"/>
    <col min="2" max="2" width="16.7109375" style="86" customWidth="1"/>
    <col min="3" max="3" width="16.28515625" style="92" customWidth="1"/>
    <col min="4" max="6" width="9.140625" style="92" customWidth="1"/>
    <col min="7" max="7" width="26.5703125" style="166" customWidth="1"/>
    <col min="8" max="8" width="35.85546875" style="166" customWidth="1"/>
    <col min="9" max="9" width="18.28515625" style="92" customWidth="1"/>
    <col min="10" max="10" width="9.140625" style="92"/>
    <col min="11" max="11" width="23" style="92" customWidth="1"/>
    <col min="12" max="16384" width="9.140625" style="92"/>
  </cols>
  <sheetData>
    <row r="1" spans="1:11" hidden="1" x14ac:dyDescent="0.2">
      <c r="A1" s="339"/>
      <c r="B1" s="339"/>
      <c r="C1" s="339"/>
      <c r="D1" s="339"/>
      <c r="E1" s="339"/>
      <c r="F1" s="339"/>
      <c r="G1" s="275"/>
      <c r="H1" s="275"/>
      <c r="I1" s="339"/>
      <c r="J1" s="339"/>
      <c r="K1" s="339"/>
    </row>
    <row r="2" spans="1:11" ht="13.5" hidden="1" thickBot="1" x14ac:dyDescent="0.25">
      <c r="A2" s="339"/>
      <c r="B2" s="339"/>
      <c r="C2" s="339"/>
      <c r="D2" s="339"/>
      <c r="E2" s="339"/>
      <c r="F2" s="339"/>
      <c r="G2" s="275"/>
      <c r="H2" s="275"/>
      <c r="I2" s="339"/>
      <c r="J2" s="339"/>
      <c r="K2" s="339"/>
    </row>
    <row r="3" spans="1:11" ht="50.25" customHeight="1" thickBot="1" x14ac:dyDescent="0.25">
      <c r="A3" s="347" t="s">
        <v>1118</v>
      </c>
      <c r="B3" s="348" t="s">
        <v>1119</v>
      </c>
      <c r="C3" s="349"/>
      <c r="D3" s="349"/>
      <c r="E3" s="349"/>
      <c r="F3" s="349"/>
      <c r="G3" s="350" t="s">
        <v>1120</v>
      </c>
      <c r="H3" s="350" t="s">
        <v>1121</v>
      </c>
      <c r="I3" s="348" t="s">
        <v>1122</v>
      </c>
      <c r="J3" s="339"/>
      <c r="K3" s="339"/>
    </row>
    <row r="4" spans="1:11" ht="25.5" x14ac:dyDescent="0.2">
      <c r="A4" s="333" t="s">
        <v>1123</v>
      </c>
      <c r="B4" s="333" t="s">
        <v>1124</v>
      </c>
      <c r="C4" s="339">
        <f>ROW()</f>
        <v>4</v>
      </c>
      <c r="D4" s="339">
        <f>IF(COUNTIF(B$4:B4,B4)=1,ROW(),"")</f>
        <v>4</v>
      </c>
      <c r="E4" s="339">
        <f>IF(COUNTIF(A$4:A4,A4)=1,ROW(),"")</f>
        <v>4</v>
      </c>
      <c r="F4" s="339"/>
      <c r="G4" s="275" t="s">
        <v>1123</v>
      </c>
      <c r="H4" s="275" t="s">
        <v>1125</v>
      </c>
      <c r="I4" s="333" t="s">
        <v>61</v>
      </c>
      <c r="J4" s="339"/>
      <c r="K4" s="167" t="s">
        <v>61</v>
      </c>
    </row>
    <row r="5" spans="1:11" ht="25.5" x14ac:dyDescent="0.2">
      <c r="A5" s="333" t="s">
        <v>1126</v>
      </c>
      <c r="B5" s="333" t="s">
        <v>1124</v>
      </c>
      <c r="C5" s="339">
        <f>ROW()</f>
        <v>5</v>
      </c>
      <c r="D5" s="339" t="str">
        <f>IF(COUNTIF(B$4:B5,B5)=1,ROW(),"")</f>
        <v/>
      </c>
      <c r="E5" s="339">
        <f>IF(COUNTIF(A$4:A5,A5)=1,ROW(),"")</f>
        <v>5</v>
      </c>
      <c r="F5" s="339"/>
      <c r="G5" s="275" t="s">
        <v>1126</v>
      </c>
      <c r="H5" s="275" t="s">
        <v>1127</v>
      </c>
      <c r="I5" s="333" t="s">
        <v>1128</v>
      </c>
      <c r="J5" s="339"/>
      <c r="K5" s="167" t="s">
        <v>1129</v>
      </c>
    </row>
    <row r="6" spans="1:11" ht="25.5" x14ac:dyDescent="0.2">
      <c r="A6" s="333" t="s">
        <v>1130</v>
      </c>
      <c r="B6" s="333" t="s">
        <v>1124</v>
      </c>
      <c r="C6" s="339">
        <f>ROW()</f>
        <v>6</v>
      </c>
      <c r="D6" s="339" t="str">
        <f>IF(COUNTIF(B$4:B6,B6)=1,ROW(),"")</f>
        <v/>
      </c>
      <c r="E6" s="339">
        <f>IF(COUNTIF(A$4:A6,A6)=1,ROW(),"")</f>
        <v>6</v>
      </c>
      <c r="F6" s="339"/>
      <c r="G6" s="275" t="s">
        <v>1130</v>
      </c>
      <c r="H6" s="275" t="s">
        <v>1131</v>
      </c>
      <c r="I6" s="333" t="s">
        <v>1132</v>
      </c>
      <c r="J6" s="339"/>
      <c r="K6" s="167" t="s">
        <v>1133</v>
      </c>
    </row>
    <row r="7" spans="1:11" ht="25.5" x14ac:dyDescent="0.2">
      <c r="A7" s="333" t="s">
        <v>1134</v>
      </c>
      <c r="B7" s="333" t="s">
        <v>1124</v>
      </c>
      <c r="C7" s="339">
        <f>ROW()</f>
        <v>7</v>
      </c>
      <c r="D7" s="339" t="str">
        <f>IF(COUNTIF(B$4:B7,B7)=1,ROW(),"")</f>
        <v/>
      </c>
      <c r="E7" s="339">
        <f>IF(COUNTIF(A$4:A7,A7)=1,ROW(),"")</f>
        <v>7</v>
      </c>
      <c r="F7" s="339"/>
      <c r="G7" s="275" t="s">
        <v>1134</v>
      </c>
      <c r="H7" s="275" t="s">
        <v>1135</v>
      </c>
      <c r="I7" s="333" t="s">
        <v>1132</v>
      </c>
      <c r="J7" s="339"/>
      <c r="K7" s="167" t="s">
        <v>1136</v>
      </c>
    </row>
    <row r="8" spans="1:11" ht="25.5" x14ac:dyDescent="0.2">
      <c r="A8" s="333" t="s">
        <v>1103</v>
      </c>
      <c r="B8" s="333" t="s">
        <v>1124</v>
      </c>
      <c r="C8" s="339">
        <f>ROW()</f>
        <v>8</v>
      </c>
      <c r="D8" s="339" t="str">
        <f>IF(COUNTIF(B$4:B8,B8)=1,ROW(),"")</f>
        <v/>
      </c>
      <c r="E8" s="339">
        <f>IF(COUNTIF(A$4:A8,A8)=1,ROW(),"")</f>
        <v>8</v>
      </c>
      <c r="F8" s="339"/>
      <c r="G8" s="275" t="s">
        <v>1103</v>
      </c>
      <c r="H8" s="275" t="s">
        <v>1137</v>
      </c>
      <c r="I8" s="333" t="s">
        <v>1133</v>
      </c>
      <c r="J8" s="339"/>
      <c r="K8" s="167" t="s">
        <v>1132</v>
      </c>
    </row>
    <row r="9" spans="1:11" ht="25.5" x14ac:dyDescent="0.2">
      <c r="A9" s="333" t="s">
        <v>1138</v>
      </c>
      <c r="B9" s="333" t="s">
        <v>1124</v>
      </c>
      <c r="C9" s="339">
        <f>ROW()</f>
        <v>9</v>
      </c>
      <c r="D9" s="339" t="str">
        <f>IF(COUNTIF(B$4:B9,B9)=1,ROW(),"")</f>
        <v/>
      </c>
      <c r="E9" s="339">
        <f>IF(COUNTIF(A$4:A9,A9)=1,ROW(),"")</f>
        <v>9</v>
      </c>
      <c r="F9" s="339"/>
      <c r="G9" s="275" t="s">
        <v>1138</v>
      </c>
      <c r="H9" s="275" t="s">
        <v>1139</v>
      </c>
      <c r="I9" s="333" t="s">
        <v>61</v>
      </c>
      <c r="J9" s="339"/>
      <c r="K9" s="167" t="s">
        <v>1140</v>
      </c>
    </row>
    <row r="10" spans="1:11" x14ac:dyDescent="0.2">
      <c r="A10" s="333"/>
      <c r="B10" s="333"/>
      <c r="C10" s="339">
        <f>ROW()</f>
        <v>10</v>
      </c>
      <c r="D10" s="339" t="str">
        <f>IF(COUNTIF(B$4:B10,B10)=1,ROW(),"")</f>
        <v/>
      </c>
      <c r="E10" s="339" t="str">
        <f>IF(COUNTIF(A$4:A10,A10)=1,ROW(),"")</f>
        <v/>
      </c>
      <c r="F10" s="339"/>
      <c r="G10" s="275"/>
      <c r="H10" s="275" t="s">
        <v>1124</v>
      </c>
      <c r="I10" s="333" t="s">
        <v>1140</v>
      </c>
      <c r="J10" s="339"/>
      <c r="K10" s="167" t="s">
        <v>1128</v>
      </c>
    </row>
    <row r="11" spans="1:11" x14ac:dyDescent="0.2">
      <c r="A11" s="333"/>
      <c r="B11" s="333"/>
      <c r="C11" s="339">
        <f>ROW()</f>
        <v>11</v>
      </c>
      <c r="D11" s="339" t="str">
        <f>IF(COUNTIF(B$4:B11,B11)=1,ROW(),"")</f>
        <v/>
      </c>
      <c r="E11" s="339" t="str">
        <f>IF(COUNTIF(A$4:A11,A11)=1,ROW(),"")</f>
        <v/>
      </c>
      <c r="F11" s="339"/>
      <c r="G11" s="275"/>
      <c r="H11" s="275" t="s">
        <v>1141</v>
      </c>
      <c r="I11" s="333" t="s">
        <v>1128</v>
      </c>
      <c r="J11" s="339"/>
      <c r="K11" s="167" t="s">
        <v>1142</v>
      </c>
    </row>
    <row r="12" spans="1:11" x14ac:dyDescent="0.2">
      <c r="A12" s="333"/>
      <c r="B12" s="333"/>
      <c r="C12" s="339">
        <f>ROW()</f>
        <v>12</v>
      </c>
      <c r="D12" s="339" t="str">
        <f>IF(COUNTIF(B$4:B12,B12)=1,ROW(),"")</f>
        <v/>
      </c>
      <c r="E12" s="339" t="str">
        <f>IF(COUNTIF(A$4:A12,A12)=1,ROW(),"")</f>
        <v/>
      </c>
      <c r="F12" s="339"/>
      <c r="G12" s="275"/>
      <c r="H12" s="275" t="s">
        <v>1143</v>
      </c>
      <c r="I12" s="333" t="s">
        <v>1140</v>
      </c>
      <c r="J12" s="339"/>
      <c r="K12" s="339"/>
    </row>
    <row r="13" spans="1:11" x14ac:dyDescent="0.2">
      <c r="A13" s="333"/>
      <c r="B13" s="333"/>
      <c r="C13" s="339">
        <f>ROW()</f>
        <v>13</v>
      </c>
      <c r="D13" s="339" t="str">
        <f>IF(COUNTIF(B$4:B13,B13)=1,ROW(),"")</f>
        <v/>
      </c>
      <c r="E13" s="339" t="str">
        <f>IF(COUNTIF(A$4:A13,A13)=1,ROW(),"")</f>
        <v/>
      </c>
      <c r="F13" s="339"/>
      <c r="G13" s="275"/>
      <c r="H13" s="275" t="s">
        <v>1144</v>
      </c>
      <c r="I13" s="333" t="s">
        <v>1140</v>
      </c>
      <c r="J13" s="339"/>
      <c r="K13" s="339"/>
    </row>
    <row r="14" spans="1:11" x14ac:dyDescent="0.2">
      <c r="A14" s="333"/>
      <c r="B14" s="333"/>
      <c r="C14" s="339">
        <f>ROW()</f>
        <v>14</v>
      </c>
      <c r="D14" s="339" t="str">
        <f>IF(COUNTIF(B$4:B14,B14)=1,ROW(),"")</f>
        <v/>
      </c>
      <c r="E14" s="339" t="str">
        <f>IF(COUNTIF(A$4:A14,A14)=1,ROW(),"")</f>
        <v/>
      </c>
      <c r="F14" s="339"/>
      <c r="G14" s="275"/>
      <c r="H14" s="275" t="s">
        <v>1145</v>
      </c>
      <c r="I14" s="333"/>
      <c r="J14" s="339"/>
      <c r="K14" s="339"/>
    </row>
    <row r="15" spans="1:11" x14ac:dyDescent="0.2">
      <c r="A15" s="333"/>
      <c r="B15" s="333"/>
      <c r="C15" s="339">
        <f>ROW()</f>
        <v>15</v>
      </c>
      <c r="D15" s="339" t="str">
        <f>IF(COUNTIF(B$4:B15,B15)=1,ROW(),"")</f>
        <v/>
      </c>
      <c r="E15" s="339" t="str">
        <f>IF(COUNTIF(A$4:A15,A15)=1,ROW(),"")</f>
        <v/>
      </c>
      <c r="F15" s="339"/>
      <c r="G15" s="275"/>
      <c r="H15" s="275" t="s">
        <v>1146</v>
      </c>
      <c r="I15" s="333"/>
      <c r="J15" s="339"/>
      <c r="K15" s="339"/>
    </row>
    <row r="16" spans="1:11" x14ac:dyDescent="0.2">
      <c r="A16" s="333"/>
      <c r="B16" s="333"/>
      <c r="C16" s="339">
        <f>ROW()</f>
        <v>16</v>
      </c>
      <c r="D16" s="339" t="str">
        <f>IF(COUNTIF(B$4:B16,B16)=1,ROW(),"")</f>
        <v/>
      </c>
      <c r="E16" s="339" t="str">
        <f>IF(COUNTIF(A$4:A16,A16)=1,ROW(),"")</f>
        <v/>
      </c>
      <c r="F16" s="339"/>
      <c r="G16" s="275"/>
      <c r="H16" s="275" t="s">
        <v>122</v>
      </c>
      <c r="I16" s="333"/>
      <c r="J16" s="339"/>
      <c r="K16" s="339"/>
    </row>
    <row r="17" spans="3:9" x14ac:dyDescent="0.2">
      <c r="C17" s="339">
        <f>ROW()</f>
        <v>17</v>
      </c>
      <c r="D17" s="339" t="str">
        <f>IF(COUNTIF(B$4:B17,B17)=1,ROW(),"")</f>
        <v/>
      </c>
      <c r="E17" s="339" t="str">
        <f>IF(COUNTIF(A$4:A17,A17)=1,ROW(),"")</f>
        <v/>
      </c>
      <c r="F17" s="339"/>
      <c r="G17" s="275"/>
      <c r="H17" s="275"/>
      <c r="I17" s="333"/>
    </row>
    <row r="18" spans="3:9" x14ac:dyDescent="0.2">
      <c r="C18" s="339">
        <f>ROW()</f>
        <v>18</v>
      </c>
      <c r="D18" s="339" t="str">
        <f>IF(COUNTIF(B$4:B18,B18)=1,ROW(),"")</f>
        <v/>
      </c>
      <c r="E18" s="339" t="str">
        <f>IF(COUNTIF(A$4:A18,A18)=1,ROW(),"")</f>
        <v/>
      </c>
      <c r="F18" s="339"/>
      <c r="G18" s="275"/>
      <c r="H18" s="275"/>
      <c r="I18" s="333"/>
    </row>
    <row r="19" spans="3:9" x14ac:dyDescent="0.2">
      <c r="C19" s="339">
        <f>ROW()</f>
        <v>19</v>
      </c>
      <c r="D19" s="339" t="str">
        <f>IF(COUNTIF(B$4:B19,B19)=1,ROW(),"")</f>
        <v/>
      </c>
      <c r="E19" s="339" t="str">
        <f>IF(COUNTIF(A$4:A19,A19)=1,ROW(),"")</f>
        <v/>
      </c>
      <c r="F19" s="339"/>
      <c r="G19" s="275"/>
      <c r="H19" s="275"/>
      <c r="I19" s="333"/>
    </row>
    <row r="20" spans="3:9" x14ac:dyDescent="0.2">
      <c r="C20" s="339">
        <f>ROW()</f>
        <v>20</v>
      </c>
      <c r="D20" s="339" t="str">
        <f>IF(COUNTIF(B$4:B20,B20)=1,ROW(),"")</f>
        <v/>
      </c>
      <c r="E20" s="339" t="str">
        <f>IF(COUNTIF(A$4:A20,A20)=1,ROW(),"")</f>
        <v/>
      </c>
      <c r="F20" s="339"/>
      <c r="G20" s="275"/>
      <c r="H20" s="275"/>
      <c r="I20" s="333"/>
    </row>
    <row r="21" spans="3:9" x14ac:dyDescent="0.2">
      <c r="C21" s="339">
        <f>ROW()</f>
        <v>21</v>
      </c>
      <c r="D21" s="339" t="str">
        <f>IF(COUNTIF(B$4:B21,B21)=1,ROW(),"")</f>
        <v/>
      </c>
      <c r="E21" s="339" t="str">
        <f>IF(COUNTIF(A$4:A21,A21)=1,ROW(),"")</f>
        <v/>
      </c>
      <c r="F21" s="339"/>
      <c r="G21" s="275"/>
      <c r="H21" s="275"/>
      <c r="I21" s="333"/>
    </row>
    <row r="22" spans="3:9" x14ac:dyDescent="0.2">
      <c r="C22" s="339">
        <f>ROW()</f>
        <v>22</v>
      </c>
      <c r="D22" s="339" t="str">
        <f>IF(COUNTIF(B$4:B22,B22)=1,ROW(),"")</f>
        <v/>
      </c>
      <c r="E22" s="339" t="str">
        <f>IF(COUNTIF(A$4:A22,A22)=1,ROW(),"")</f>
        <v/>
      </c>
      <c r="F22" s="339"/>
      <c r="G22" s="275"/>
      <c r="H22" s="275"/>
      <c r="I22" s="333"/>
    </row>
    <row r="23" spans="3:9" x14ac:dyDescent="0.2">
      <c r="C23" s="339">
        <f>ROW()</f>
        <v>23</v>
      </c>
      <c r="D23" s="339" t="str">
        <f>IF(COUNTIF(B$4:B23,B23)=1,ROW(),"")</f>
        <v/>
      </c>
      <c r="E23" s="339" t="str">
        <f>IF(COUNTIF(A$4:A23,A23)=1,ROW(),"")</f>
        <v/>
      </c>
      <c r="F23" s="339"/>
      <c r="G23" s="275"/>
      <c r="H23" s="275"/>
      <c r="I23" s="333"/>
    </row>
    <row r="24" spans="3:9" x14ac:dyDescent="0.2">
      <c r="C24" s="339">
        <f>ROW()</f>
        <v>24</v>
      </c>
      <c r="D24" s="339" t="str">
        <f>IF(COUNTIF(B$4:B24,B24)=1,ROW(),"")</f>
        <v/>
      </c>
      <c r="E24" s="339" t="str">
        <f>IF(COUNTIF(A$4:A24,A24)=1,ROW(),"")</f>
        <v/>
      </c>
      <c r="F24" s="339"/>
      <c r="G24" s="275"/>
      <c r="H24" s="275"/>
      <c r="I24" s="339"/>
    </row>
    <row r="25" spans="3:9" x14ac:dyDescent="0.2">
      <c r="C25" s="339">
        <f>ROW()</f>
        <v>25</v>
      </c>
      <c r="D25" s="339" t="str">
        <f>IF(COUNTIF(B$4:B25,B25)=1,ROW(),"")</f>
        <v/>
      </c>
      <c r="E25" s="339" t="str">
        <f>IF(COUNTIF(A$4:A25,A25)=1,ROW(),"")</f>
        <v/>
      </c>
      <c r="F25" s="339"/>
      <c r="G25" s="275"/>
      <c r="H25" s="275"/>
      <c r="I25" s="339"/>
    </row>
    <row r="26" spans="3:9" x14ac:dyDescent="0.2">
      <c r="C26" s="339">
        <f>ROW()</f>
        <v>26</v>
      </c>
      <c r="D26" s="339" t="str">
        <f>IF(COUNTIF(B$4:B26,B26)=1,ROW(),"")</f>
        <v/>
      </c>
      <c r="E26" s="339" t="str">
        <f>IF(COUNTIF(A$4:A26,A26)=1,ROW(),"")</f>
        <v/>
      </c>
      <c r="F26" s="339"/>
      <c r="G26" s="275"/>
      <c r="H26" s="275"/>
      <c r="I26" s="339"/>
    </row>
    <row r="27" spans="3:9" x14ac:dyDescent="0.2">
      <c r="C27" s="339">
        <f>ROW()</f>
        <v>27</v>
      </c>
      <c r="D27" s="339" t="str">
        <f>IF(COUNTIF(B$4:B27,B27)=1,ROW(),"")</f>
        <v/>
      </c>
      <c r="E27" s="339" t="str">
        <f>IF(COUNTIF(A$4:A27,A27)=1,ROW(),"")</f>
        <v/>
      </c>
      <c r="F27" s="339"/>
      <c r="G27" s="275"/>
      <c r="H27" s="275"/>
      <c r="I27" s="339"/>
    </row>
    <row r="28" spans="3:9" x14ac:dyDescent="0.2">
      <c r="C28" s="339">
        <f>ROW()</f>
        <v>28</v>
      </c>
      <c r="D28" s="339" t="str">
        <f>IF(COUNTIF(B$4:B28,B28)=1,ROW(),"")</f>
        <v/>
      </c>
      <c r="E28" s="339" t="str">
        <f>IF(COUNTIF(A$4:A28,A28)=1,ROW(),"")</f>
        <v/>
      </c>
      <c r="F28" s="339"/>
      <c r="G28" s="275"/>
      <c r="H28" s="275"/>
      <c r="I28" s="339"/>
    </row>
    <row r="29" spans="3:9" x14ac:dyDescent="0.2">
      <c r="C29" s="339">
        <f>ROW()</f>
        <v>29</v>
      </c>
      <c r="D29" s="339" t="str">
        <f>IF(COUNTIF(B$4:B29,B29)=1,ROW(),"")</f>
        <v/>
      </c>
      <c r="E29" s="339" t="str">
        <f>IF(COUNTIF(A$4:A29,A29)=1,ROW(),"")</f>
        <v/>
      </c>
      <c r="F29" s="339"/>
      <c r="G29" s="275"/>
      <c r="H29" s="275"/>
      <c r="I29" s="339"/>
    </row>
    <row r="30" spans="3:9" x14ac:dyDescent="0.2">
      <c r="C30" s="339">
        <f>ROW()</f>
        <v>30</v>
      </c>
      <c r="D30" s="339" t="str">
        <f>IF(COUNTIF(B$4:B30,B30)=1,ROW(),"")</f>
        <v/>
      </c>
      <c r="E30" s="339" t="str">
        <f>IF(COUNTIF(A$4:A30,A30)=1,ROW(),"")</f>
        <v/>
      </c>
      <c r="F30" s="339"/>
      <c r="G30" s="275"/>
      <c r="H30" s="275"/>
      <c r="I30" s="339"/>
    </row>
    <row r="31" spans="3:9" x14ac:dyDescent="0.2">
      <c r="C31" s="339">
        <f>ROW()</f>
        <v>31</v>
      </c>
      <c r="D31" s="339" t="str">
        <f>IF(COUNTIF(B$4:B31,B31)=1,ROW(),"")</f>
        <v/>
      </c>
      <c r="E31" s="339" t="str">
        <f>IF(COUNTIF(A$4:A31,A31)=1,ROW(),"")</f>
        <v/>
      </c>
      <c r="F31" s="339"/>
      <c r="G31" s="275"/>
      <c r="H31" s="275"/>
      <c r="I31" s="339"/>
    </row>
    <row r="32" spans="3:9" x14ac:dyDescent="0.2">
      <c r="C32" s="339">
        <f>ROW()</f>
        <v>32</v>
      </c>
      <c r="D32" s="339" t="str">
        <f>IF(COUNTIF(B$4:B32,B32)=1,ROW(),"")</f>
        <v/>
      </c>
      <c r="E32" s="339" t="str">
        <f>IF(COUNTIF(A$4:A32,A32)=1,ROW(),"")</f>
        <v/>
      </c>
      <c r="F32" s="339"/>
      <c r="G32" s="275"/>
      <c r="H32" s="275"/>
      <c r="I32" s="339"/>
    </row>
    <row r="33" spans="3:7" x14ac:dyDescent="0.2">
      <c r="C33" s="339">
        <f>ROW()</f>
        <v>33</v>
      </c>
      <c r="D33" s="339" t="str">
        <f>IF(COUNTIF(B$4:B33,B33)=1,ROW(),"")</f>
        <v/>
      </c>
      <c r="E33" s="339" t="str">
        <f>IF(COUNTIF(A$4:A33,A33)=1,ROW(),"")</f>
        <v/>
      </c>
      <c r="F33" s="339"/>
      <c r="G33" s="275"/>
    </row>
    <row r="34" spans="3:7" x14ac:dyDescent="0.2">
      <c r="C34" s="339">
        <f>ROW()</f>
        <v>34</v>
      </c>
      <c r="D34" s="339" t="str">
        <f>IF(COUNTIF(B$4:B34,B34)=1,ROW(),"")</f>
        <v/>
      </c>
      <c r="E34" s="339" t="str">
        <f>IF(COUNTIF(A$4:A34,A34)=1,ROW(),"")</f>
        <v/>
      </c>
      <c r="F34" s="339"/>
      <c r="G34" s="275"/>
    </row>
    <row r="35" spans="3:7" x14ac:dyDescent="0.2">
      <c r="C35" s="339">
        <f>ROW()</f>
        <v>35</v>
      </c>
      <c r="D35" s="339" t="str">
        <f>IF(COUNTIF(B$4:B35,B35)=1,ROW(),"")</f>
        <v/>
      </c>
      <c r="E35" s="339" t="str">
        <f>IF(COUNTIF(A$4:A35,A35)=1,ROW(),"")</f>
        <v/>
      </c>
      <c r="F35" s="339"/>
      <c r="G35" s="275"/>
    </row>
    <row r="36" spans="3:7" x14ac:dyDescent="0.2">
      <c r="C36" s="339">
        <f>ROW()</f>
        <v>36</v>
      </c>
      <c r="D36" s="339" t="str">
        <f>IF(COUNTIF(B$4:B36,B36)=1,ROW(),"")</f>
        <v/>
      </c>
      <c r="E36" s="339" t="str">
        <f>IF(COUNTIF(A$4:A36,A36)=1,ROW(),"")</f>
        <v/>
      </c>
      <c r="F36" s="339"/>
      <c r="G36" s="275"/>
    </row>
    <row r="37" spans="3:7" x14ac:dyDescent="0.2">
      <c r="C37" s="339">
        <f>ROW()</f>
        <v>37</v>
      </c>
      <c r="D37" s="339" t="str">
        <f>IF(COUNTIF(B$4:B37,B37)=1,ROW(),"")</f>
        <v/>
      </c>
      <c r="E37" s="339" t="str">
        <f>IF(COUNTIF(A$4:A37,A37)=1,ROW(),"")</f>
        <v/>
      </c>
      <c r="F37" s="339"/>
      <c r="G37" s="275"/>
    </row>
    <row r="38" spans="3:7" x14ac:dyDescent="0.2">
      <c r="C38" s="339"/>
      <c r="D38" s="339"/>
      <c r="E38" s="339"/>
      <c r="F38" s="339"/>
      <c r="G38" s="275"/>
    </row>
    <row r="39" spans="3:7" x14ac:dyDescent="0.2">
      <c r="C39" s="339"/>
      <c r="D39" s="339"/>
      <c r="E39" s="339"/>
      <c r="F39" s="339"/>
      <c r="G39" s="275"/>
    </row>
    <row r="40" spans="3:7" x14ac:dyDescent="0.2">
      <c r="C40" s="339"/>
      <c r="D40" s="339"/>
      <c r="E40" s="339"/>
      <c r="F40" s="339"/>
      <c r="G40" s="275"/>
    </row>
    <row r="41" spans="3:7" x14ac:dyDescent="0.2">
      <c r="C41" s="339"/>
      <c r="D41" s="339"/>
      <c r="E41" s="339"/>
      <c r="F41" s="339"/>
      <c r="G41" s="275"/>
    </row>
    <row r="42" spans="3:7" x14ac:dyDescent="0.2">
      <c r="C42" s="339"/>
      <c r="D42" s="339"/>
      <c r="E42" s="339"/>
      <c r="F42" s="339"/>
      <c r="G42" s="275"/>
    </row>
    <row r="43" spans="3:7" x14ac:dyDescent="0.2">
      <c r="C43" s="339"/>
      <c r="D43" s="339"/>
      <c r="E43" s="339"/>
      <c r="F43" s="339"/>
      <c r="G43" s="275"/>
    </row>
    <row r="44" spans="3:7" x14ac:dyDescent="0.2">
      <c r="C44" s="339"/>
      <c r="D44" s="339"/>
      <c r="E44" s="339"/>
      <c r="F44" s="339"/>
      <c r="G44" s="275"/>
    </row>
    <row r="45" spans="3:7" x14ac:dyDescent="0.2">
      <c r="C45" s="339"/>
      <c r="D45" s="339"/>
      <c r="E45" s="339"/>
      <c r="F45" s="339"/>
      <c r="G45" s="275"/>
    </row>
  </sheetData>
  <phoneticPr fontId="0" type="noConversion"/>
  <conditionalFormatting sqref="A4:A25">
    <cfRule type="cellIs" dxfId="5" priority="1" stopIfTrue="1" operator="notEqual">
      <formula>""</formula>
    </cfRule>
  </conditionalFormatting>
  <conditionalFormatting sqref="I4:I23">
    <cfRule type="expression" dxfId="4" priority="2" stopIfTrue="1">
      <formula>$A4&lt;&gt;""</formula>
    </cfRule>
  </conditionalFormatting>
  <conditionalFormatting sqref="B4:B27">
    <cfRule type="expression" dxfId="3" priority="3" stopIfTrue="1">
      <formula>$A4&lt;&gt;""</formula>
    </cfRule>
  </conditionalFormatting>
  <dataValidations count="3">
    <dataValidation type="list" allowBlank="1" showInputMessage="1" showErrorMessage="1" sqref="A1:A2 A5 A6:A65536 A4" xr:uid="{00000000-0002-0000-0B00-000000000000}">
      <formula1>$G$4:$G$45</formula1>
    </dataValidation>
    <dataValidation type="list" allowBlank="1" showInputMessage="1" showErrorMessage="1" promptTitle="Note:" prompt="This mapping is required for phaswise metrics computation in broadVu" sqref="I1:I2 I4:I65536" xr:uid="{00000000-0002-0000-0B00-000001000000}">
      <formula1>$K$4:$K$11</formula1>
    </dataValidation>
    <dataValidation type="list" allowBlank="1" showInputMessage="1" showErrorMessage="1" sqref="B1:B2 B4:B65536" xr:uid="{00000000-0002-0000-0B00-000002000000}">
      <formula1>$H$4:$H$16</formula1>
    </dataValidation>
  </dataValidations>
  <pageMargins left="0.75" right="0.75" top="1" bottom="1" header="0.5" footer="0.5"/>
  <pageSetup paperSize="9" scale="95" orientation="landscape" r:id="rId1"/>
  <headerFooter alignWithMargins="0">
    <oddFooter>&amp;R&amp;P of &amp;N</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
  <sheetViews>
    <sheetView workbookViewId="0"/>
  </sheetViews>
  <sheetFormatPr defaultRowHeight="12.75" x14ac:dyDescent="0.2"/>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5"/>
  <dimension ref="A1:R117"/>
  <sheetViews>
    <sheetView topLeftCell="A17" zoomScale="75" zoomScaleNormal="75" workbookViewId="0">
      <selection activeCell="E23" sqref="E23"/>
    </sheetView>
  </sheetViews>
  <sheetFormatPr defaultColWidth="9.140625" defaultRowHeight="12.75" x14ac:dyDescent="0.2"/>
  <cols>
    <col min="1" max="1" width="14.85546875" style="3" customWidth="1"/>
    <col min="2" max="2" width="17.28515625" style="4" customWidth="1"/>
    <col min="3" max="3" width="11.5703125" style="4" customWidth="1"/>
    <col min="4" max="4" width="11.5703125" style="14" customWidth="1"/>
    <col min="5" max="5" width="37.5703125" style="4" customWidth="1"/>
    <col min="6" max="6" width="13.140625" style="3" bestFit="1" customWidth="1"/>
    <col min="7" max="7" width="15.7109375" style="21" bestFit="1" customWidth="1"/>
    <col min="8" max="8" width="18.28515625" style="4" customWidth="1"/>
    <col min="9" max="9" width="13.28515625" style="4" customWidth="1"/>
    <col min="10" max="10" width="11.7109375" style="5" customWidth="1"/>
    <col min="11" max="12" width="10.28515625" style="4" customWidth="1"/>
    <col min="13" max="13" width="10.28515625" style="36" customWidth="1"/>
    <col min="14" max="14" width="10.140625" style="1" customWidth="1"/>
    <col min="15" max="16" width="9.140625" style="1" customWidth="1"/>
    <col min="17" max="17" width="11.5703125" style="1" customWidth="1"/>
    <col min="18" max="18" width="10.5703125" style="1" customWidth="1"/>
    <col min="19" max="19" width="9.140625" style="1"/>
    <col min="20" max="21" width="12.140625" style="1" customWidth="1"/>
    <col min="22" max="25" width="9.140625" style="1"/>
    <col min="26" max="26" width="8.28515625" style="1" customWidth="1"/>
    <col min="27" max="27" width="10.28515625" style="1" customWidth="1"/>
    <col min="28" max="16384" width="9.140625" style="1"/>
  </cols>
  <sheetData>
    <row r="1" spans="1:13" ht="13.5" hidden="1" thickBot="1" x14ac:dyDescent="0.25">
      <c r="A1" s="47" t="s">
        <v>1147</v>
      </c>
      <c r="B1" s="48"/>
      <c r="C1" s="48"/>
      <c r="D1" s="49" t="s">
        <v>1148</v>
      </c>
      <c r="E1" s="50"/>
      <c r="F1" s="1"/>
      <c r="G1" s="1"/>
      <c r="H1" s="1"/>
      <c r="I1" s="1"/>
      <c r="J1" s="7"/>
      <c r="K1" s="1"/>
      <c r="L1" s="1"/>
      <c r="M1" s="8"/>
    </row>
    <row r="2" spans="1:13" ht="51" hidden="1" x14ac:dyDescent="0.2">
      <c r="A2" s="67" t="s">
        <v>1149</v>
      </c>
      <c r="B2" s="1">
        <v>35</v>
      </c>
      <c r="C2" s="1"/>
      <c r="D2" s="68" t="s">
        <v>1150</v>
      </c>
      <c r="E2" s="69">
        <v>0</v>
      </c>
      <c r="F2" s="1"/>
      <c r="G2" s="1"/>
      <c r="H2" s="1"/>
      <c r="I2" s="1"/>
      <c r="J2" s="7"/>
      <c r="K2" s="1"/>
      <c r="L2" s="1"/>
      <c r="M2" s="8"/>
    </row>
    <row r="3" spans="1:13" ht="51" hidden="1" x14ac:dyDescent="0.2">
      <c r="A3" s="67" t="s">
        <v>1151</v>
      </c>
      <c r="B3" s="1">
        <v>30</v>
      </c>
      <c r="C3" s="1"/>
      <c r="D3" s="68" t="s">
        <v>1152</v>
      </c>
      <c r="E3" s="69">
        <v>5</v>
      </c>
      <c r="F3" s="1"/>
      <c r="G3" s="1"/>
      <c r="H3" s="1"/>
      <c r="I3" s="1"/>
      <c r="J3" s="7"/>
      <c r="K3" s="1"/>
      <c r="L3" s="1"/>
      <c r="M3" s="8"/>
    </row>
    <row r="4" spans="1:13" ht="51" hidden="1" x14ac:dyDescent="0.2">
      <c r="A4" s="67" t="s">
        <v>1153</v>
      </c>
      <c r="B4" s="1">
        <v>25</v>
      </c>
      <c r="C4" s="1"/>
      <c r="D4" s="68" t="s">
        <v>1154</v>
      </c>
      <c r="E4" s="69">
        <v>10</v>
      </c>
      <c r="F4" s="1"/>
      <c r="G4" s="1"/>
      <c r="H4" s="1"/>
      <c r="I4" s="1"/>
      <c r="J4" s="7"/>
      <c r="K4" s="1"/>
      <c r="L4" s="1"/>
      <c r="M4" s="8"/>
    </row>
    <row r="5" spans="1:13" ht="51" hidden="1" x14ac:dyDescent="0.2">
      <c r="A5" s="67" t="s">
        <v>1155</v>
      </c>
      <c r="B5" s="1">
        <v>15</v>
      </c>
      <c r="C5" s="1"/>
      <c r="D5" s="68" t="s">
        <v>1156</v>
      </c>
      <c r="E5" s="69">
        <v>15</v>
      </c>
      <c r="F5" s="1"/>
      <c r="G5" s="1"/>
      <c r="H5" s="1"/>
      <c r="I5" s="1"/>
      <c r="J5" s="7"/>
      <c r="K5" s="1"/>
      <c r="L5" s="1"/>
      <c r="M5" s="8"/>
    </row>
    <row r="6" spans="1:13" ht="25.5" hidden="1" x14ac:dyDescent="0.2">
      <c r="A6" s="67" t="s">
        <v>1157</v>
      </c>
      <c r="B6" s="1">
        <v>0</v>
      </c>
      <c r="C6" s="1"/>
      <c r="D6" s="68" t="s">
        <v>1158</v>
      </c>
      <c r="E6" s="69">
        <v>20</v>
      </c>
      <c r="F6" s="1"/>
      <c r="G6" s="1"/>
      <c r="H6" s="1"/>
      <c r="I6" s="1"/>
      <c r="J6" s="7"/>
      <c r="K6" s="1"/>
      <c r="L6" s="1"/>
      <c r="M6" s="8"/>
    </row>
    <row r="7" spans="1:13" hidden="1" x14ac:dyDescent="0.2">
      <c r="A7" s="67" t="s">
        <v>1159</v>
      </c>
      <c r="B7" s="1" t="s">
        <v>1025</v>
      </c>
      <c r="C7" s="1"/>
      <c r="D7" s="68" t="s">
        <v>1160</v>
      </c>
      <c r="E7" s="69">
        <v>25</v>
      </c>
      <c r="F7" s="1"/>
      <c r="G7" s="1"/>
      <c r="H7" s="1"/>
      <c r="I7" s="1"/>
      <c r="J7" s="7"/>
      <c r="K7" s="1"/>
      <c r="L7" s="1"/>
      <c r="M7" s="8"/>
    </row>
    <row r="8" spans="1:13" ht="26.25" hidden="1" thickBot="1" x14ac:dyDescent="0.25">
      <c r="A8" s="70"/>
      <c r="B8" s="71"/>
      <c r="C8" s="71"/>
      <c r="D8" s="72" t="s">
        <v>1161</v>
      </c>
      <c r="E8" s="73" t="s">
        <v>1025</v>
      </c>
      <c r="G8" s="23"/>
      <c r="H8" s="1"/>
      <c r="I8" s="1"/>
      <c r="J8" s="7"/>
      <c r="K8" s="1"/>
      <c r="L8" s="1"/>
      <c r="M8" s="8"/>
    </row>
    <row r="9" spans="1:13" hidden="1" x14ac:dyDescent="0.2">
      <c r="A9" s="1"/>
      <c r="B9" s="1"/>
      <c r="C9" s="1"/>
      <c r="D9" s="1"/>
      <c r="E9" s="1"/>
      <c r="F9" s="1"/>
      <c r="G9" s="1"/>
      <c r="H9" s="1"/>
      <c r="I9" s="1"/>
      <c r="J9" s="7"/>
      <c r="K9" s="1"/>
      <c r="L9" s="1"/>
      <c r="M9" s="8"/>
    </row>
    <row r="10" spans="1:13" hidden="1" x14ac:dyDescent="0.2">
      <c r="A10" s="1"/>
      <c r="B10" s="1"/>
      <c r="C10" s="1"/>
      <c r="D10" s="1"/>
      <c r="E10" s="1"/>
      <c r="F10" s="1"/>
      <c r="G10" s="1"/>
      <c r="H10" s="1"/>
      <c r="I10" s="1"/>
      <c r="J10" s="7"/>
      <c r="K10" s="1"/>
      <c r="L10" s="1"/>
      <c r="M10" s="8"/>
    </row>
    <row r="11" spans="1:13" hidden="1" x14ac:dyDescent="0.2">
      <c r="A11" s="1"/>
      <c r="B11" s="1"/>
      <c r="C11" s="1"/>
      <c r="D11" s="1"/>
      <c r="E11" s="1"/>
      <c r="F11" s="1"/>
      <c r="G11" s="1"/>
      <c r="H11" s="1"/>
      <c r="I11" s="1"/>
      <c r="J11" s="7"/>
      <c r="K11" s="1"/>
      <c r="L11" s="1"/>
      <c r="M11" s="8"/>
    </row>
    <row r="12" spans="1:13" hidden="1" x14ac:dyDescent="0.2">
      <c r="A12" s="1"/>
      <c r="B12" s="1"/>
      <c r="C12" s="1"/>
      <c r="D12" s="1"/>
      <c r="E12" s="1"/>
      <c r="F12" s="1"/>
      <c r="G12" s="1"/>
      <c r="H12" s="1"/>
      <c r="I12" s="1"/>
      <c r="J12" s="7"/>
      <c r="K12" s="1"/>
      <c r="L12" s="1"/>
      <c r="M12" s="8"/>
    </row>
    <row r="13" spans="1:13" hidden="1" x14ac:dyDescent="0.2">
      <c r="A13" s="1"/>
      <c r="B13" s="1"/>
      <c r="C13" s="1"/>
      <c r="D13" s="1"/>
      <c r="E13" s="1"/>
      <c r="F13" s="1"/>
      <c r="G13" s="1"/>
      <c r="H13" s="1"/>
      <c r="I13" s="1"/>
      <c r="J13" s="7"/>
      <c r="K13" s="1"/>
      <c r="L13" s="1"/>
      <c r="M13" s="8"/>
    </row>
    <row r="14" spans="1:13" hidden="1" x14ac:dyDescent="0.2">
      <c r="A14" s="1"/>
      <c r="B14" s="1"/>
      <c r="C14" s="1"/>
      <c r="D14" s="1"/>
      <c r="E14" s="1"/>
      <c r="F14" s="1"/>
      <c r="G14" s="1"/>
      <c r="H14" s="1"/>
      <c r="I14" s="1"/>
      <c r="J14" s="7"/>
      <c r="K14" s="1"/>
      <c r="L14" s="1"/>
      <c r="M14" s="8"/>
    </row>
    <row r="15" spans="1:13" hidden="1" x14ac:dyDescent="0.2">
      <c r="A15" s="1"/>
      <c r="B15" s="1"/>
      <c r="C15" s="1"/>
      <c r="D15" s="1"/>
      <c r="E15" s="1"/>
      <c r="F15" s="1"/>
      <c r="G15" s="1"/>
      <c r="H15" s="1"/>
      <c r="I15" s="1"/>
      <c r="J15" s="7"/>
      <c r="K15" s="1"/>
      <c r="L15" s="1"/>
      <c r="M15" s="8"/>
    </row>
    <row r="16" spans="1:13" hidden="1" x14ac:dyDescent="0.2">
      <c r="B16" s="1"/>
      <c r="C16" s="1"/>
      <c r="E16" s="1"/>
      <c r="G16" s="1"/>
      <c r="H16" s="1"/>
      <c r="I16" s="1"/>
      <c r="J16" s="7"/>
      <c r="K16" s="1"/>
      <c r="L16" s="1"/>
      <c r="M16" s="8"/>
    </row>
    <row r="17" spans="1:18" ht="54" customHeight="1" thickBot="1" x14ac:dyDescent="0.25">
      <c r="A17" s="567" t="s">
        <v>1162</v>
      </c>
      <c r="B17" s="567"/>
      <c r="C17" s="33"/>
      <c r="E17" s="1"/>
      <c r="G17" s="1"/>
      <c r="H17" s="1"/>
      <c r="I17" s="1"/>
      <c r="J17" s="7"/>
      <c r="K17" s="1"/>
      <c r="L17" s="1"/>
      <c r="M17" s="8"/>
      <c r="N17" s="1">
        <v>35</v>
      </c>
      <c r="O17" s="1">
        <v>25</v>
      </c>
    </row>
    <row r="18" spans="1:18" ht="39.75" thickTop="1" thickBot="1" x14ac:dyDescent="0.25">
      <c r="A18" s="351" t="s">
        <v>1163</v>
      </c>
      <c r="B18" s="352" t="s">
        <v>1164</v>
      </c>
      <c r="C18" s="352" t="s">
        <v>1165</v>
      </c>
      <c r="D18" s="353" t="s">
        <v>1166</v>
      </c>
      <c r="E18" s="352" t="s">
        <v>1167</v>
      </c>
      <c r="F18" s="354" t="s">
        <v>1168</v>
      </c>
      <c r="G18" s="354" t="s">
        <v>1169</v>
      </c>
      <c r="H18" s="355" t="s">
        <v>1170</v>
      </c>
      <c r="I18" s="1"/>
      <c r="J18" s="7"/>
      <c r="K18" s="1"/>
      <c r="L18" s="1"/>
      <c r="M18" s="8"/>
      <c r="N18" s="16" t="s">
        <v>1147</v>
      </c>
      <c r="O18" s="15" t="s">
        <v>1148</v>
      </c>
      <c r="P18" s="17" t="s">
        <v>1171</v>
      </c>
      <c r="Q18" s="18" t="s">
        <v>1172</v>
      </c>
      <c r="R18" s="18" t="s">
        <v>1173</v>
      </c>
    </row>
    <row r="19" spans="1:18" ht="25.5" x14ac:dyDescent="0.2">
      <c r="A19" s="3">
        <f ca="1">IF(COUNT('Size, Schedule and Effort'!U:U)&gt;=ROW()-18,INDIRECT("'Size, Schedule and Effort'!$C$" &amp; SMALL('Size, Schedule and Effort'!U:U,ROW()-18)),"")</f>
        <v>0</v>
      </c>
      <c r="C19" s="14" t="str">
        <f ca="1">IF(M19&lt;&gt;"",IF(SUMIF('Size, Schedule and Effort'!$AV$3:$AV$496,M19,'Size, Schedule and Effort'!$AG$3:$AG$496)&lt;&gt;0,SUMIF('Size, Schedule and Effort'!$AV$3:$AV$496,M19,'Size, Schedule and Effort'!$AG$3:$AG$496),"NA"),"")</f>
        <v>NA</v>
      </c>
      <c r="D19" s="14" t="str">
        <f ca="1">IF(M19&lt;&gt;"",IF(SUMIF('Size, Schedule and Effort'!$AV$3:$AV$496,M19,'Size, Schedule and Effort'!$G$3:$G$496)&lt;&gt;0,SUMIF('Size, Schedule and Effort'!$AV$3:$AV$496,M19,'Size, Schedule and Effort'!$G$3:$G$496),"NA"),"")</f>
        <v>NA</v>
      </c>
      <c r="E19" s="4" t="s">
        <v>1155</v>
      </c>
      <c r="F19" s="3" t="str">
        <f t="shared" ref="F19:F32" ca="1" si="0">IF(R19&lt;&gt;"",CHOOSE(R19,D$7,D$6,D$5,D$4,D$3,D$2),"")</f>
        <v/>
      </c>
      <c r="G19" s="19" t="str">
        <f t="shared" ref="G19:G32" ca="1" si="1">IF(A19&lt;&gt;"",IF(P19&lt;&gt;"",P19,""),"")</f>
        <v/>
      </c>
      <c r="J19" s="7"/>
      <c r="K19" s="7"/>
      <c r="M19" s="8">
        <f ca="1">IF(COUNT('Size, Schedule and Effort'!U:U)&gt;=ROW()-18,INDIRECT("'Size, Schedule and Effort'!$BH$" &amp; SMALL('Size, Schedule and Effort'!U:U,ROW()-18)),"")</f>
        <v>0</v>
      </c>
      <c r="N19" s="1">
        <f t="shared" ref="N19:N82" si="2">IF($E19&lt;&gt;"",VLOOKUP($E19,$A$1:$B$7,2,0),"")</f>
        <v>15</v>
      </c>
      <c r="O19" s="23" t="str">
        <f t="shared" ref="O19:O82" ca="1" si="3">IF($F19&lt;&gt;"",VLOOKUP($F19,$D$1:$E$8,2,0),"")</f>
        <v/>
      </c>
      <c r="P19" s="1" t="str">
        <f ca="1">IF(COUNTA(B19,E19)+COUNT(D19)&gt;=3,IF(COUNT($N19:$O19)&lt;&gt;0,SUM($N19:$O19)/(SUM($N$17:$O$17)-IF($N19="NA",$N$17,0)-IF($O19="NA",$O$17,0))*100,"NA"),"")</f>
        <v/>
      </c>
      <c r="Q19" s="1" t="str">
        <f ca="1">IF(AND(A19&lt;&gt;"",D19&lt;&gt;"",D19&lt;&gt;"NA"),VLOOKUP(A19,'Size, Schedule and Effort'!$B$3:$AH$496,44,0),"")</f>
        <v/>
      </c>
      <c r="R19" s="1" t="str">
        <f t="shared" ref="R19:R82" ca="1" si="4">IF(Q19&lt;&gt;"",IF(Q19&lt;5,1,IF(Q19&lt;10,2,IF(Q19&lt;15,3,IF(Q19&lt;20,4,IF(Q19&lt;25,5,IF(Q19&gt;=25,6,7)))))),"")</f>
        <v/>
      </c>
    </row>
    <row r="20" spans="1:18" x14ac:dyDescent="0.2">
      <c r="A20" s="3">
        <f ca="1">IF(COUNT('Size, Schedule and Effort'!U:U)&gt;=ROW()-18,INDIRECT("'Size, Schedule and Effort'!$C$" &amp; SMALL('Size, Schedule and Effort'!U:U,ROW()-18)),"")</f>
        <v>0</v>
      </c>
      <c r="C20" s="14" t="str">
        <f ca="1">IF(M20&lt;&gt;"",IF(SUMIF('Size, Schedule and Effort'!$AV$3:$AV$496,M20,'Size, Schedule and Effort'!$AG$3:$AG$496)&lt;&gt;0,SUMIF('Size, Schedule and Effort'!$AV$3:$AV$496,M20,'Size, Schedule and Effort'!$AG$3:$AG$496),"NA"),"")</f>
        <v>NA</v>
      </c>
      <c r="D20" s="14" t="str">
        <f ca="1">IF(M20&lt;&gt;"",IF(SUMIF('Size, Schedule and Effort'!$AV$3:$AV$496,M20,'Size, Schedule and Effort'!$G$3:$G$496)&lt;&gt;0,SUMIF('Size, Schedule and Effort'!$AV$3:$AV$496,M20,'Size, Schedule and Effort'!$G$3:$G$496),"NA"),"")</f>
        <v>NA</v>
      </c>
      <c r="E20" s="4" t="s">
        <v>1149</v>
      </c>
      <c r="F20" s="3" t="str">
        <f t="shared" ca="1" si="0"/>
        <v/>
      </c>
      <c r="G20" s="19" t="str">
        <f t="shared" ca="1" si="1"/>
        <v/>
      </c>
      <c r="J20" s="7"/>
      <c r="K20" s="7"/>
      <c r="M20" s="8">
        <f ca="1">IF(COUNT('Size, Schedule and Effort'!U:U)&gt;=ROW()-18,INDIRECT("'Size, Schedule and Effort'!$BH$" &amp; SMALL('Size, Schedule and Effort'!U:U,ROW()-18)),"")</f>
        <v>0</v>
      </c>
      <c r="N20" s="1">
        <f t="shared" si="2"/>
        <v>35</v>
      </c>
      <c r="O20" s="23" t="str">
        <f t="shared" ca="1" si="3"/>
        <v/>
      </c>
      <c r="P20" s="1" t="str">
        <f t="shared" ref="P20:P55" ca="1" si="5">IF(COUNTA(B20,E20)+COUNT(D20)&gt;=3,IF(COUNT($N20:$O20)&lt;&gt;0,SUM($N20:$O20)/(SUM($N$17:$O$17)-IF($N20="NA",$N$17,0)-IF($O20="NA",$O$17,0))*100,"NA"),"")</f>
        <v/>
      </c>
      <c r="Q20" s="1" t="str">
        <f ca="1">IF(AND(A20&lt;&gt;"",D20&lt;&gt;"",D20&lt;&gt;"NA"),VLOOKUP(A20,'Size, Schedule and Effort'!$B$3:$AH$496,44,0),"")</f>
        <v/>
      </c>
      <c r="R20" s="1" t="str">
        <f t="shared" ca="1" si="4"/>
        <v/>
      </c>
    </row>
    <row r="21" spans="1:18" x14ac:dyDescent="0.2">
      <c r="A21" s="3">
        <f ca="1">IF(COUNT('Size, Schedule and Effort'!U:U)&gt;=ROW()-18,INDIRECT("'Size, Schedule and Effort'!$C$" &amp; SMALL('Size, Schedule and Effort'!U:U,ROW()-18)),"")</f>
        <v>0</v>
      </c>
      <c r="C21" s="14" t="str">
        <f ca="1">IF(M21&lt;&gt;"",IF(SUMIF('Size, Schedule and Effort'!$AV$3:$AV$496,M21,'Size, Schedule and Effort'!$AG$3:$AG$496)&lt;&gt;0,SUMIF('Size, Schedule and Effort'!$AV$3:$AV$496,M21,'Size, Schedule and Effort'!$AG$3:$AG$496),"NA"),"")</f>
        <v>NA</v>
      </c>
      <c r="D21" s="14" t="str">
        <f ca="1">IF(M21&lt;&gt;"",IF(SUMIF('Size, Schedule and Effort'!$AV$3:$AV$496,M21,'Size, Schedule and Effort'!$G$3:$G$496)&lt;&gt;0,SUMIF('Size, Schedule and Effort'!$AV$3:$AV$496,M21,'Size, Schedule and Effort'!$G$3:$G$496),"NA"),"")</f>
        <v>NA</v>
      </c>
      <c r="E21" s="4" t="s">
        <v>1149</v>
      </c>
      <c r="F21" s="3" t="str">
        <f t="shared" ca="1" si="0"/>
        <v/>
      </c>
      <c r="G21" s="19" t="str">
        <f t="shared" ca="1" si="1"/>
        <v/>
      </c>
      <c r="J21" s="7"/>
      <c r="K21" s="7"/>
      <c r="M21" s="8">
        <f ca="1">IF(COUNT('Size, Schedule and Effort'!U:U)&gt;=ROW()-18,INDIRECT("'Size, Schedule and Effort'!$BH$" &amp; SMALL('Size, Schedule and Effort'!U:U,ROW()-18)),"")</f>
        <v>0</v>
      </c>
      <c r="N21" s="1">
        <f t="shared" si="2"/>
        <v>35</v>
      </c>
      <c r="O21" s="23" t="str">
        <f t="shared" ca="1" si="3"/>
        <v/>
      </c>
      <c r="P21" s="1" t="str">
        <f t="shared" ca="1" si="5"/>
        <v/>
      </c>
      <c r="Q21" s="1" t="str">
        <f ca="1">IF(AND(A21&lt;&gt;"",D21&lt;&gt;"",D21&lt;&gt;"NA"),VLOOKUP(A21,'Size, Schedule and Effort'!$B$3:$AH$496,44,0),"")</f>
        <v/>
      </c>
      <c r="R21" s="1" t="str">
        <f t="shared" ca="1" si="4"/>
        <v/>
      </c>
    </row>
    <row r="22" spans="1:18" x14ac:dyDescent="0.2">
      <c r="A22" s="3">
        <f ca="1">IF(COUNT('Size, Schedule and Effort'!U:U)&gt;=ROW()-18,INDIRECT("'Size, Schedule and Effort'!$C$" &amp; SMALL('Size, Schedule and Effort'!U:U,ROW()-18)),"")</f>
        <v>0</v>
      </c>
      <c r="C22" s="14" t="str">
        <f ca="1">IF(M22&lt;&gt;"",IF(SUMIF('Size, Schedule and Effort'!$AV$3:$AV$496,M22,'Size, Schedule and Effort'!$AG$3:$AG$496)&lt;&gt;0,SUMIF('Size, Schedule and Effort'!$AV$3:$AV$496,M22,'Size, Schedule and Effort'!$AG$3:$AG$496),"NA"),"")</f>
        <v>NA</v>
      </c>
      <c r="D22" s="14" t="str">
        <f ca="1">IF(M22&lt;&gt;"",IF(SUMIF('Size, Schedule and Effort'!$AV$3:$AV$496,M22,'Size, Schedule and Effort'!$G$3:$G$496)&lt;&gt;0,SUMIF('Size, Schedule and Effort'!$AV$3:$AV$496,M22,'Size, Schedule and Effort'!$G$3:$G$496),"NA"),"")</f>
        <v>NA</v>
      </c>
      <c r="F22" s="3" t="str">
        <f t="shared" ca="1" si="0"/>
        <v/>
      </c>
      <c r="G22" s="19" t="str">
        <f t="shared" ca="1" si="1"/>
        <v/>
      </c>
      <c r="H22" s="333"/>
      <c r="I22" s="1"/>
      <c r="K22" s="1"/>
      <c r="L22" s="1"/>
      <c r="M22" s="8">
        <f ca="1">IF(COUNT('Size, Schedule and Effort'!U:U)&gt;=ROW()-18,INDIRECT("'Size, Schedule and Effort'!$BH$" &amp; SMALL('Size, Schedule and Effort'!U:U,ROW()-18)),"")</f>
        <v>0</v>
      </c>
      <c r="N22" s="1" t="str">
        <f t="shared" si="2"/>
        <v/>
      </c>
      <c r="O22" s="23" t="str">
        <f t="shared" ca="1" si="3"/>
        <v/>
      </c>
      <c r="P22" s="1" t="str">
        <f t="shared" ca="1" si="5"/>
        <v/>
      </c>
      <c r="Q22" s="1" t="str">
        <f ca="1">IF(AND(A22&lt;&gt;"",D22&lt;&gt;"",D22&lt;&gt;"NA"),VLOOKUP(A22,'Size, Schedule and Effort'!$B$3:$AH$496,44,0),"")</f>
        <v/>
      </c>
      <c r="R22" s="1" t="str">
        <f t="shared" ca="1" si="4"/>
        <v/>
      </c>
    </row>
    <row r="23" spans="1:18" x14ac:dyDescent="0.2">
      <c r="A23" s="3" t="str">
        <f ca="1">IF(COUNT('Size, Schedule and Effort'!U:U)&gt;=ROW()-18,INDIRECT("'Size, Schedule and Effort'!$C$" &amp; SMALL('Size, Schedule and Effort'!U:U,ROW()-18)),"")</f>
        <v/>
      </c>
      <c r="C23" s="14" t="str">
        <f ca="1">IF(M23&lt;&gt;"",IF(SUMIF('Size, Schedule and Effort'!$AV$3:$AV$496,M23,'Size, Schedule and Effort'!$AG$3:$AG$496)&lt;&gt;0,SUMIF('Size, Schedule and Effort'!$AV$3:$AV$496,M23,'Size, Schedule and Effort'!$AG$3:$AG$496),"NA"),"")</f>
        <v/>
      </c>
      <c r="D23" s="14" t="str">
        <f ca="1">IF(M23&lt;&gt;"",IF(SUMIF('Size, Schedule and Effort'!$AV$3:$AV$496,M23,'Size, Schedule and Effort'!$G$3:$G$496)&lt;&gt;0,SUMIF('Size, Schedule and Effort'!$AV$3:$AV$496,M23,'Size, Schedule and Effort'!$G$3:$G$496),"NA"),"")</f>
        <v/>
      </c>
      <c r="E23" s="4" t="s">
        <v>1159</v>
      </c>
      <c r="F23" s="3" t="str">
        <f t="shared" ca="1" si="0"/>
        <v/>
      </c>
      <c r="G23" s="19" t="str">
        <f t="shared" ca="1" si="1"/>
        <v/>
      </c>
      <c r="H23" s="333"/>
      <c r="I23" s="1"/>
      <c r="K23" s="1"/>
      <c r="L23" s="1"/>
      <c r="M23" s="8" t="str">
        <f ca="1">IF(COUNT('Size, Schedule and Effort'!U:U)&gt;=ROW()-18,INDIRECT("'Size, Schedule and Effort'!$BH$" &amp; SMALL('Size, Schedule and Effort'!U:U,ROW()-18)),"")</f>
        <v/>
      </c>
      <c r="N23" s="1" t="str">
        <f t="shared" si="2"/>
        <v>NA</v>
      </c>
      <c r="O23" s="23" t="str">
        <f t="shared" ca="1" si="3"/>
        <v/>
      </c>
      <c r="P23" s="1" t="str">
        <f t="shared" ca="1" si="5"/>
        <v/>
      </c>
      <c r="Q23" s="1" t="str">
        <f ca="1">IF(AND(A23&lt;&gt;"",D23&lt;&gt;"",D23&lt;&gt;"NA"),VLOOKUP(A23,'Size, Schedule and Effort'!$B$3:$AH$496,44,0),"")</f>
        <v/>
      </c>
      <c r="R23" s="1" t="str">
        <f t="shared" ca="1" si="4"/>
        <v/>
      </c>
    </row>
    <row r="24" spans="1:18" x14ac:dyDescent="0.2">
      <c r="A24" s="3" t="str">
        <f ca="1">IF(COUNT('Size, Schedule and Effort'!U:U)&gt;=ROW()-18,INDIRECT("'Size, Schedule and Effort'!$C$" &amp; SMALL('Size, Schedule and Effort'!U:U,ROW()-18)),"")</f>
        <v/>
      </c>
      <c r="C24" s="14" t="str">
        <f ca="1">IF(M24&lt;&gt;"",IF(SUMIF('Size, Schedule and Effort'!$AV$3:$AV$496,M24,'Size, Schedule and Effort'!$AG$3:$AG$496)&lt;&gt;0,SUMIF('Size, Schedule and Effort'!$AV$3:$AV$496,M24,'Size, Schedule and Effort'!$AG$3:$AG$496),"NA"),"")</f>
        <v/>
      </c>
      <c r="D24" s="14" t="str">
        <f ca="1">IF(M24&lt;&gt;"",IF(SUMIF('Size, Schedule and Effort'!$AV$3:$AV$496,M24,'Size, Schedule and Effort'!$G$3:$G$496)&lt;&gt;0,SUMIF('Size, Schedule and Effort'!$AV$3:$AV$496,M24,'Size, Schedule and Effort'!$G$3:$G$496),"NA"),"")</f>
        <v/>
      </c>
      <c r="F24" s="3" t="str">
        <f t="shared" ca="1" si="0"/>
        <v/>
      </c>
      <c r="G24" s="19" t="str">
        <f t="shared" ca="1" si="1"/>
        <v/>
      </c>
      <c r="I24" s="1"/>
      <c r="K24" s="1"/>
      <c r="L24" s="1"/>
      <c r="M24" s="8" t="str">
        <f ca="1">IF(COUNT('Size, Schedule and Effort'!U:U)&gt;=ROW()-18,INDIRECT("'Size, Schedule and Effort'!$BH$" &amp; SMALL('Size, Schedule and Effort'!U:U,ROW()-18)),"")</f>
        <v/>
      </c>
      <c r="N24" s="1" t="str">
        <f t="shared" si="2"/>
        <v/>
      </c>
      <c r="O24" s="23" t="str">
        <f t="shared" ca="1" si="3"/>
        <v/>
      </c>
      <c r="P24" s="1" t="str">
        <f t="shared" ca="1" si="5"/>
        <v/>
      </c>
      <c r="Q24" s="1" t="str">
        <f ca="1">IF(AND(A24&lt;&gt;"",D24&lt;&gt;"",D24&lt;&gt;"NA"),VLOOKUP(A24,'Size, Schedule and Effort'!$B$3:$AH$496,44,0),"")</f>
        <v/>
      </c>
      <c r="R24" s="1" t="str">
        <f t="shared" ca="1" si="4"/>
        <v/>
      </c>
    </row>
    <row r="25" spans="1:18" x14ac:dyDescent="0.2">
      <c r="A25" s="3" t="str">
        <f ca="1">IF(COUNT('Size, Schedule and Effort'!U:U)&gt;=ROW()-18,INDIRECT("'Size, Schedule and Effort'!$C$" &amp; SMALL('Size, Schedule and Effort'!U:U,ROW()-18)),"")</f>
        <v/>
      </c>
      <c r="C25" s="14" t="str">
        <f ca="1">IF(M25&lt;&gt;"",IF(SUMIF('Size, Schedule and Effort'!$AV$3:$AV$496,M25,'Size, Schedule and Effort'!$AG$3:$AG$496)&lt;&gt;0,SUMIF('Size, Schedule and Effort'!$AV$3:$AV$496,M25,'Size, Schedule and Effort'!$AG$3:$AG$496),"NA"),"")</f>
        <v/>
      </c>
      <c r="D25" s="14" t="str">
        <f ca="1">IF(M25&lt;&gt;"",IF(SUMIF('Size, Schedule and Effort'!$AV$3:$AV$496,M25,'Size, Schedule and Effort'!$G$3:$G$496)&lt;&gt;0,SUMIF('Size, Schedule and Effort'!$AV$3:$AV$496,M25,'Size, Schedule and Effort'!$G$3:$G$496),"NA"),"")</f>
        <v/>
      </c>
      <c r="F25" s="3" t="str">
        <f t="shared" ca="1" si="0"/>
        <v/>
      </c>
      <c r="G25" s="19" t="str">
        <f t="shared" ca="1" si="1"/>
        <v/>
      </c>
      <c r="I25" s="1"/>
      <c r="K25" s="1"/>
      <c r="L25" s="1"/>
      <c r="M25" s="8" t="str">
        <f ca="1">IF(COUNT('Size, Schedule and Effort'!U:U)&gt;=ROW()-18,INDIRECT("'Size, Schedule and Effort'!$BH$" &amp; SMALL('Size, Schedule and Effort'!U:U,ROW()-18)),"")</f>
        <v/>
      </c>
      <c r="N25" s="1" t="str">
        <f t="shared" si="2"/>
        <v/>
      </c>
      <c r="O25" s="23" t="str">
        <f t="shared" ca="1" si="3"/>
        <v/>
      </c>
      <c r="P25" s="1" t="str">
        <f t="shared" ca="1" si="5"/>
        <v/>
      </c>
      <c r="Q25" s="1" t="str">
        <f ca="1">IF(AND(A25&lt;&gt;"",D25&lt;&gt;"",D25&lt;&gt;"NA"),VLOOKUP(A25,'Size, Schedule and Effort'!$B$3:$AH$496,44,0),"")</f>
        <v/>
      </c>
      <c r="R25" s="1" t="str">
        <f t="shared" ca="1" si="4"/>
        <v/>
      </c>
    </row>
    <row r="26" spans="1:18" x14ac:dyDescent="0.2">
      <c r="A26" s="3" t="str">
        <f ca="1">IF(COUNT('Size, Schedule and Effort'!U:U)&gt;=ROW()-18,INDIRECT("'Size, Schedule and Effort'!$C$" &amp; SMALL('Size, Schedule and Effort'!U:U,ROW()-18)),"")</f>
        <v/>
      </c>
      <c r="C26" s="14" t="str">
        <f ca="1">IF(M26&lt;&gt;"",IF(SUMIF('Size, Schedule and Effort'!$AV$3:$AV$496,M26,'Size, Schedule and Effort'!$AG$3:$AG$496)&lt;&gt;0,SUMIF('Size, Schedule and Effort'!$AV$3:$AV$496,M26,'Size, Schedule and Effort'!$AG$3:$AG$496),"NA"),"")</f>
        <v/>
      </c>
      <c r="D26" s="14" t="str">
        <f ca="1">IF(M26&lt;&gt;"",IF(SUMIF('Size, Schedule and Effort'!$AV$3:$AV$496,M26,'Size, Schedule and Effort'!$G$3:$G$496)&lt;&gt;0,SUMIF('Size, Schedule and Effort'!$AV$3:$AV$496,M26,'Size, Schedule and Effort'!$G$3:$G$496),"NA"),"")</f>
        <v/>
      </c>
      <c r="F26" s="3" t="str">
        <f t="shared" ca="1" si="0"/>
        <v/>
      </c>
      <c r="G26" s="19" t="str">
        <f t="shared" ca="1" si="1"/>
        <v/>
      </c>
      <c r="L26" s="20"/>
      <c r="M26" s="8" t="str">
        <f ca="1">IF(COUNT('Size, Schedule and Effort'!U:U)&gt;=ROW()-18,INDIRECT("'Size, Schedule and Effort'!$BH$" &amp; SMALL('Size, Schedule and Effort'!U:U,ROW()-18)),"")</f>
        <v/>
      </c>
      <c r="N26" s="1" t="str">
        <f t="shared" si="2"/>
        <v/>
      </c>
      <c r="O26" s="23" t="str">
        <f t="shared" ca="1" si="3"/>
        <v/>
      </c>
      <c r="P26" s="1" t="str">
        <f t="shared" ca="1" si="5"/>
        <v/>
      </c>
      <c r="Q26" s="1" t="str">
        <f ca="1">IF(AND(A26&lt;&gt;"",D26&lt;&gt;"",D26&lt;&gt;"NA"),VLOOKUP(A26,'Size, Schedule and Effort'!$B$3:$AH$496,44,0),"")</f>
        <v/>
      </c>
      <c r="R26" s="1" t="str">
        <f t="shared" ca="1" si="4"/>
        <v/>
      </c>
    </row>
    <row r="27" spans="1:18" x14ac:dyDescent="0.2">
      <c r="A27" s="3" t="str">
        <f ca="1">IF(COUNT('Size, Schedule and Effort'!U:U)&gt;=ROW()-18,INDIRECT("'Size, Schedule and Effort'!$C$" &amp; SMALL('Size, Schedule and Effort'!U:U,ROW()-18)),"")</f>
        <v/>
      </c>
      <c r="C27" s="14" t="str">
        <f ca="1">IF(M27&lt;&gt;"",IF(SUMIF('Size, Schedule and Effort'!$AV$3:$AV$496,M27,'Size, Schedule and Effort'!$AG$3:$AG$496)&lt;&gt;0,SUMIF('Size, Schedule and Effort'!$AV$3:$AV$496,M27,'Size, Schedule and Effort'!$AG$3:$AG$496),"NA"),"")</f>
        <v/>
      </c>
      <c r="D27" s="14" t="str">
        <f ca="1">IF(M27&lt;&gt;"",IF(SUMIF('Size, Schedule and Effort'!$AV$3:$AV$496,M27,'Size, Schedule and Effort'!$G$3:$G$496)&lt;&gt;0,SUMIF('Size, Schedule and Effort'!$AV$3:$AV$496,M27,'Size, Schedule and Effort'!$G$3:$G$496),"NA"),"")</f>
        <v/>
      </c>
      <c r="F27" s="3" t="str">
        <f t="shared" ca="1" si="0"/>
        <v/>
      </c>
      <c r="G27" s="19" t="str">
        <f t="shared" ca="1" si="1"/>
        <v/>
      </c>
      <c r="L27" s="20"/>
      <c r="M27" s="8" t="str">
        <f ca="1">IF(COUNT('Size, Schedule and Effort'!U:U)&gt;=ROW()-18,INDIRECT("'Size, Schedule and Effort'!$BH$" &amp; SMALL('Size, Schedule and Effort'!U:U,ROW()-18)),"")</f>
        <v/>
      </c>
      <c r="N27" s="1" t="str">
        <f t="shared" si="2"/>
        <v/>
      </c>
      <c r="O27" s="23" t="str">
        <f t="shared" ca="1" si="3"/>
        <v/>
      </c>
      <c r="P27" s="1" t="str">
        <f t="shared" ca="1" si="5"/>
        <v/>
      </c>
      <c r="Q27" s="1" t="str">
        <f ca="1">IF(AND(A27&lt;&gt;"",D27&lt;&gt;"",D27&lt;&gt;"NA"),VLOOKUP(A27,'Size, Schedule and Effort'!$B$3:$AH$496,44,0),"")</f>
        <v/>
      </c>
      <c r="R27" s="1" t="str">
        <f t="shared" ca="1" si="4"/>
        <v/>
      </c>
    </row>
    <row r="28" spans="1:18" x14ac:dyDescent="0.2">
      <c r="A28" s="3" t="str">
        <f ca="1">IF(COUNT('Size, Schedule and Effort'!U:U)&gt;=ROW()-18,INDIRECT("'Size, Schedule and Effort'!$C$" &amp; SMALL('Size, Schedule and Effort'!U:U,ROW()-18)),"")</f>
        <v/>
      </c>
      <c r="C28" s="14" t="str">
        <f ca="1">IF(M28&lt;&gt;"",IF(SUMIF('Size, Schedule and Effort'!$AV$3:$AV$496,M28,'Size, Schedule and Effort'!$AG$3:$AG$496)&lt;&gt;0,SUMIF('Size, Schedule and Effort'!$AV$3:$AV$496,M28,'Size, Schedule and Effort'!$AG$3:$AG$496),"NA"),"")</f>
        <v/>
      </c>
      <c r="D28" s="14" t="str">
        <f ca="1">IF(M28&lt;&gt;"",IF(SUMIF('Size, Schedule and Effort'!$AV$3:$AV$496,M28,'Size, Schedule and Effort'!$G$3:$G$496)&lt;&gt;0,SUMIF('Size, Schedule and Effort'!$AV$3:$AV$496,M28,'Size, Schedule and Effort'!$G$3:$G$496),"NA"),"")</f>
        <v/>
      </c>
      <c r="F28" s="3" t="str">
        <f t="shared" ca="1" si="0"/>
        <v/>
      </c>
      <c r="G28" s="19" t="str">
        <f t="shared" ca="1" si="1"/>
        <v/>
      </c>
      <c r="L28" s="20"/>
      <c r="M28" s="8" t="str">
        <f ca="1">IF(COUNT('Size, Schedule and Effort'!U:U)&gt;=ROW()-18,INDIRECT("'Size, Schedule and Effort'!$BH$" &amp; SMALL('Size, Schedule and Effort'!U:U,ROW()-18)),"")</f>
        <v/>
      </c>
      <c r="N28" s="1" t="str">
        <f t="shared" si="2"/>
        <v/>
      </c>
      <c r="O28" s="23" t="str">
        <f t="shared" ca="1" si="3"/>
        <v/>
      </c>
      <c r="P28" s="1" t="str">
        <f t="shared" ca="1" si="5"/>
        <v/>
      </c>
      <c r="Q28" s="1" t="str">
        <f ca="1">IF(AND(A28&lt;&gt;"",D28&lt;&gt;"",D28&lt;&gt;"NA"),VLOOKUP(A28,'Size, Schedule and Effort'!$B$3:$AH$496,44,0),"")</f>
        <v/>
      </c>
      <c r="R28" s="1" t="str">
        <f t="shared" ca="1" si="4"/>
        <v/>
      </c>
    </row>
    <row r="29" spans="1:18" x14ac:dyDescent="0.2">
      <c r="A29" s="3" t="str">
        <f ca="1">IF(COUNT('Size, Schedule and Effort'!U:U)&gt;=ROW()-18,INDIRECT("'Size, Schedule and Effort'!$C$" &amp; SMALL('Size, Schedule and Effort'!U:U,ROW()-18)),"")</f>
        <v/>
      </c>
      <c r="C29" s="14" t="str">
        <f ca="1">IF(M29&lt;&gt;"",IF(SUMIF('Size, Schedule and Effort'!$AV$3:$AV$496,M29,'Size, Schedule and Effort'!$AG$3:$AG$496)&lt;&gt;0,SUMIF('Size, Schedule and Effort'!$AV$3:$AV$496,M29,'Size, Schedule and Effort'!$AG$3:$AG$496),"NA"),"")</f>
        <v/>
      </c>
      <c r="D29" s="14" t="str">
        <f ca="1">IF(M29&lt;&gt;"",IF(SUMIF('Size, Schedule and Effort'!$AV$3:$AV$496,M29,'Size, Schedule and Effort'!$G$3:$G$496)&lt;&gt;0,SUMIF('Size, Schedule and Effort'!$AV$3:$AV$496,M29,'Size, Schedule and Effort'!$G$3:$G$496),"NA"),"")</f>
        <v/>
      </c>
      <c r="F29" s="3" t="str">
        <f t="shared" ca="1" si="0"/>
        <v/>
      </c>
      <c r="G29" s="19" t="str">
        <f t="shared" ca="1" si="1"/>
        <v/>
      </c>
      <c r="L29" s="20"/>
      <c r="M29" s="8" t="str">
        <f ca="1">IF(COUNT('Size, Schedule and Effort'!U:U)&gt;=ROW()-18,INDIRECT("'Size, Schedule and Effort'!$BH$" &amp; SMALL('Size, Schedule and Effort'!U:U,ROW()-18)),"")</f>
        <v/>
      </c>
      <c r="N29" s="1" t="str">
        <f t="shared" si="2"/>
        <v/>
      </c>
      <c r="O29" s="23" t="str">
        <f t="shared" ca="1" si="3"/>
        <v/>
      </c>
      <c r="P29" s="1" t="str">
        <f t="shared" ca="1" si="5"/>
        <v/>
      </c>
      <c r="Q29" s="1" t="str">
        <f ca="1">IF(AND(A29&lt;&gt;"",D29&lt;&gt;"",D29&lt;&gt;"NA"),VLOOKUP(A29,'Size, Schedule and Effort'!$B$3:$AH$496,44,0),"")</f>
        <v/>
      </c>
      <c r="R29" s="1" t="str">
        <f t="shared" ca="1" si="4"/>
        <v/>
      </c>
    </row>
    <row r="30" spans="1:18" x14ac:dyDescent="0.2">
      <c r="A30" s="3" t="str">
        <f ca="1">IF(COUNT('Size, Schedule and Effort'!U:U)&gt;=ROW()-18,INDIRECT("'Size, Schedule and Effort'!$C$" &amp; SMALL('Size, Schedule and Effort'!U:U,ROW()-18)),"")</f>
        <v/>
      </c>
      <c r="C30" s="14" t="str">
        <f ca="1">IF(M30&lt;&gt;"",IF(SUMIF('Size, Schedule and Effort'!$AV$3:$AV$496,M30,'Size, Schedule and Effort'!$AG$3:$AG$496)&lt;&gt;0,SUMIF('Size, Schedule and Effort'!$AV$3:$AV$496,M30,'Size, Schedule and Effort'!$AG$3:$AG$496),"NA"),"")</f>
        <v/>
      </c>
      <c r="D30" s="14" t="str">
        <f ca="1">IF(M30&lt;&gt;"",IF(SUMIF('Size, Schedule and Effort'!$AV$3:$AV$496,M30,'Size, Schedule and Effort'!$G$3:$G$496)&lt;&gt;0,SUMIF('Size, Schedule and Effort'!$AV$3:$AV$496,M30,'Size, Schedule and Effort'!$G$3:$G$496),"NA"),"")</f>
        <v/>
      </c>
      <c r="F30" s="3" t="str">
        <f t="shared" ca="1" si="0"/>
        <v/>
      </c>
      <c r="G30" s="19" t="str">
        <f t="shared" ca="1" si="1"/>
        <v/>
      </c>
      <c r="L30" s="20"/>
      <c r="M30" s="8" t="str">
        <f ca="1">IF(COUNT('Size, Schedule and Effort'!U:U)&gt;=ROW()-18,INDIRECT("'Size, Schedule and Effort'!$BH$" &amp; SMALL('Size, Schedule and Effort'!U:U,ROW()-18)),"")</f>
        <v/>
      </c>
      <c r="N30" s="1" t="str">
        <f t="shared" si="2"/>
        <v/>
      </c>
      <c r="O30" s="23" t="str">
        <f t="shared" ca="1" si="3"/>
        <v/>
      </c>
      <c r="P30" s="1" t="str">
        <f t="shared" ca="1" si="5"/>
        <v/>
      </c>
      <c r="Q30" s="1" t="str">
        <f ca="1">IF(AND(A30&lt;&gt;"",D30&lt;&gt;"",D30&lt;&gt;"NA"),VLOOKUP(A30,'Size, Schedule and Effort'!$B$3:$AH$496,44,0),"")</f>
        <v/>
      </c>
      <c r="R30" s="1" t="str">
        <f t="shared" ca="1" si="4"/>
        <v/>
      </c>
    </row>
    <row r="31" spans="1:18" x14ac:dyDescent="0.2">
      <c r="A31" s="3" t="str">
        <f ca="1">IF(COUNT('Size, Schedule and Effort'!U:U)&gt;=ROW()-18,INDIRECT("'Size, Schedule and Effort'!$C$" &amp; SMALL('Size, Schedule and Effort'!U:U,ROW()-18)),"")</f>
        <v/>
      </c>
      <c r="C31" s="14" t="str">
        <f ca="1">IF(M31&lt;&gt;"",IF(SUMIF('Size, Schedule and Effort'!$AV$3:$AV$496,M31,'Size, Schedule and Effort'!$AG$3:$AG$496)&lt;&gt;0,SUMIF('Size, Schedule and Effort'!$AV$3:$AV$496,M31,'Size, Schedule and Effort'!$AG$3:$AG$496),"NA"),"")</f>
        <v/>
      </c>
      <c r="D31" s="14" t="str">
        <f ca="1">IF(M31&lt;&gt;"",IF(SUMIF('Size, Schedule and Effort'!$AV$3:$AV$496,M31,'Size, Schedule and Effort'!$G$3:$G$496)&lt;&gt;0,SUMIF('Size, Schedule and Effort'!$AV$3:$AV$496,M31,'Size, Schedule and Effort'!$G$3:$G$496),"NA"),"")</f>
        <v/>
      </c>
      <c r="F31" s="3" t="str">
        <f t="shared" ca="1" si="0"/>
        <v/>
      </c>
      <c r="G31" s="19" t="str">
        <f t="shared" ca="1" si="1"/>
        <v/>
      </c>
      <c r="L31" s="20"/>
      <c r="M31" s="8" t="str">
        <f ca="1">IF(COUNT('Size, Schedule and Effort'!U:U)&gt;=ROW()-18,INDIRECT("'Size, Schedule and Effort'!$BH$" &amp; SMALL('Size, Schedule and Effort'!U:U,ROW()-18)),"")</f>
        <v/>
      </c>
      <c r="N31" s="1" t="str">
        <f t="shared" si="2"/>
        <v/>
      </c>
      <c r="O31" s="23" t="str">
        <f t="shared" ca="1" si="3"/>
        <v/>
      </c>
      <c r="P31" s="1" t="str">
        <f t="shared" ca="1" si="5"/>
        <v/>
      </c>
      <c r="Q31" s="1" t="str">
        <f ca="1">IF(AND(A31&lt;&gt;"",D31&lt;&gt;"",D31&lt;&gt;"NA"),VLOOKUP(A31,'Size, Schedule and Effort'!$B$3:$AH$496,44,0),"")</f>
        <v/>
      </c>
      <c r="R31" s="1" t="str">
        <f t="shared" ca="1" si="4"/>
        <v/>
      </c>
    </row>
    <row r="32" spans="1:18" x14ac:dyDescent="0.2">
      <c r="A32" s="3" t="str">
        <f ca="1">IF(COUNT('Size, Schedule and Effort'!U:U)&gt;=ROW()-18,INDIRECT("'Size, Schedule and Effort'!$C$" &amp; SMALL('Size, Schedule and Effort'!U:U,ROW()-18)),"")</f>
        <v/>
      </c>
      <c r="C32" s="14" t="str">
        <f ca="1">IF(M32&lt;&gt;"",IF(SUMIF('Size, Schedule and Effort'!$AV$3:$AV$496,M32,'Size, Schedule and Effort'!$AG$3:$AG$496)&lt;&gt;0,SUMIF('Size, Schedule and Effort'!$AV$3:$AV$496,M32,'Size, Schedule and Effort'!$AG$3:$AG$496),"NA"),"")</f>
        <v/>
      </c>
      <c r="D32" s="14" t="str">
        <f ca="1">IF(M32&lt;&gt;"",IF(SUMIF('Size, Schedule and Effort'!$AV$3:$AV$496,M32,'Size, Schedule and Effort'!$G$3:$G$496)&lt;&gt;0,SUMIF('Size, Schedule and Effort'!$AV$3:$AV$496,M32,'Size, Schedule and Effort'!$G$3:$G$496),"NA"),"")</f>
        <v/>
      </c>
      <c r="F32" s="3" t="str">
        <f t="shared" ca="1" si="0"/>
        <v/>
      </c>
      <c r="G32" s="19" t="str">
        <f t="shared" ca="1" si="1"/>
        <v/>
      </c>
      <c r="L32" s="20"/>
      <c r="M32" s="8" t="str">
        <f ca="1">IF(COUNT('Size, Schedule and Effort'!U:U)&gt;=ROW()-18,INDIRECT("'Size, Schedule and Effort'!$BH$" &amp; SMALL('Size, Schedule and Effort'!U:U,ROW()-18)),"")</f>
        <v/>
      </c>
      <c r="N32" s="1" t="str">
        <f t="shared" si="2"/>
        <v/>
      </c>
      <c r="O32" s="23" t="str">
        <f t="shared" ca="1" si="3"/>
        <v/>
      </c>
      <c r="P32" s="1" t="str">
        <f t="shared" ca="1" si="5"/>
        <v/>
      </c>
      <c r="Q32" s="1" t="str">
        <f ca="1">IF(AND(A32&lt;&gt;"",D32&lt;&gt;"",D32&lt;&gt;"NA"),VLOOKUP(A32,'Size, Schedule and Effort'!$B$3:$AH$496,44,0),"")</f>
        <v/>
      </c>
      <c r="R32" s="1" t="str">
        <f t="shared" ca="1" si="4"/>
        <v/>
      </c>
    </row>
    <row r="33" spans="1:18" x14ac:dyDescent="0.2">
      <c r="A33" s="3" t="str">
        <f ca="1">IF(COUNT('Size, Schedule and Effort'!U:U)&gt;=ROW()-18,INDIRECT("'Size, Schedule and Effort'!$C$" &amp; SMALL('Size, Schedule and Effort'!U:U,ROW()-18)),"")</f>
        <v/>
      </c>
      <c r="C33" s="14" t="str">
        <f ca="1">IF(M33&lt;&gt;"",IF(SUMIF('Size, Schedule and Effort'!$AV$3:$AV$496,M33,'Size, Schedule and Effort'!$AG$3:$AG$496)&lt;&gt;0,SUMIF('Size, Schedule and Effort'!$AV$3:$AV$496,M33,'Size, Schedule and Effort'!$AG$3:$AG$496),"NA"),"")</f>
        <v/>
      </c>
      <c r="D33" s="14" t="str">
        <f ca="1">IF(M33&lt;&gt;"",IF(SUMIF('Size, Schedule and Effort'!$AV$3:$AV$496,M33,'Size, Schedule and Effort'!$G$3:$G$496)&lt;&gt;0,SUMIF('Size, Schedule and Effort'!$AV$3:$AV$496,M33,'Size, Schedule and Effort'!$G$3:$G$496),"NA"),"")</f>
        <v/>
      </c>
      <c r="F33" s="3" t="str">
        <f t="shared" ref="F33:F55" ca="1" si="6">IF(R33&lt;&gt;"",CHOOSE(R33,D$7,D$6,D$5,D$4,D$3,D$2),"")</f>
        <v/>
      </c>
      <c r="G33" s="19" t="str">
        <f t="shared" ref="G33:G55" ca="1" si="7">IF(A33&lt;&gt;"",IF(P33&lt;&gt;"",P33,""),"")</f>
        <v/>
      </c>
      <c r="L33" s="20"/>
      <c r="M33" s="8" t="str">
        <f ca="1">IF(COUNT('Size, Schedule and Effort'!U:U)&gt;=ROW()-18,INDIRECT("'Size, Schedule and Effort'!$BH$" &amp; SMALL('Size, Schedule and Effort'!U:U,ROW()-18)),"")</f>
        <v/>
      </c>
      <c r="N33" s="1" t="str">
        <f t="shared" si="2"/>
        <v/>
      </c>
      <c r="O33" s="23" t="str">
        <f t="shared" ca="1" si="3"/>
        <v/>
      </c>
      <c r="P33" s="1" t="str">
        <f t="shared" ca="1" si="5"/>
        <v/>
      </c>
      <c r="Q33" s="1" t="str">
        <f ca="1">IF(AND(A33&lt;&gt;"",D33&lt;&gt;"",D33&lt;&gt;"NA"),VLOOKUP(A33,'Size, Schedule and Effort'!$B$3:$AH$496,44,0),"")</f>
        <v/>
      </c>
      <c r="R33" s="1" t="str">
        <f t="shared" ca="1" si="4"/>
        <v/>
      </c>
    </row>
    <row r="34" spans="1:18" x14ac:dyDescent="0.2">
      <c r="A34" s="3" t="str">
        <f ca="1">IF(COUNT('Size, Schedule and Effort'!U:U)&gt;=ROW()-18,INDIRECT("'Size, Schedule and Effort'!$C$" &amp; SMALL('Size, Schedule and Effort'!U:U,ROW()-18)),"")</f>
        <v/>
      </c>
      <c r="C34" s="14" t="str">
        <f ca="1">IF(M34&lt;&gt;"",IF(SUMIF('Size, Schedule and Effort'!$AV$3:$AV$496,M34,'Size, Schedule and Effort'!$AG$3:$AG$496)&lt;&gt;0,SUMIF('Size, Schedule and Effort'!$AV$3:$AV$496,M34,'Size, Schedule and Effort'!$AG$3:$AG$496),"NA"),"")</f>
        <v/>
      </c>
      <c r="D34" s="14" t="str">
        <f ca="1">IF(M34&lt;&gt;"",IF(SUMIF('Size, Schedule and Effort'!$AV$3:$AV$496,M34,'Size, Schedule and Effort'!$G$3:$G$496)&lt;&gt;0,SUMIF('Size, Schedule and Effort'!$AV$3:$AV$496,M34,'Size, Schedule and Effort'!$G$3:$G$496),"NA"),"")</f>
        <v/>
      </c>
      <c r="F34" s="3" t="str">
        <f t="shared" ca="1" si="6"/>
        <v/>
      </c>
      <c r="G34" s="19" t="str">
        <f t="shared" ca="1" si="7"/>
        <v/>
      </c>
      <c r="L34" s="20"/>
      <c r="M34" s="8" t="str">
        <f ca="1">IF(COUNT('Size, Schedule and Effort'!U:U)&gt;=ROW()-18,INDIRECT("'Size, Schedule and Effort'!$BH$" &amp; SMALL('Size, Schedule and Effort'!U:U,ROW()-18)),"")</f>
        <v/>
      </c>
      <c r="N34" s="1" t="str">
        <f t="shared" si="2"/>
        <v/>
      </c>
      <c r="O34" s="23" t="str">
        <f t="shared" ca="1" si="3"/>
        <v/>
      </c>
      <c r="P34" s="1" t="str">
        <f t="shared" ca="1" si="5"/>
        <v/>
      </c>
      <c r="Q34" s="1" t="str">
        <f ca="1">IF(AND(A34&lt;&gt;"",D34&lt;&gt;"",D34&lt;&gt;"NA"),VLOOKUP(A34,'Size, Schedule and Effort'!$B$3:$AH$496,44,0),"")</f>
        <v/>
      </c>
      <c r="R34" s="1" t="str">
        <f t="shared" ca="1" si="4"/>
        <v/>
      </c>
    </row>
    <row r="35" spans="1:18" x14ac:dyDescent="0.2">
      <c r="A35" s="3" t="str">
        <f ca="1">IF(COUNT('Size, Schedule and Effort'!U:U)&gt;=ROW()-18,INDIRECT("'Size, Schedule and Effort'!$C$" &amp; SMALL('Size, Schedule and Effort'!U:U,ROW()-18)),"")</f>
        <v/>
      </c>
      <c r="C35" s="14" t="str">
        <f ca="1">IF(M35&lt;&gt;"",IF(SUMIF('Size, Schedule and Effort'!$AV$3:$AV$496,M35,'Size, Schedule and Effort'!$AG$3:$AG$496)&lt;&gt;0,SUMIF('Size, Schedule and Effort'!$AV$3:$AV$496,M35,'Size, Schedule and Effort'!$AG$3:$AG$496),"NA"),"")</f>
        <v/>
      </c>
      <c r="D35" s="14" t="str">
        <f ca="1">IF(M35&lt;&gt;"",IF(SUMIF('Size, Schedule and Effort'!$AV$3:$AV$496,M35,'Size, Schedule and Effort'!$G$3:$G$496)&lt;&gt;0,SUMIF('Size, Schedule and Effort'!$AV$3:$AV$496,M35,'Size, Schedule and Effort'!$G$3:$G$496),"NA"),"")</f>
        <v/>
      </c>
      <c r="F35" s="3" t="str">
        <f t="shared" ca="1" si="6"/>
        <v/>
      </c>
      <c r="G35" s="19" t="str">
        <f t="shared" ca="1" si="7"/>
        <v/>
      </c>
      <c r="L35" s="20"/>
      <c r="M35" s="8" t="str">
        <f ca="1">IF(COUNT('Size, Schedule and Effort'!U:U)&gt;=ROW()-18,INDIRECT("'Size, Schedule and Effort'!$BH$" &amp; SMALL('Size, Schedule and Effort'!U:U,ROW()-18)),"")</f>
        <v/>
      </c>
      <c r="N35" s="1" t="str">
        <f t="shared" si="2"/>
        <v/>
      </c>
      <c r="O35" s="23" t="str">
        <f t="shared" ca="1" si="3"/>
        <v/>
      </c>
      <c r="P35" s="1" t="str">
        <f t="shared" ca="1" si="5"/>
        <v/>
      </c>
      <c r="Q35" s="1" t="str">
        <f ca="1">IF(AND(A35&lt;&gt;"",D35&lt;&gt;"",D35&lt;&gt;"NA"),VLOOKUP(A35,'Size, Schedule and Effort'!$B$3:$AH$496,44,0),"")</f>
        <v/>
      </c>
      <c r="R35" s="1" t="str">
        <f t="shared" ca="1" si="4"/>
        <v/>
      </c>
    </row>
    <row r="36" spans="1:18" x14ac:dyDescent="0.2">
      <c r="A36" s="3" t="str">
        <f ca="1">IF(COUNT('Size, Schedule and Effort'!U:U)&gt;=ROW()-18,INDIRECT("'Size, Schedule and Effort'!$C$" &amp; SMALL('Size, Schedule and Effort'!U:U,ROW()-18)),"")</f>
        <v/>
      </c>
      <c r="C36" s="14" t="str">
        <f ca="1">IF(M36&lt;&gt;"",IF(SUMIF('Size, Schedule and Effort'!$AV$3:$AV$496,M36,'Size, Schedule and Effort'!$AG$3:$AG$496)&lt;&gt;0,SUMIF('Size, Schedule and Effort'!$AV$3:$AV$496,M36,'Size, Schedule and Effort'!$AG$3:$AG$496),"NA"),"")</f>
        <v/>
      </c>
      <c r="D36" s="14" t="str">
        <f ca="1">IF(M36&lt;&gt;"",IF(SUMIF('Size, Schedule and Effort'!$AV$3:$AV$496,M36,'Size, Schedule and Effort'!$G$3:$G$496)&lt;&gt;0,SUMIF('Size, Schedule and Effort'!$AV$3:$AV$496,M36,'Size, Schedule and Effort'!$G$3:$G$496),"NA"),"")</f>
        <v/>
      </c>
      <c r="F36" s="3" t="str">
        <f t="shared" ca="1" si="6"/>
        <v/>
      </c>
      <c r="G36" s="19" t="str">
        <f t="shared" ca="1" si="7"/>
        <v/>
      </c>
      <c r="L36" s="20"/>
      <c r="M36" s="8" t="str">
        <f ca="1">IF(COUNT('Size, Schedule and Effort'!U:U)&gt;=ROW()-18,INDIRECT("'Size, Schedule and Effort'!$BH$" &amp; SMALL('Size, Schedule and Effort'!U:U,ROW()-18)),"")</f>
        <v/>
      </c>
      <c r="N36" s="1" t="str">
        <f t="shared" si="2"/>
        <v/>
      </c>
      <c r="O36" s="23" t="str">
        <f t="shared" ca="1" si="3"/>
        <v/>
      </c>
      <c r="P36" s="1" t="str">
        <f t="shared" ca="1" si="5"/>
        <v/>
      </c>
      <c r="Q36" s="1" t="str">
        <f ca="1">IF(AND(A36&lt;&gt;"",D36&lt;&gt;"",D36&lt;&gt;"NA"),VLOOKUP(A36,'Size, Schedule and Effort'!$B$3:$AH$496,44,0),"")</f>
        <v/>
      </c>
      <c r="R36" s="1" t="str">
        <f t="shared" ca="1" si="4"/>
        <v/>
      </c>
    </row>
    <row r="37" spans="1:18" x14ac:dyDescent="0.2">
      <c r="A37" s="3" t="str">
        <f ca="1">IF(COUNT('Size, Schedule and Effort'!U:U)&gt;=ROW()-18,INDIRECT("'Size, Schedule and Effort'!$C$" &amp; SMALL('Size, Schedule and Effort'!U:U,ROW()-18)),"")</f>
        <v/>
      </c>
      <c r="C37" s="14" t="str">
        <f ca="1">IF(M37&lt;&gt;"",IF(SUMIF('Size, Schedule and Effort'!$AV$3:$AV$496,M37,'Size, Schedule and Effort'!$AG$3:$AG$496)&lt;&gt;0,SUMIF('Size, Schedule and Effort'!$AV$3:$AV$496,M37,'Size, Schedule and Effort'!$AG$3:$AG$496),"NA"),"")</f>
        <v/>
      </c>
      <c r="D37" s="14" t="str">
        <f ca="1">IF(M37&lt;&gt;"",IF(SUMIF('Size, Schedule and Effort'!$AV$3:$AV$496,M37,'Size, Schedule and Effort'!$G$3:$G$496)&lt;&gt;0,SUMIF('Size, Schedule and Effort'!$AV$3:$AV$496,M37,'Size, Schedule and Effort'!$G$3:$G$496),"NA"),"")</f>
        <v/>
      </c>
      <c r="F37" s="3" t="str">
        <f t="shared" ca="1" si="6"/>
        <v/>
      </c>
      <c r="G37" s="19" t="str">
        <f t="shared" ca="1" si="7"/>
        <v/>
      </c>
      <c r="L37" s="20"/>
      <c r="M37" s="8" t="str">
        <f ca="1">IF(COUNT('Size, Schedule and Effort'!U:U)&gt;=ROW()-18,INDIRECT("'Size, Schedule and Effort'!$BH$" &amp; SMALL('Size, Schedule and Effort'!U:U,ROW()-18)),"")</f>
        <v/>
      </c>
      <c r="N37" s="1" t="str">
        <f t="shared" si="2"/>
        <v/>
      </c>
      <c r="O37" s="23" t="str">
        <f t="shared" ca="1" si="3"/>
        <v/>
      </c>
      <c r="P37" s="1" t="str">
        <f t="shared" ca="1" si="5"/>
        <v/>
      </c>
      <c r="Q37" s="1" t="str">
        <f ca="1">IF(AND(A37&lt;&gt;"",D37&lt;&gt;"",D37&lt;&gt;"NA"),VLOOKUP(A37,'Size, Schedule and Effort'!$B$3:$AH$496,44,0),"")</f>
        <v/>
      </c>
      <c r="R37" s="1" t="str">
        <f t="shared" ca="1" si="4"/>
        <v/>
      </c>
    </row>
    <row r="38" spans="1:18" x14ac:dyDescent="0.2">
      <c r="A38" s="3" t="str">
        <f ca="1">IF(COUNT('Size, Schedule and Effort'!U:U)&gt;=ROW()-18,INDIRECT("'Size, Schedule and Effort'!$C$" &amp; SMALL('Size, Schedule and Effort'!U:U,ROW()-18)),"")</f>
        <v/>
      </c>
      <c r="C38" s="14" t="str">
        <f ca="1">IF(M38&lt;&gt;"",IF(SUMIF('Size, Schedule and Effort'!$AV$3:$AV$496,M38,'Size, Schedule and Effort'!$AG$3:$AG$496)&lt;&gt;0,SUMIF('Size, Schedule and Effort'!$AV$3:$AV$496,M38,'Size, Schedule and Effort'!$AG$3:$AG$496),"NA"),"")</f>
        <v/>
      </c>
      <c r="D38" s="14" t="str">
        <f ca="1">IF(M38&lt;&gt;"",IF(SUMIF('Size, Schedule and Effort'!$AV$3:$AV$496,M38,'Size, Schedule and Effort'!$G$3:$G$496)&lt;&gt;0,SUMIF('Size, Schedule and Effort'!$AV$3:$AV$496,M38,'Size, Schedule and Effort'!$G$3:$G$496),"NA"),"")</f>
        <v/>
      </c>
      <c r="F38" s="3" t="str">
        <f t="shared" ca="1" si="6"/>
        <v/>
      </c>
      <c r="G38" s="19" t="str">
        <f t="shared" ca="1" si="7"/>
        <v/>
      </c>
      <c r="L38" s="20"/>
      <c r="M38" s="8" t="str">
        <f ca="1">IF(COUNT('Size, Schedule and Effort'!U:U)&gt;=ROW()-18,INDIRECT("'Size, Schedule and Effort'!$BH$" &amp; SMALL('Size, Schedule and Effort'!U:U,ROW()-18)),"")</f>
        <v/>
      </c>
      <c r="N38" s="1" t="str">
        <f t="shared" si="2"/>
        <v/>
      </c>
      <c r="O38" s="23" t="str">
        <f t="shared" ca="1" si="3"/>
        <v/>
      </c>
      <c r="P38" s="1" t="str">
        <f t="shared" ca="1" si="5"/>
        <v/>
      </c>
      <c r="Q38" s="1" t="str">
        <f ca="1">IF(AND(A38&lt;&gt;"",D38&lt;&gt;"",D38&lt;&gt;"NA"),VLOOKUP(A38,'Size, Schedule and Effort'!$B$3:$AH$496,44,0),"")</f>
        <v/>
      </c>
      <c r="R38" s="1" t="str">
        <f t="shared" ca="1" si="4"/>
        <v/>
      </c>
    </row>
    <row r="39" spans="1:18" x14ac:dyDescent="0.2">
      <c r="A39" s="3" t="str">
        <f ca="1">IF(COUNT('Size, Schedule and Effort'!U:U)&gt;=ROW()-18,INDIRECT("'Size, Schedule and Effort'!$C$" &amp; SMALL('Size, Schedule and Effort'!U:U,ROW()-18)),"")</f>
        <v/>
      </c>
      <c r="C39" s="14" t="str">
        <f ca="1">IF(M39&lt;&gt;"",IF(SUMIF('Size, Schedule and Effort'!$AV$3:$AV$496,M39,'Size, Schedule and Effort'!$AG$3:$AG$496)&lt;&gt;0,SUMIF('Size, Schedule and Effort'!$AV$3:$AV$496,M39,'Size, Schedule and Effort'!$AG$3:$AG$496),"NA"),"")</f>
        <v/>
      </c>
      <c r="D39" s="14" t="str">
        <f ca="1">IF(M39&lt;&gt;"",IF(SUMIF('Size, Schedule and Effort'!$AV$3:$AV$496,M39,'Size, Schedule and Effort'!$G$3:$G$496)&lt;&gt;0,SUMIF('Size, Schedule and Effort'!$AV$3:$AV$496,M39,'Size, Schedule and Effort'!$G$3:$G$496),"NA"),"")</f>
        <v/>
      </c>
      <c r="F39" s="3" t="str">
        <f t="shared" ca="1" si="6"/>
        <v/>
      </c>
      <c r="G39" s="19" t="str">
        <f t="shared" ca="1" si="7"/>
        <v/>
      </c>
      <c r="L39" s="20"/>
      <c r="M39" s="8" t="str">
        <f ca="1">IF(COUNT('Size, Schedule and Effort'!U:U)&gt;=ROW()-18,INDIRECT("'Size, Schedule and Effort'!$BH$" &amp; SMALL('Size, Schedule and Effort'!U:U,ROW()-18)),"")</f>
        <v/>
      </c>
      <c r="N39" s="1" t="str">
        <f t="shared" si="2"/>
        <v/>
      </c>
      <c r="O39" s="23" t="str">
        <f t="shared" ca="1" si="3"/>
        <v/>
      </c>
      <c r="P39" s="1" t="str">
        <f t="shared" ca="1" si="5"/>
        <v/>
      </c>
      <c r="Q39" s="1" t="str">
        <f ca="1">IF(AND(A39&lt;&gt;"",D39&lt;&gt;"",D39&lt;&gt;"NA"),VLOOKUP(A39,'Size, Schedule and Effort'!$B$3:$AH$496,44,0),"")</f>
        <v/>
      </c>
      <c r="R39" s="1" t="str">
        <f t="shared" ca="1" si="4"/>
        <v/>
      </c>
    </row>
    <row r="40" spans="1:18" x14ac:dyDescent="0.2">
      <c r="A40" s="3" t="str">
        <f ca="1">IF(COUNT('Size, Schedule and Effort'!U:U)&gt;=ROW()-18,INDIRECT("'Size, Schedule and Effort'!$C$" &amp; SMALL('Size, Schedule and Effort'!U:U,ROW()-18)),"")</f>
        <v/>
      </c>
      <c r="C40" s="14" t="str">
        <f ca="1">IF(M40&lt;&gt;"",IF(SUMIF('Size, Schedule and Effort'!$AV$3:$AV$496,M40,'Size, Schedule and Effort'!$AG$3:$AG$496)&lt;&gt;0,SUMIF('Size, Schedule and Effort'!$AV$3:$AV$496,M40,'Size, Schedule and Effort'!$AG$3:$AG$496),"NA"),"")</f>
        <v/>
      </c>
      <c r="D40" s="14" t="str">
        <f ca="1">IF(M40&lt;&gt;"",IF(SUMIF('Size, Schedule and Effort'!$AV$3:$AV$496,M40,'Size, Schedule and Effort'!$G$3:$G$496)&lt;&gt;0,SUMIF('Size, Schedule and Effort'!$AV$3:$AV$496,M40,'Size, Schedule and Effort'!$G$3:$G$496),"NA"),"")</f>
        <v/>
      </c>
      <c r="F40" s="3" t="str">
        <f t="shared" ca="1" si="6"/>
        <v/>
      </c>
      <c r="G40" s="19" t="str">
        <f t="shared" ca="1" si="7"/>
        <v/>
      </c>
      <c r="L40" s="20"/>
      <c r="M40" s="8" t="str">
        <f ca="1">IF(COUNT('Size, Schedule and Effort'!U:U)&gt;=ROW()-18,INDIRECT("'Size, Schedule and Effort'!$BH$" &amp; SMALL('Size, Schedule and Effort'!U:U,ROW()-18)),"")</f>
        <v/>
      </c>
      <c r="N40" s="1" t="str">
        <f t="shared" si="2"/>
        <v/>
      </c>
      <c r="O40" s="23" t="str">
        <f t="shared" ca="1" si="3"/>
        <v/>
      </c>
      <c r="P40" s="1" t="str">
        <f t="shared" ca="1" si="5"/>
        <v/>
      </c>
      <c r="Q40" s="1" t="str">
        <f ca="1">IF(AND(A40&lt;&gt;"",D40&lt;&gt;"",D40&lt;&gt;"NA"),VLOOKUP(A40,'Size, Schedule and Effort'!$B$3:$AH$496,44,0),"")</f>
        <v/>
      </c>
      <c r="R40" s="1" t="str">
        <f t="shared" ca="1" si="4"/>
        <v/>
      </c>
    </row>
    <row r="41" spans="1:18" x14ac:dyDescent="0.2">
      <c r="A41" s="3" t="str">
        <f ca="1">IF(COUNT('Size, Schedule and Effort'!U:U)&gt;=ROW()-18,INDIRECT("'Size, Schedule and Effort'!$C$" &amp; SMALL('Size, Schedule and Effort'!U:U,ROW()-18)),"")</f>
        <v/>
      </c>
      <c r="C41" s="14" t="str">
        <f ca="1">IF(M41&lt;&gt;"",IF(SUMIF('Size, Schedule and Effort'!$AV$3:$AV$496,M41,'Size, Schedule and Effort'!$AG$3:$AG$496)&lt;&gt;0,SUMIF('Size, Schedule and Effort'!$AV$3:$AV$496,M41,'Size, Schedule and Effort'!$AG$3:$AG$496),"NA"),"")</f>
        <v/>
      </c>
      <c r="D41" s="14" t="str">
        <f ca="1">IF(M41&lt;&gt;"",IF(SUMIF('Size, Schedule and Effort'!$AV$3:$AV$496,M41,'Size, Schedule and Effort'!$G$3:$G$496)&lt;&gt;0,SUMIF('Size, Schedule and Effort'!$AV$3:$AV$496,M41,'Size, Schedule and Effort'!$G$3:$G$496),"NA"),"")</f>
        <v/>
      </c>
      <c r="F41" s="3" t="str">
        <f t="shared" ca="1" si="6"/>
        <v/>
      </c>
      <c r="G41" s="19" t="str">
        <f t="shared" ca="1" si="7"/>
        <v/>
      </c>
      <c r="L41" s="20"/>
      <c r="M41" s="8" t="str">
        <f ca="1">IF(COUNT('Size, Schedule and Effort'!U:U)&gt;=ROW()-18,INDIRECT("'Size, Schedule and Effort'!$BH$" &amp; SMALL('Size, Schedule and Effort'!U:U,ROW()-18)),"")</f>
        <v/>
      </c>
      <c r="N41" s="1" t="str">
        <f t="shared" si="2"/>
        <v/>
      </c>
      <c r="O41" s="23" t="str">
        <f t="shared" ca="1" si="3"/>
        <v/>
      </c>
      <c r="P41" s="1" t="str">
        <f t="shared" ca="1" si="5"/>
        <v/>
      </c>
      <c r="Q41" s="1" t="str">
        <f ca="1">IF(AND(A41&lt;&gt;"",D41&lt;&gt;"",D41&lt;&gt;"NA"),VLOOKUP(A41,'Size, Schedule and Effort'!$B$3:$AH$496,44,0),"")</f>
        <v/>
      </c>
      <c r="R41" s="1" t="str">
        <f t="shared" ca="1" si="4"/>
        <v/>
      </c>
    </row>
    <row r="42" spans="1:18" x14ac:dyDescent="0.2">
      <c r="A42" s="3" t="str">
        <f ca="1">IF(COUNT('Size, Schedule and Effort'!U:U)&gt;=ROW()-18,INDIRECT("'Size, Schedule and Effort'!$C$" &amp; SMALL('Size, Schedule and Effort'!U:U,ROW()-18)),"")</f>
        <v/>
      </c>
      <c r="C42" s="14" t="str">
        <f ca="1">IF(M42&lt;&gt;"",IF(SUMIF('Size, Schedule and Effort'!$AV$3:$AV$496,M42,'Size, Schedule and Effort'!$AG$3:$AG$496)&lt;&gt;0,SUMIF('Size, Schedule and Effort'!$AV$3:$AV$496,M42,'Size, Schedule and Effort'!$AG$3:$AG$496),"NA"),"")</f>
        <v/>
      </c>
      <c r="D42" s="14" t="str">
        <f ca="1">IF(M42&lt;&gt;"",IF(SUMIF('Size, Schedule and Effort'!$AV$3:$AV$496,M42,'Size, Schedule and Effort'!$G$3:$G$496)&lt;&gt;0,SUMIF('Size, Schedule and Effort'!$AV$3:$AV$496,M42,'Size, Schedule and Effort'!$G$3:$G$496),"NA"),"")</f>
        <v/>
      </c>
      <c r="F42" s="3" t="str">
        <f t="shared" ca="1" si="6"/>
        <v/>
      </c>
      <c r="G42" s="19" t="str">
        <f t="shared" ca="1" si="7"/>
        <v/>
      </c>
      <c r="L42" s="20"/>
      <c r="M42" s="8" t="str">
        <f ca="1">IF(COUNT('Size, Schedule and Effort'!U:U)&gt;=ROW()-18,INDIRECT("'Size, Schedule and Effort'!$BH$" &amp; SMALL('Size, Schedule and Effort'!U:U,ROW()-18)),"")</f>
        <v/>
      </c>
      <c r="N42" s="1" t="str">
        <f t="shared" si="2"/>
        <v/>
      </c>
      <c r="O42" s="23" t="str">
        <f t="shared" ca="1" si="3"/>
        <v/>
      </c>
      <c r="P42" s="1" t="str">
        <f t="shared" ca="1" si="5"/>
        <v/>
      </c>
      <c r="Q42" s="1" t="str">
        <f ca="1">IF(AND(A42&lt;&gt;"",D42&lt;&gt;"",D42&lt;&gt;"NA"),VLOOKUP(A42,'Size, Schedule and Effort'!$B$3:$AH$496,44,0),"")</f>
        <v/>
      </c>
      <c r="R42" s="1" t="str">
        <f t="shared" ca="1" si="4"/>
        <v/>
      </c>
    </row>
    <row r="43" spans="1:18" x14ac:dyDescent="0.2">
      <c r="A43" s="3" t="str">
        <f ca="1">IF(COUNT('Size, Schedule and Effort'!U:U)&gt;=ROW()-18,INDIRECT("'Size, Schedule and Effort'!$C$" &amp; SMALL('Size, Schedule and Effort'!U:U,ROW()-18)),"")</f>
        <v/>
      </c>
      <c r="C43" s="14" t="str">
        <f ca="1">IF(M43&lt;&gt;"",IF(SUMIF('Size, Schedule and Effort'!$AV$3:$AV$496,M43,'Size, Schedule and Effort'!$AG$3:$AG$496)&lt;&gt;0,SUMIF('Size, Schedule and Effort'!$AV$3:$AV$496,M43,'Size, Schedule and Effort'!$AG$3:$AG$496),"NA"),"")</f>
        <v/>
      </c>
      <c r="D43" s="14" t="str">
        <f ca="1">IF(M43&lt;&gt;"",IF(SUMIF('Size, Schedule and Effort'!$AV$3:$AV$496,M43,'Size, Schedule and Effort'!$G$3:$G$496)&lt;&gt;0,SUMIF('Size, Schedule and Effort'!$AV$3:$AV$496,M43,'Size, Schedule and Effort'!$G$3:$G$496),"NA"),"")</f>
        <v/>
      </c>
      <c r="F43" s="3" t="str">
        <f t="shared" ca="1" si="6"/>
        <v/>
      </c>
      <c r="G43" s="19" t="str">
        <f t="shared" ca="1" si="7"/>
        <v/>
      </c>
      <c r="L43" s="20"/>
      <c r="M43" s="8" t="str">
        <f ca="1">IF(COUNT('Size, Schedule and Effort'!U:U)&gt;=ROW()-18,INDIRECT("'Size, Schedule and Effort'!$BH$" &amp; SMALL('Size, Schedule and Effort'!U:U,ROW()-18)),"")</f>
        <v/>
      </c>
      <c r="N43" s="1" t="str">
        <f t="shared" si="2"/>
        <v/>
      </c>
      <c r="O43" s="23" t="str">
        <f t="shared" ca="1" si="3"/>
        <v/>
      </c>
      <c r="P43" s="1" t="str">
        <f t="shared" ca="1" si="5"/>
        <v/>
      </c>
      <c r="Q43" s="1" t="str">
        <f ca="1">IF(AND(A43&lt;&gt;"",D43&lt;&gt;"",D43&lt;&gt;"NA"),VLOOKUP(A43,'Size, Schedule and Effort'!$B$3:$AH$496,44,0),"")</f>
        <v/>
      </c>
      <c r="R43" s="1" t="str">
        <f t="shared" ca="1" si="4"/>
        <v/>
      </c>
    </row>
    <row r="44" spans="1:18" x14ac:dyDescent="0.2">
      <c r="A44" s="3" t="str">
        <f ca="1">IF(COUNT('Size, Schedule and Effort'!U:U)&gt;=ROW()-18,INDIRECT("'Size, Schedule and Effort'!$C$" &amp; SMALL('Size, Schedule and Effort'!U:U,ROW()-18)),"")</f>
        <v/>
      </c>
      <c r="C44" s="14" t="str">
        <f ca="1">IF(M44&lt;&gt;"",IF(SUMIF('Size, Schedule and Effort'!$AV$3:$AV$496,M44,'Size, Schedule and Effort'!$AG$3:$AG$496)&lt;&gt;0,SUMIF('Size, Schedule and Effort'!$AV$3:$AV$496,M44,'Size, Schedule and Effort'!$AG$3:$AG$496),"NA"),"")</f>
        <v/>
      </c>
      <c r="D44" s="14" t="str">
        <f ca="1">IF(M44&lt;&gt;"",IF(SUMIF('Size, Schedule and Effort'!$AV$3:$AV$496,M44,'Size, Schedule and Effort'!$G$3:$G$496)&lt;&gt;0,SUMIF('Size, Schedule and Effort'!$AV$3:$AV$496,M44,'Size, Schedule and Effort'!$G$3:$G$496),"NA"),"")</f>
        <v/>
      </c>
      <c r="F44" s="3" t="str">
        <f t="shared" ca="1" si="6"/>
        <v/>
      </c>
      <c r="G44" s="19" t="str">
        <f t="shared" ca="1" si="7"/>
        <v/>
      </c>
      <c r="L44" s="20"/>
      <c r="M44" s="8" t="str">
        <f ca="1">IF(COUNT('Size, Schedule and Effort'!U:U)&gt;=ROW()-18,INDIRECT("'Size, Schedule and Effort'!$BH$" &amp; SMALL('Size, Schedule and Effort'!U:U,ROW()-18)),"")</f>
        <v/>
      </c>
      <c r="N44" s="1" t="str">
        <f t="shared" si="2"/>
        <v/>
      </c>
      <c r="O44" s="23" t="str">
        <f t="shared" ca="1" si="3"/>
        <v/>
      </c>
      <c r="P44" s="1" t="str">
        <f t="shared" ca="1" si="5"/>
        <v/>
      </c>
      <c r="Q44" s="1" t="str">
        <f ca="1">IF(AND(A44&lt;&gt;"",D44&lt;&gt;"",D44&lt;&gt;"NA"),VLOOKUP(A44,'Size, Schedule and Effort'!$B$3:$AH$496,44,0),"")</f>
        <v/>
      </c>
      <c r="R44" s="1" t="str">
        <f t="shared" ca="1" si="4"/>
        <v/>
      </c>
    </row>
    <row r="45" spans="1:18" x14ac:dyDescent="0.2">
      <c r="A45" s="3" t="str">
        <f ca="1">IF(COUNT('Size, Schedule and Effort'!U:U)&gt;=ROW()-18,INDIRECT("'Size, Schedule and Effort'!$C$" &amp; SMALL('Size, Schedule and Effort'!U:U,ROW()-18)),"")</f>
        <v/>
      </c>
      <c r="C45" s="14" t="str">
        <f ca="1">IF(M45&lt;&gt;"",IF(SUMIF('Size, Schedule and Effort'!$AV$3:$AV$496,M45,'Size, Schedule and Effort'!$AG$3:$AG$496)&lt;&gt;0,SUMIF('Size, Schedule and Effort'!$AV$3:$AV$496,M45,'Size, Schedule and Effort'!$AG$3:$AG$496),"NA"),"")</f>
        <v/>
      </c>
      <c r="D45" s="14" t="str">
        <f ca="1">IF(M45&lt;&gt;"",IF(SUMIF('Size, Schedule and Effort'!$AV$3:$AV$496,M45,'Size, Schedule and Effort'!$G$3:$G$496)&lt;&gt;0,SUMIF('Size, Schedule and Effort'!$AV$3:$AV$496,M45,'Size, Schedule and Effort'!$G$3:$G$496),"NA"),"")</f>
        <v/>
      </c>
      <c r="F45" s="3" t="str">
        <f t="shared" ca="1" si="6"/>
        <v/>
      </c>
      <c r="G45" s="19" t="str">
        <f t="shared" ca="1" si="7"/>
        <v/>
      </c>
      <c r="L45" s="20"/>
      <c r="M45" s="8" t="str">
        <f ca="1">IF(COUNT('Size, Schedule and Effort'!U:U)&gt;=ROW()-18,INDIRECT("'Size, Schedule and Effort'!$BH$" &amp; SMALL('Size, Schedule and Effort'!U:U,ROW()-18)),"")</f>
        <v/>
      </c>
      <c r="N45" s="1" t="str">
        <f t="shared" si="2"/>
        <v/>
      </c>
      <c r="O45" s="23" t="str">
        <f t="shared" ca="1" si="3"/>
        <v/>
      </c>
      <c r="P45" s="1" t="str">
        <f t="shared" ca="1" si="5"/>
        <v/>
      </c>
      <c r="Q45" s="1" t="str">
        <f ca="1">IF(AND(A45&lt;&gt;"",D45&lt;&gt;"",D45&lt;&gt;"NA"),VLOOKUP(A45,'Size, Schedule and Effort'!$B$3:$AH$496,44,0),"")</f>
        <v/>
      </c>
      <c r="R45" s="1" t="str">
        <f t="shared" ca="1" si="4"/>
        <v/>
      </c>
    </row>
    <row r="46" spans="1:18" x14ac:dyDescent="0.2">
      <c r="A46" s="3" t="str">
        <f ca="1">IF(COUNT('Size, Schedule and Effort'!U:U)&gt;=ROW()-18,INDIRECT("'Size, Schedule and Effort'!$C$" &amp; SMALL('Size, Schedule and Effort'!U:U,ROW()-18)),"")</f>
        <v/>
      </c>
      <c r="C46" s="14" t="str">
        <f ca="1">IF(M46&lt;&gt;"",IF(SUMIF('Size, Schedule and Effort'!$AV$3:$AV$496,M46,'Size, Schedule and Effort'!$AG$3:$AG$496)&lt;&gt;0,SUMIF('Size, Schedule and Effort'!$AV$3:$AV$496,M46,'Size, Schedule and Effort'!$AG$3:$AG$496),"NA"),"")</f>
        <v/>
      </c>
      <c r="D46" s="14" t="str">
        <f ca="1">IF(M46&lt;&gt;"",IF(SUMIF('Size, Schedule and Effort'!$AV$3:$AV$496,M46,'Size, Schedule and Effort'!$G$3:$G$496)&lt;&gt;0,SUMIF('Size, Schedule and Effort'!$AV$3:$AV$496,M46,'Size, Schedule and Effort'!$G$3:$G$496),"NA"),"")</f>
        <v/>
      </c>
      <c r="F46" s="3" t="str">
        <f t="shared" ca="1" si="6"/>
        <v/>
      </c>
      <c r="G46" s="19" t="str">
        <f t="shared" ca="1" si="7"/>
        <v/>
      </c>
      <c r="L46" s="20"/>
      <c r="M46" s="8" t="str">
        <f ca="1">IF(COUNT('Size, Schedule and Effort'!U:U)&gt;=ROW()-18,INDIRECT("'Size, Schedule and Effort'!$BH$" &amp; SMALL('Size, Schedule and Effort'!U:U,ROW()-18)),"")</f>
        <v/>
      </c>
      <c r="N46" s="1" t="str">
        <f t="shared" si="2"/>
        <v/>
      </c>
      <c r="O46" s="23" t="str">
        <f t="shared" ca="1" si="3"/>
        <v/>
      </c>
      <c r="P46" s="1" t="str">
        <f t="shared" ca="1" si="5"/>
        <v/>
      </c>
      <c r="Q46" s="1" t="str">
        <f ca="1">IF(AND(A46&lt;&gt;"",D46&lt;&gt;"",D46&lt;&gt;"NA"),VLOOKUP(A46,'Size, Schedule and Effort'!$B$3:$AH$496,44,0),"")</f>
        <v/>
      </c>
      <c r="R46" s="1" t="str">
        <f t="shared" ca="1" si="4"/>
        <v/>
      </c>
    </row>
    <row r="47" spans="1:18" x14ac:dyDescent="0.2">
      <c r="A47" s="3" t="str">
        <f ca="1">IF(COUNT('Size, Schedule and Effort'!U:U)&gt;=ROW()-18,INDIRECT("'Size, Schedule and Effort'!$C$" &amp; SMALL('Size, Schedule and Effort'!U:U,ROW()-18)),"")</f>
        <v/>
      </c>
      <c r="C47" s="14" t="str">
        <f ca="1">IF(M47&lt;&gt;"",IF(SUMIF('Size, Schedule and Effort'!$AV$3:$AV$496,M47,'Size, Schedule and Effort'!$AG$3:$AG$496)&lt;&gt;0,SUMIF('Size, Schedule and Effort'!$AV$3:$AV$496,M47,'Size, Schedule and Effort'!$AG$3:$AG$496),"NA"),"")</f>
        <v/>
      </c>
      <c r="D47" s="14" t="str">
        <f ca="1">IF(M47&lt;&gt;"",IF(SUMIF('Size, Schedule and Effort'!$AV$3:$AV$496,M47,'Size, Schedule and Effort'!$G$3:$G$496)&lt;&gt;0,SUMIF('Size, Schedule and Effort'!$AV$3:$AV$496,M47,'Size, Schedule and Effort'!$G$3:$G$496),"NA"),"")</f>
        <v/>
      </c>
      <c r="F47" s="3" t="str">
        <f t="shared" ca="1" si="6"/>
        <v/>
      </c>
      <c r="G47" s="19" t="str">
        <f t="shared" ca="1" si="7"/>
        <v/>
      </c>
      <c r="M47" s="8" t="str">
        <f ca="1">IF(COUNT('Size, Schedule and Effort'!U:U)&gt;=ROW()-18,INDIRECT("'Size, Schedule and Effort'!$BH$" &amp; SMALL('Size, Schedule and Effort'!U:U,ROW()-18)),"")</f>
        <v/>
      </c>
      <c r="N47" s="1" t="str">
        <f t="shared" si="2"/>
        <v/>
      </c>
      <c r="O47" s="23" t="str">
        <f t="shared" ca="1" si="3"/>
        <v/>
      </c>
      <c r="P47" s="1" t="str">
        <f t="shared" ca="1" si="5"/>
        <v/>
      </c>
      <c r="Q47" s="1" t="str">
        <f ca="1">IF(AND(A47&lt;&gt;"",D47&lt;&gt;"",D47&lt;&gt;"NA"),VLOOKUP(A47,'Size, Schedule and Effort'!$B$3:$AH$496,44,0),"")</f>
        <v/>
      </c>
      <c r="R47" s="1" t="str">
        <f t="shared" ca="1" si="4"/>
        <v/>
      </c>
    </row>
    <row r="48" spans="1:18" x14ac:dyDescent="0.2">
      <c r="A48" s="3" t="str">
        <f ca="1">IF(COUNT('Size, Schedule and Effort'!U:U)&gt;=ROW()-18,INDIRECT("'Size, Schedule and Effort'!$C$" &amp; SMALL('Size, Schedule and Effort'!U:U,ROW()-18)),"")</f>
        <v/>
      </c>
      <c r="C48" s="14" t="str">
        <f ca="1">IF(M48&lt;&gt;"",IF(SUMIF('Size, Schedule and Effort'!$AV$3:$AV$496,M48,'Size, Schedule and Effort'!$AG$3:$AG$496)&lt;&gt;0,SUMIF('Size, Schedule and Effort'!$AV$3:$AV$496,M48,'Size, Schedule and Effort'!$AG$3:$AG$496),"NA"),"")</f>
        <v/>
      </c>
      <c r="D48" s="14" t="str">
        <f ca="1">IF(M48&lt;&gt;"",IF(SUMIF('Size, Schedule and Effort'!$AV$3:$AV$496,M48,'Size, Schedule and Effort'!$G$3:$G$496)&lt;&gt;0,SUMIF('Size, Schedule and Effort'!$AV$3:$AV$496,M48,'Size, Schedule and Effort'!$G$3:$G$496),"NA"),"")</f>
        <v/>
      </c>
      <c r="F48" s="3" t="str">
        <f t="shared" ca="1" si="6"/>
        <v/>
      </c>
      <c r="G48" s="19" t="str">
        <f t="shared" ca="1" si="7"/>
        <v/>
      </c>
      <c r="M48" s="8" t="str">
        <f ca="1">IF(COUNT('Size, Schedule and Effort'!U:U)&gt;=ROW()-18,INDIRECT("'Size, Schedule and Effort'!$BH$" &amp; SMALL('Size, Schedule and Effort'!U:U,ROW()-18)),"")</f>
        <v/>
      </c>
      <c r="N48" s="1" t="str">
        <f t="shared" si="2"/>
        <v/>
      </c>
      <c r="O48" s="23" t="str">
        <f t="shared" ca="1" si="3"/>
        <v/>
      </c>
      <c r="P48" s="1" t="str">
        <f t="shared" ca="1" si="5"/>
        <v/>
      </c>
      <c r="Q48" s="1" t="str">
        <f ca="1">IF(AND(A48&lt;&gt;"",D48&lt;&gt;"",D48&lt;&gt;"NA"),VLOOKUP(A48,'Size, Schedule and Effort'!$B$3:$AH$496,44,0),"")</f>
        <v/>
      </c>
      <c r="R48" s="1" t="str">
        <f t="shared" ca="1" si="4"/>
        <v/>
      </c>
    </row>
    <row r="49" spans="1:18" x14ac:dyDescent="0.2">
      <c r="A49" s="3" t="str">
        <f ca="1">IF(COUNT('Size, Schedule and Effort'!U:U)&gt;=ROW()-18,INDIRECT("'Size, Schedule and Effort'!$C$" &amp; SMALL('Size, Schedule and Effort'!U:U,ROW()-18)),"")</f>
        <v/>
      </c>
      <c r="C49" s="14" t="str">
        <f ca="1">IF(M49&lt;&gt;"",IF(SUMIF('Size, Schedule and Effort'!$AV$3:$AV$496,M49,'Size, Schedule and Effort'!$AG$3:$AG$496)&lt;&gt;0,SUMIF('Size, Schedule and Effort'!$AV$3:$AV$496,M49,'Size, Schedule and Effort'!$AG$3:$AG$496),"NA"),"")</f>
        <v/>
      </c>
      <c r="D49" s="14" t="str">
        <f ca="1">IF(M49&lt;&gt;"",IF(SUMIF('Size, Schedule and Effort'!$AV$3:$AV$496,M49,'Size, Schedule and Effort'!$G$3:$G$496)&lt;&gt;0,SUMIF('Size, Schedule and Effort'!$AV$3:$AV$496,M49,'Size, Schedule and Effort'!$G$3:$G$496),"NA"),"")</f>
        <v/>
      </c>
      <c r="F49" s="3" t="str">
        <f t="shared" ca="1" si="6"/>
        <v/>
      </c>
      <c r="G49" s="19" t="str">
        <f t="shared" ca="1" si="7"/>
        <v/>
      </c>
      <c r="M49" s="8" t="str">
        <f ca="1">IF(COUNT('Size, Schedule and Effort'!U:U)&gt;=ROW()-18,INDIRECT("'Size, Schedule and Effort'!$BH$" &amp; SMALL('Size, Schedule and Effort'!U:U,ROW()-18)),"")</f>
        <v/>
      </c>
      <c r="N49" s="1" t="str">
        <f t="shared" si="2"/>
        <v/>
      </c>
      <c r="O49" s="23" t="str">
        <f t="shared" ca="1" si="3"/>
        <v/>
      </c>
      <c r="P49" s="1" t="str">
        <f t="shared" ca="1" si="5"/>
        <v/>
      </c>
      <c r="Q49" s="1" t="str">
        <f ca="1">IF(AND(A49&lt;&gt;"",D49&lt;&gt;"",D49&lt;&gt;"NA"),VLOOKUP(A49,'Size, Schedule and Effort'!$B$3:$AH$496,44,0),"")</f>
        <v/>
      </c>
      <c r="R49" s="1" t="str">
        <f t="shared" ca="1" si="4"/>
        <v/>
      </c>
    </row>
    <row r="50" spans="1:18" x14ac:dyDescent="0.2">
      <c r="A50" s="3" t="str">
        <f ca="1">IF(COUNT('Size, Schedule and Effort'!U:U)&gt;=ROW()-18,INDIRECT("'Size, Schedule and Effort'!$C$" &amp; SMALL('Size, Schedule and Effort'!U:U,ROW()-18)),"")</f>
        <v/>
      </c>
      <c r="C50" s="14" t="str">
        <f ca="1">IF(M50&lt;&gt;"",IF(SUMIF('Size, Schedule and Effort'!$AV$3:$AV$496,M50,'Size, Schedule and Effort'!$AG$3:$AG$496)&lt;&gt;0,SUMIF('Size, Schedule and Effort'!$AV$3:$AV$496,M50,'Size, Schedule and Effort'!$AG$3:$AG$496),"NA"),"")</f>
        <v/>
      </c>
      <c r="D50" s="14" t="str">
        <f ca="1">IF(M50&lt;&gt;"",IF(SUMIF('Size, Schedule and Effort'!$AV$3:$AV$496,M50,'Size, Schedule and Effort'!$G$3:$G$496)&lt;&gt;0,SUMIF('Size, Schedule and Effort'!$AV$3:$AV$496,M50,'Size, Schedule and Effort'!$G$3:$G$496),"NA"),"")</f>
        <v/>
      </c>
      <c r="F50" s="3" t="str">
        <f t="shared" ca="1" si="6"/>
        <v/>
      </c>
      <c r="G50" s="19" t="str">
        <f t="shared" ca="1" si="7"/>
        <v/>
      </c>
      <c r="M50" s="8" t="str">
        <f ca="1">IF(COUNT('Size, Schedule and Effort'!U:U)&gt;=ROW()-18,INDIRECT("'Size, Schedule and Effort'!$BH$" &amp; SMALL('Size, Schedule and Effort'!U:U,ROW()-18)),"")</f>
        <v/>
      </c>
      <c r="N50" s="1" t="str">
        <f t="shared" si="2"/>
        <v/>
      </c>
      <c r="O50" s="23" t="str">
        <f t="shared" ca="1" si="3"/>
        <v/>
      </c>
      <c r="P50" s="1" t="str">
        <f t="shared" ca="1" si="5"/>
        <v/>
      </c>
      <c r="Q50" s="1" t="str">
        <f ca="1">IF(AND(A50&lt;&gt;"",D50&lt;&gt;"",D50&lt;&gt;"NA"),VLOOKUP(A50,'Size, Schedule and Effort'!$B$3:$AH$496,44,0),"")</f>
        <v/>
      </c>
      <c r="R50" s="1" t="str">
        <f t="shared" ca="1" si="4"/>
        <v/>
      </c>
    </row>
    <row r="51" spans="1:18" x14ac:dyDescent="0.2">
      <c r="A51" s="3" t="str">
        <f ca="1">IF(COUNT('Size, Schedule and Effort'!U:U)&gt;=ROW()-18,INDIRECT("'Size, Schedule and Effort'!$C$" &amp; SMALL('Size, Schedule and Effort'!U:U,ROW()-18)),"")</f>
        <v/>
      </c>
      <c r="C51" s="14" t="str">
        <f ca="1">IF(M51&lt;&gt;"",IF(SUMIF('Size, Schedule and Effort'!$AV$3:$AV$496,M51,'Size, Schedule and Effort'!$AG$3:$AG$496)&lt;&gt;0,SUMIF('Size, Schedule and Effort'!$AV$3:$AV$496,M51,'Size, Schedule and Effort'!$AG$3:$AG$496),"NA"),"")</f>
        <v/>
      </c>
      <c r="D51" s="14" t="str">
        <f ca="1">IF(M51&lt;&gt;"",IF(SUMIF('Size, Schedule and Effort'!$AV$3:$AV$496,M51,'Size, Schedule and Effort'!$G$3:$G$496)&lt;&gt;0,SUMIF('Size, Schedule and Effort'!$AV$3:$AV$496,M51,'Size, Schedule and Effort'!$G$3:$G$496),"NA"),"")</f>
        <v/>
      </c>
      <c r="F51" s="3" t="str">
        <f t="shared" ca="1" si="6"/>
        <v/>
      </c>
      <c r="G51" s="19" t="str">
        <f t="shared" ca="1" si="7"/>
        <v/>
      </c>
      <c r="M51" s="8" t="str">
        <f ca="1">IF(COUNT('Size, Schedule and Effort'!U:U)&gt;=ROW()-18,INDIRECT("'Size, Schedule and Effort'!$BH$" &amp; SMALL('Size, Schedule and Effort'!U:U,ROW()-18)),"")</f>
        <v/>
      </c>
      <c r="N51" s="1" t="str">
        <f t="shared" si="2"/>
        <v/>
      </c>
      <c r="O51" s="23" t="str">
        <f t="shared" ca="1" si="3"/>
        <v/>
      </c>
      <c r="P51" s="1" t="str">
        <f t="shared" ca="1" si="5"/>
        <v/>
      </c>
      <c r="Q51" s="1" t="str">
        <f ca="1">IF(AND(A51&lt;&gt;"",D51&lt;&gt;"",D51&lt;&gt;"NA"),VLOOKUP(A51,'Size, Schedule and Effort'!$B$3:$AH$496,44,0),"")</f>
        <v/>
      </c>
      <c r="R51" s="1" t="str">
        <f t="shared" ca="1" si="4"/>
        <v/>
      </c>
    </row>
    <row r="52" spans="1:18" x14ac:dyDescent="0.2">
      <c r="A52" s="3" t="str">
        <f ca="1">IF(COUNT('Size, Schedule and Effort'!U:U)&gt;=ROW()-18,INDIRECT("'Size, Schedule and Effort'!$C$" &amp; SMALL('Size, Schedule and Effort'!U:U,ROW()-18)),"")</f>
        <v/>
      </c>
      <c r="C52" s="14" t="str">
        <f ca="1">IF(M52&lt;&gt;"",IF(SUMIF('Size, Schedule and Effort'!$AV$3:$AV$496,M52,'Size, Schedule and Effort'!$AG$3:$AG$496)&lt;&gt;0,SUMIF('Size, Schedule and Effort'!$AV$3:$AV$496,M52,'Size, Schedule and Effort'!$AG$3:$AG$496),"NA"),"")</f>
        <v/>
      </c>
      <c r="D52" s="14" t="str">
        <f ca="1">IF(M52&lt;&gt;"",IF(SUMIF('Size, Schedule and Effort'!$AV$3:$AV$496,M52,'Size, Schedule and Effort'!$G$3:$G$496)&lt;&gt;0,SUMIF('Size, Schedule and Effort'!$AV$3:$AV$496,M52,'Size, Schedule and Effort'!$G$3:$G$496),"NA"),"")</f>
        <v/>
      </c>
      <c r="F52" s="3" t="str">
        <f t="shared" ca="1" si="6"/>
        <v/>
      </c>
      <c r="G52" s="19" t="str">
        <f t="shared" ca="1" si="7"/>
        <v/>
      </c>
      <c r="M52" s="8" t="str">
        <f ca="1">IF(COUNT('Size, Schedule and Effort'!U:U)&gt;=ROW()-18,INDIRECT("'Size, Schedule and Effort'!$BH$" &amp; SMALL('Size, Schedule and Effort'!U:U,ROW()-18)),"")</f>
        <v/>
      </c>
      <c r="N52" s="1" t="str">
        <f t="shared" si="2"/>
        <v/>
      </c>
      <c r="O52" s="23" t="str">
        <f t="shared" ca="1" si="3"/>
        <v/>
      </c>
      <c r="P52" s="1" t="str">
        <f t="shared" ca="1" si="5"/>
        <v/>
      </c>
      <c r="Q52" s="1" t="str">
        <f ca="1">IF(AND(A52&lt;&gt;"",D52&lt;&gt;"",D52&lt;&gt;"NA"),VLOOKUP(A52,'Size, Schedule and Effort'!$B$3:$AH$496,44,0),"")</f>
        <v/>
      </c>
      <c r="R52" s="1" t="str">
        <f t="shared" ca="1" si="4"/>
        <v/>
      </c>
    </row>
    <row r="53" spans="1:18" x14ac:dyDescent="0.2">
      <c r="A53" s="3" t="str">
        <f ca="1">IF(COUNT('Size, Schedule and Effort'!U:U)&gt;=ROW()-18,INDIRECT("'Size, Schedule and Effort'!$C$" &amp; SMALL('Size, Schedule and Effort'!U:U,ROW()-18)),"")</f>
        <v/>
      </c>
      <c r="C53" s="14" t="str">
        <f ca="1">IF(M53&lt;&gt;"",IF(SUMIF('Size, Schedule and Effort'!$AV$3:$AV$496,M53,'Size, Schedule and Effort'!$AG$3:$AG$496)&lt;&gt;0,SUMIF('Size, Schedule and Effort'!$AV$3:$AV$496,M53,'Size, Schedule and Effort'!$AG$3:$AG$496),"NA"),"")</f>
        <v/>
      </c>
      <c r="D53" s="14" t="str">
        <f ca="1">IF(M53&lt;&gt;"",IF(SUMIF('Size, Schedule and Effort'!$AV$3:$AV$496,M53,'Size, Schedule and Effort'!$G$3:$G$496)&lt;&gt;0,SUMIF('Size, Schedule and Effort'!$AV$3:$AV$496,M53,'Size, Schedule and Effort'!$G$3:$G$496),"NA"),"")</f>
        <v/>
      </c>
      <c r="F53" s="3" t="str">
        <f t="shared" ca="1" si="6"/>
        <v/>
      </c>
      <c r="G53" s="19" t="str">
        <f t="shared" ca="1" si="7"/>
        <v/>
      </c>
      <c r="M53" s="8" t="str">
        <f ca="1">IF(COUNT('Size, Schedule and Effort'!U:U)&gt;=ROW()-18,INDIRECT("'Size, Schedule and Effort'!$BH$" &amp; SMALL('Size, Schedule and Effort'!U:U,ROW()-18)),"")</f>
        <v/>
      </c>
      <c r="N53" s="1" t="str">
        <f t="shared" si="2"/>
        <v/>
      </c>
      <c r="O53" s="23" t="str">
        <f t="shared" ca="1" si="3"/>
        <v/>
      </c>
      <c r="P53" s="1" t="str">
        <f t="shared" ca="1" si="5"/>
        <v/>
      </c>
      <c r="Q53" s="1" t="str">
        <f ca="1">IF(AND(A53&lt;&gt;"",D53&lt;&gt;"",D53&lt;&gt;"NA"),VLOOKUP(A53,'Size, Schedule and Effort'!$B$3:$AH$496,44,0),"")</f>
        <v/>
      </c>
      <c r="R53" s="1" t="str">
        <f t="shared" ca="1" si="4"/>
        <v/>
      </c>
    </row>
    <row r="54" spans="1:18" x14ac:dyDescent="0.2">
      <c r="A54" s="3" t="str">
        <f ca="1">IF(COUNT('Size, Schedule and Effort'!U:U)&gt;=ROW()-18,INDIRECT("'Size, Schedule and Effort'!$C$" &amp; SMALL('Size, Schedule and Effort'!U:U,ROW()-18)),"")</f>
        <v/>
      </c>
      <c r="C54" s="14" t="str">
        <f ca="1">IF(M54&lt;&gt;"",IF(SUMIF('Size, Schedule and Effort'!$AV$3:$AV$496,M54,'Size, Schedule and Effort'!$AG$3:$AG$496)&lt;&gt;0,SUMIF('Size, Schedule and Effort'!$AV$3:$AV$496,M54,'Size, Schedule and Effort'!$AG$3:$AG$496),"NA"),"")</f>
        <v/>
      </c>
      <c r="D54" s="14" t="str">
        <f ca="1">IF(M54&lt;&gt;"",IF(SUMIF('Size, Schedule and Effort'!$AV$3:$AV$496,M54,'Size, Schedule and Effort'!$G$3:$G$496)&lt;&gt;0,SUMIF('Size, Schedule and Effort'!$AV$3:$AV$496,M54,'Size, Schedule and Effort'!$G$3:$G$496),"NA"),"")</f>
        <v/>
      </c>
      <c r="F54" s="3" t="str">
        <f t="shared" ca="1" si="6"/>
        <v/>
      </c>
      <c r="G54" s="19" t="str">
        <f t="shared" ca="1" si="7"/>
        <v/>
      </c>
      <c r="M54" s="8" t="str">
        <f ca="1">IF(COUNT('Size, Schedule and Effort'!U:U)&gt;=ROW()-18,INDIRECT("'Size, Schedule and Effort'!$BH$" &amp; SMALL('Size, Schedule and Effort'!U:U,ROW()-18)),"")</f>
        <v/>
      </c>
      <c r="N54" s="1" t="str">
        <f t="shared" si="2"/>
        <v/>
      </c>
      <c r="O54" s="23" t="str">
        <f t="shared" ca="1" si="3"/>
        <v/>
      </c>
      <c r="P54" s="1" t="str">
        <f t="shared" ca="1" si="5"/>
        <v/>
      </c>
      <c r="Q54" s="1" t="str">
        <f ca="1">IF(AND(A54&lt;&gt;"",D54&lt;&gt;"",D54&lt;&gt;"NA"),VLOOKUP(A54,'Size, Schedule and Effort'!$B$3:$AH$496,44,0),"")</f>
        <v/>
      </c>
      <c r="R54" s="1" t="str">
        <f t="shared" ca="1" si="4"/>
        <v/>
      </c>
    </row>
    <row r="55" spans="1:18" x14ac:dyDescent="0.2">
      <c r="A55" s="3" t="str">
        <f ca="1">IF(COUNT('Size, Schedule and Effort'!U:U)&gt;=ROW()-18,INDIRECT("'Size, Schedule and Effort'!$C$" &amp; SMALL('Size, Schedule and Effort'!U:U,ROW()-18)),"")</f>
        <v/>
      </c>
      <c r="C55" s="14" t="str">
        <f ca="1">IF(M55&lt;&gt;"",IF(SUMIF('Size, Schedule and Effort'!$AV$3:$AV$496,M55,'Size, Schedule and Effort'!$AG$3:$AG$496)&lt;&gt;0,SUMIF('Size, Schedule and Effort'!$AV$3:$AV$496,M55,'Size, Schedule and Effort'!$AG$3:$AG$496),"NA"),"")</f>
        <v/>
      </c>
      <c r="D55" s="14" t="str">
        <f ca="1">IF(M55&lt;&gt;"",IF(SUMIF('Size, Schedule and Effort'!$AV$3:$AV$496,M55,'Size, Schedule and Effort'!$G$3:$G$496)&lt;&gt;0,SUMIF('Size, Schedule and Effort'!$AV$3:$AV$496,M55,'Size, Schedule and Effort'!$G$3:$G$496),"NA"),"")</f>
        <v/>
      </c>
      <c r="F55" s="3" t="str">
        <f t="shared" ca="1" si="6"/>
        <v/>
      </c>
      <c r="G55" s="19" t="str">
        <f t="shared" ca="1" si="7"/>
        <v/>
      </c>
      <c r="M55" s="8" t="str">
        <f ca="1">IF(COUNT('Size, Schedule and Effort'!U:U)&gt;=ROW()-18,INDIRECT("'Size, Schedule and Effort'!$BH$" &amp; SMALL('Size, Schedule and Effort'!U:U,ROW()-18)),"")</f>
        <v/>
      </c>
      <c r="N55" s="1" t="str">
        <f t="shared" si="2"/>
        <v/>
      </c>
      <c r="O55" s="23" t="str">
        <f t="shared" ca="1" si="3"/>
        <v/>
      </c>
      <c r="P55" s="1" t="str">
        <f t="shared" ca="1" si="5"/>
        <v/>
      </c>
      <c r="Q55" s="1" t="str">
        <f ca="1">IF(AND(A55&lt;&gt;"",D55&lt;&gt;"",D55&lt;&gt;"NA"),VLOOKUP(A55,'Size, Schedule and Effort'!$B$3:$AH$496,44,0),"")</f>
        <v/>
      </c>
      <c r="R55" s="1" t="str">
        <f t="shared" ca="1" si="4"/>
        <v/>
      </c>
    </row>
    <row r="56" spans="1:18" x14ac:dyDescent="0.2">
      <c r="A56" s="3" t="str">
        <f ca="1">IF(COUNT('Size, Schedule and Effort'!U:U)&gt;=ROW()-18,INDIRECT("'Size, Schedule and Effort'!$C$" &amp; SMALL('Size, Schedule and Effort'!U:U,ROW()-18)),"")</f>
        <v/>
      </c>
      <c r="C56" s="14" t="str">
        <f ca="1">IF(M56&lt;&gt;"",IF(SUMIF('Size, Schedule and Effort'!$AV$3:$AV$496,M56,'Size, Schedule and Effort'!$AG$3:$AG$496)&lt;&gt;0,SUMIF('Size, Schedule and Effort'!$AV$3:$AV$496,M56,'Size, Schedule and Effort'!$AG$3:$AG$496),"NA"),"")</f>
        <v/>
      </c>
      <c r="D56" s="14" t="str">
        <f ca="1">IF(M56&lt;&gt;"",IF(SUMIF('Size, Schedule and Effort'!$AV$3:$AV$496,M56,'Size, Schedule and Effort'!$G$3:$G$496)&lt;&gt;0,SUMIF('Size, Schedule and Effort'!$AV$3:$AV$496,M56,'Size, Schedule and Effort'!$G$3:$G$496),"NA"),"")</f>
        <v/>
      </c>
      <c r="F56" s="3" t="str">
        <f t="shared" ref="F56:F117" ca="1" si="8">IF(R56&lt;&gt;"",CHOOSE(R56,D$7,D$6,D$5,D$4,D$3,D$2),"")</f>
        <v/>
      </c>
      <c r="G56" s="19" t="str">
        <f t="shared" ref="G56:G117" ca="1" si="9">IF(A56&lt;&gt;"",IF(P56&lt;&gt;"",P56,""),"")</f>
        <v/>
      </c>
      <c r="M56" s="8" t="str">
        <f ca="1">IF(COUNT('Size, Schedule and Effort'!U:U)&gt;=ROW()-18,INDIRECT("'Size, Schedule and Effort'!$BH$" &amp; SMALL('Size, Schedule and Effort'!U:U,ROW()-18)),"")</f>
        <v/>
      </c>
      <c r="N56" s="1" t="str">
        <f t="shared" si="2"/>
        <v/>
      </c>
      <c r="O56" s="23" t="str">
        <f t="shared" ca="1" si="3"/>
        <v/>
      </c>
      <c r="P56" s="1" t="str">
        <f t="shared" ref="P56:P117" ca="1" si="10">IF(COUNTA(B56,E56)+COUNT(D56)&gt;=3,IF(COUNT($N56:$O56)&lt;&gt;0,SUM($N56:$O56)/(SUM($N$17:$O$17)-IF($N56="NA",$N$17,0)-IF($O56="NA",$O$17,0))*100,"NA"),"")</f>
        <v/>
      </c>
      <c r="Q56" s="1" t="str">
        <f ca="1">IF(AND(A56&lt;&gt;"",D56&lt;&gt;"",D56&lt;&gt;"NA"),VLOOKUP(A56,'Size, Schedule and Effort'!$B$3:$AH$496,44,0),"")</f>
        <v/>
      </c>
      <c r="R56" s="1" t="str">
        <f t="shared" ca="1" si="4"/>
        <v/>
      </c>
    </row>
    <row r="57" spans="1:18" x14ac:dyDescent="0.2">
      <c r="A57" s="3" t="str">
        <f ca="1">IF(COUNT('Size, Schedule and Effort'!U:U)&gt;=ROW()-18,INDIRECT("'Size, Schedule and Effort'!$C$" &amp; SMALL('Size, Schedule and Effort'!U:U,ROW()-18)),"")</f>
        <v/>
      </c>
      <c r="C57" s="14" t="str">
        <f ca="1">IF(M57&lt;&gt;"",IF(SUMIF('Size, Schedule and Effort'!$AV$3:$AV$496,M57,'Size, Schedule and Effort'!$AG$3:$AG$496)&lt;&gt;0,SUMIF('Size, Schedule and Effort'!$AV$3:$AV$496,M57,'Size, Schedule and Effort'!$AG$3:$AG$496),"NA"),"")</f>
        <v/>
      </c>
      <c r="D57" s="14" t="str">
        <f ca="1">IF(M57&lt;&gt;"",IF(SUMIF('Size, Schedule and Effort'!$AV$3:$AV$496,M57,'Size, Schedule and Effort'!$G$3:$G$496)&lt;&gt;0,SUMIF('Size, Schedule and Effort'!$AV$3:$AV$496,M57,'Size, Schedule and Effort'!$G$3:$G$496),"NA"),"")</f>
        <v/>
      </c>
      <c r="F57" s="3" t="str">
        <f t="shared" ca="1" si="8"/>
        <v/>
      </c>
      <c r="G57" s="19" t="str">
        <f t="shared" ca="1" si="9"/>
        <v/>
      </c>
      <c r="M57" s="8" t="str">
        <f ca="1">IF(COUNT('Size, Schedule and Effort'!U:U)&gt;=ROW()-18,INDIRECT("'Size, Schedule and Effort'!$BH$" &amp; SMALL('Size, Schedule and Effort'!U:U,ROW()-18)),"")</f>
        <v/>
      </c>
      <c r="N57" s="1" t="str">
        <f t="shared" si="2"/>
        <v/>
      </c>
      <c r="O57" s="23" t="str">
        <f t="shared" ca="1" si="3"/>
        <v/>
      </c>
      <c r="P57" s="1" t="str">
        <f t="shared" ca="1" si="10"/>
        <v/>
      </c>
      <c r="Q57" s="1" t="str">
        <f ca="1">IF(AND(A57&lt;&gt;"",D57&lt;&gt;"",D57&lt;&gt;"NA"),VLOOKUP(A57,'Size, Schedule and Effort'!$B$3:$AH$496,44,0),"")</f>
        <v/>
      </c>
      <c r="R57" s="1" t="str">
        <f t="shared" ca="1" si="4"/>
        <v/>
      </c>
    </row>
    <row r="58" spans="1:18" x14ac:dyDescent="0.2">
      <c r="A58" s="3" t="str">
        <f ca="1">IF(COUNT('Size, Schedule and Effort'!U:U)&gt;=ROW()-18,INDIRECT("'Size, Schedule and Effort'!$C$" &amp; SMALL('Size, Schedule and Effort'!U:U,ROW()-18)),"")</f>
        <v/>
      </c>
      <c r="C58" s="14" t="str">
        <f ca="1">IF(M58&lt;&gt;"",IF(SUMIF('Size, Schedule and Effort'!$AV$3:$AV$496,M58,'Size, Schedule and Effort'!$AG$3:$AG$496)&lt;&gt;0,SUMIF('Size, Schedule and Effort'!$AV$3:$AV$496,M58,'Size, Schedule and Effort'!$AG$3:$AG$496),"NA"),"")</f>
        <v/>
      </c>
      <c r="D58" s="14" t="str">
        <f ca="1">IF(M58&lt;&gt;"",IF(SUMIF('Size, Schedule and Effort'!$AV$3:$AV$496,M58,'Size, Schedule and Effort'!$G$3:$G$496)&lt;&gt;0,SUMIF('Size, Schedule and Effort'!$AV$3:$AV$496,M58,'Size, Schedule and Effort'!$G$3:$G$496),"NA"),"")</f>
        <v/>
      </c>
      <c r="F58" s="3" t="str">
        <f t="shared" ca="1" si="8"/>
        <v/>
      </c>
      <c r="G58" s="19" t="str">
        <f t="shared" ca="1" si="9"/>
        <v/>
      </c>
      <c r="M58" s="8" t="str">
        <f ca="1">IF(COUNT('Size, Schedule and Effort'!U:U)&gt;=ROW()-18,INDIRECT("'Size, Schedule and Effort'!$BH$" &amp; SMALL('Size, Schedule and Effort'!U:U,ROW()-18)),"")</f>
        <v/>
      </c>
      <c r="N58" s="1" t="str">
        <f t="shared" si="2"/>
        <v/>
      </c>
      <c r="O58" s="23" t="str">
        <f t="shared" ca="1" si="3"/>
        <v/>
      </c>
      <c r="P58" s="1" t="str">
        <f t="shared" ca="1" si="10"/>
        <v/>
      </c>
      <c r="Q58" s="1" t="str">
        <f ca="1">IF(AND(A58&lt;&gt;"",D58&lt;&gt;"",D58&lt;&gt;"NA"),VLOOKUP(A58,'Size, Schedule and Effort'!$B$3:$AH$496,44,0),"")</f>
        <v/>
      </c>
      <c r="R58" s="1" t="str">
        <f t="shared" ca="1" si="4"/>
        <v/>
      </c>
    </row>
    <row r="59" spans="1:18" x14ac:dyDescent="0.2">
      <c r="A59" s="3" t="str">
        <f ca="1">IF(COUNT('Size, Schedule and Effort'!U:U)&gt;=ROW()-18,INDIRECT("'Size, Schedule and Effort'!$C$" &amp; SMALL('Size, Schedule and Effort'!U:U,ROW()-18)),"")</f>
        <v/>
      </c>
      <c r="C59" s="14" t="str">
        <f ca="1">IF(M59&lt;&gt;"",IF(SUMIF('Size, Schedule and Effort'!$AV$3:$AV$496,M59,'Size, Schedule and Effort'!$AG$3:$AG$496)&lt;&gt;0,SUMIF('Size, Schedule and Effort'!$AV$3:$AV$496,M59,'Size, Schedule and Effort'!$AG$3:$AG$496),"NA"),"")</f>
        <v/>
      </c>
      <c r="D59" s="14" t="str">
        <f ca="1">IF(M59&lt;&gt;"",IF(SUMIF('Size, Schedule and Effort'!$AV$3:$AV$496,M59,'Size, Schedule and Effort'!$G$3:$G$496)&lt;&gt;0,SUMIF('Size, Schedule and Effort'!$AV$3:$AV$496,M59,'Size, Schedule and Effort'!$G$3:$G$496),"NA"),"")</f>
        <v/>
      </c>
      <c r="F59" s="3" t="str">
        <f t="shared" ca="1" si="8"/>
        <v/>
      </c>
      <c r="G59" s="19" t="str">
        <f t="shared" ca="1" si="9"/>
        <v/>
      </c>
      <c r="M59" s="8" t="str">
        <f ca="1">IF(COUNT('Size, Schedule and Effort'!U:U)&gt;=ROW()-18,INDIRECT("'Size, Schedule and Effort'!$BH$" &amp; SMALL('Size, Schedule and Effort'!U:U,ROW()-18)),"")</f>
        <v/>
      </c>
      <c r="N59" s="1" t="str">
        <f t="shared" si="2"/>
        <v/>
      </c>
      <c r="O59" s="23" t="str">
        <f t="shared" ca="1" si="3"/>
        <v/>
      </c>
      <c r="P59" s="1" t="str">
        <f t="shared" ca="1" si="10"/>
        <v/>
      </c>
      <c r="Q59" s="1" t="str">
        <f ca="1">IF(AND(A59&lt;&gt;"",D59&lt;&gt;"",D59&lt;&gt;"NA"),VLOOKUP(A59,'Size, Schedule and Effort'!$B$3:$AH$496,44,0),"")</f>
        <v/>
      </c>
      <c r="R59" s="1" t="str">
        <f t="shared" ca="1" si="4"/>
        <v/>
      </c>
    </row>
    <row r="60" spans="1:18" x14ac:dyDescent="0.2">
      <c r="A60" s="3" t="str">
        <f ca="1">IF(COUNT('Size, Schedule and Effort'!U:U)&gt;=ROW()-18,INDIRECT("'Size, Schedule and Effort'!$C$" &amp; SMALL('Size, Schedule and Effort'!U:U,ROW()-18)),"")</f>
        <v/>
      </c>
      <c r="C60" s="14" t="str">
        <f ca="1">IF(M60&lt;&gt;"",IF(SUMIF('Size, Schedule and Effort'!$AV$3:$AV$496,M60,'Size, Schedule and Effort'!$AG$3:$AG$496)&lt;&gt;0,SUMIF('Size, Schedule and Effort'!$AV$3:$AV$496,M60,'Size, Schedule and Effort'!$AG$3:$AG$496),"NA"),"")</f>
        <v/>
      </c>
      <c r="D60" s="14" t="str">
        <f ca="1">IF(M60&lt;&gt;"",IF(SUMIF('Size, Schedule and Effort'!$AV$3:$AV$496,M60,'Size, Schedule and Effort'!$G$3:$G$496)&lt;&gt;0,SUMIF('Size, Schedule and Effort'!$AV$3:$AV$496,M60,'Size, Schedule and Effort'!$G$3:$G$496),"NA"),"")</f>
        <v/>
      </c>
      <c r="F60" s="3" t="str">
        <f t="shared" ca="1" si="8"/>
        <v/>
      </c>
      <c r="G60" s="19" t="str">
        <f t="shared" ca="1" si="9"/>
        <v/>
      </c>
      <c r="M60" s="8" t="str">
        <f ca="1">IF(COUNT('Size, Schedule and Effort'!U:U)&gt;=ROW()-18,INDIRECT("'Size, Schedule and Effort'!$BH$" &amp; SMALL('Size, Schedule and Effort'!U:U,ROW()-18)),"")</f>
        <v/>
      </c>
      <c r="N60" s="1" t="str">
        <f t="shared" si="2"/>
        <v/>
      </c>
      <c r="O60" s="23" t="str">
        <f t="shared" ca="1" si="3"/>
        <v/>
      </c>
      <c r="P60" s="1" t="str">
        <f t="shared" ca="1" si="10"/>
        <v/>
      </c>
      <c r="Q60" s="1" t="str">
        <f ca="1">IF(AND(A60&lt;&gt;"",D60&lt;&gt;"",D60&lt;&gt;"NA"),VLOOKUP(A60,'Size, Schedule and Effort'!$B$3:$AH$496,44,0),"")</f>
        <v/>
      </c>
      <c r="R60" s="1" t="str">
        <f t="shared" ca="1" si="4"/>
        <v/>
      </c>
    </row>
    <row r="61" spans="1:18" x14ac:dyDescent="0.2">
      <c r="A61" s="3" t="str">
        <f ca="1">IF(COUNT('Size, Schedule and Effort'!U:U)&gt;=ROW()-18,INDIRECT("'Size, Schedule and Effort'!$C$" &amp; SMALL('Size, Schedule and Effort'!U:U,ROW()-18)),"")</f>
        <v/>
      </c>
      <c r="C61" s="14" t="str">
        <f ca="1">IF(M61&lt;&gt;"",IF(SUMIF('Size, Schedule and Effort'!$AV$3:$AV$496,M61,'Size, Schedule and Effort'!$AG$3:$AG$496)&lt;&gt;0,SUMIF('Size, Schedule and Effort'!$AV$3:$AV$496,M61,'Size, Schedule and Effort'!$AG$3:$AG$496),"NA"),"")</f>
        <v/>
      </c>
      <c r="D61" s="14" t="str">
        <f ca="1">IF(M61&lt;&gt;"",IF(SUMIF('Size, Schedule and Effort'!$AV$3:$AV$496,M61,'Size, Schedule and Effort'!$G$3:$G$496)&lt;&gt;0,SUMIF('Size, Schedule and Effort'!$AV$3:$AV$496,M61,'Size, Schedule and Effort'!$G$3:$G$496),"NA"),"")</f>
        <v/>
      </c>
      <c r="F61" s="3" t="str">
        <f t="shared" ca="1" si="8"/>
        <v/>
      </c>
      <c r="G61" s="19" t="str">
        <f t="shared" ca="1" si="9"/>
        <v/>
      </c>
      <c r="M61" s="8" t="str">
        <f ca="1">IF(COUNT('Size, Schedule and Effort'!U:U)&gt;=ROW()-18,INDIRECT("'Size, Schedule and Effort'!$BH$" &amp; SMALL('Size, Schedule and Effort'!U:U,ROW()-18)),"")</f>
        <v/>
      </c>
      <c r="N61" s="1" t="str">
        <f t="shared" si="2"/>
        <v/>
      </c>
      <c r="O61" s="23" t="str">
        <f t="shared" ca="1" si="3"/>
        <v/>
      </c>
      <c r="P61" s="1" t="str">
        <f t="shared" ca="1" si="10"/>
        <v/>
      </c>
      <c r="Q61" s="1" t="str">
        <f ca="1">IF(AND(A61&lt;&gt;"",D61&lt;&gt;"",D61&lt;&gt;"NA"),VLOOKUP(A61,'Size, Schedule and Effort'!$B$3:$AH$496,44,0),"")</f>
        <v/>
      </c>
      <c r="R61" s="1" t="str">
        <f t="shared" ca="1" si="4"/>
        <v/>
      </c>
    </row>
    <row r="62" spans="1:18" x14ac:dyDescent="0.2">
      <c r="A62" s="3" t="str">
        <f ca="1">IF(COUNT('Size, Schedule and Effort'!U:U)&gt;=ROW()-18,INDIRECT("'Size, Schedule and Effort'!$C$" &amp; SMALL('Size, Schedule and Effort'!U:U,ROW()-18)),"")</f>
        <v/>
      </c>
      <c r="C62" s="14" t="str">
        <f ca="1">IF(M62&lt;&gt;"",IF(SUMIF('Size, Schedule and Effort'!$AV$3:$AV$496,M62,'Size, Schedule and Effort'!$AG$3:$AG$496)&lt;&gt;0,SUMIF('Size, Schedule and Effort'!$AV$3:$AV$496,M62,'Size, Schedule and Effort'!$AG$3:$AG$496),"NA"),"")</f>
        <v/>
      </c>
      <c r="D62" s="14" t="str">
        <f ca="1">IF(M62&lt;&gt;"",IF(SUMIF('Size, Schedule and Effort'!$AV$3:$AV$496,M62,'Size, Schedule and Effort'!$G$3:$G$496)&lt;&gt;0,SUMIF('Size, Schedule and Effort'!$AV$3:$AV$496,M62,'Size, Schedule and Effort'!$G$3:$G$496),"NA"),"")</f>
        <v/>
      </c>
      <c r="F62" s="3" t="str">
        <f t="shared" ca="1" si="8"/>
        <v/>
      </c>
      <c r="G62" s="19" t="str">
        <f t="shared" ca="1" si="9"/>
        <v/>
      </c>
      <c r="M62" s="8" t="str">
        <f ca="1">IF(COUNT('Size, Schedule and Effort'!U:U)&gt;=ROW()-18,INDIRECT("'Size, Schedule and Effort'!$BH$" &amp; SMALL('Size, Schedule and Effort'!U:U,ROW()-18)),"")</f>
        <v/>
      </c>
      <c r="N62" s="1" t="str">
        <f t="shared" si="2"/>
        <v/>
      </c>
      <c r="O62" s="23" t="str">
        <f t="shared" ca="1" si="3"/>
        <v/>
      </c>
      <c r="P62" s="1" t="str">
        <f t="shared" ca="1" si="10"/>
        <v/>
      </c>
      <c r="Q62" s="1" t="str">
        <f ca="1">IF(AND(A62&lt;&gt;"",D62&lt;&gt;"",D62&lt;&gt;"NA"),VLOOKUP(A62,'Size, Schedule and Effort'!$B$3:$AH$496,44,0),"")</f>
        <v/>
      </c>
      <c r="R62" s="1" t="str">
        <f t="shared" ca="1" si="4"/>
        <v/>
      </c>
    </row>
    <row r="63" spans="1:18" x14ac:dyDescent="0.2">
      <c r="A63" s="3" t="str">
        <f ca="1">IF(COUNT('Size, Schedule and Effort'!U:U)&gt;=ROW()-18,INDIRECT("'Size, Schedule and Effort'!$C$" &amp; SMALL('Size, Schedule and Effort'!U:U,ROW()-18)),"")</f>
        <v/>
      </c>
      <c r="C63" s="14" t="str">
        <f ca="1">IF(M63&lt;&gt;"",IF(SUMIF('Size, Schedule and Effort'!$AV$3:$AV$496,M63,'Size, Schedule and Effort'!$AG$3:$AG$496)&lt;&gt;0,SUMIF('Size, Schedule and Effort'!$AV$3:$AV$496,M63,'Size, Schedule and Effort'!$AG$3:$AG$496),"NA"),"")</f>
        <v/>
      </c>
      <c r="D63" s="14" t="str">
        <f ca="1">IF(M63&lt;&gt;"",IF(SUMIF('Size, Schedule and Effort'!$AV$3:$AV$496,M63,'Size, Schedule and Effort'!$G$3:$G$496)&lt;&gt;0,SUMIF('Size, Schedule and Effort'!$AV$3:$AV$496,M63,'Size, Schedule and Effort'!$G$3:$G$496),"NA"),"")</f>
        <v/>
      </c>
      <c r="F63" s="3" t="str">
        <f t="shared" ca="1" si="8"/>
        <v/>
      </c>
      <c r="G63" s="19" t="str">
        <f t="shared" ca="1" si="9"/>
        <v/>
      </c>
      <c r="M63" s="8" t="str">
        <f ca="1">IF(COUNT('Size, Schedule and Effort'!U:U)&gt;=ROW()-18,INDIRECT("'Size, Schedule and Effort'!$BH$" &amp; SMALL('Size, Schedule and Effort'!U:U,ROW()-18)),"")</f>
        <v/>
      </c>
      <c r="N63" s="1" t="str">
        <f t="shared" si="2"/>
        <v/>
      </c>
      <c r="O63" s="23" t="str">
        <f t="shared" ca="1" si="3"/>
        <v/>
      </c>
      <c r="P63" s="1" t="str">
        <f t="shared" ca="1" si="10"/>
        <v/>
      </c>
      <c r="Q63" s="1" t="str">
        <f ca="1">IF(AND(A63&lt;&gt;"",D63&lt;&gt;"",D63&lt;&gt;"NA"),VLOOKUP(A63,'Size, Schedule and Effort'!$B$3:$AH$496,44,0),"")</f>
        <v/>
      </c>
      <c r="R63" s="1" t="str">
        <f t="shared" ca="1" si="4"/>
        <v/>
      </c>
    </row>
    <row r="64" spans="1:18" x14ac:dyDescent="0.2">
      <c r="A64" s="3" t="str">
        <f ca="1">IF(COUNT('Size, Schedule and Effort'!U:U)&gt;=ROW()-18,INDIRECT("'Size, Schedule and Effort'!$C$" &amp; SMALL('Size, Schedule and Effort'!U:U,ROW()-18)),"")</f>
        <v/>
      </c>
      <c r="C64" s="14" t="str">
        <f ca="1">IF(M64&lt;&gt;"",IF(SUMIF('Size, Schedule and Effort'!$AV$3:$AV$496,M64,'Size, Schedule and Effort'!$AG$3:$AG$496)&lt;&gt;0,SUMIF('Size, Schedule and Effort'!$AV$3:$AV$496,M64,'Size, Schedule and Effort'!$AG$3:$AG$496),"NA"),"")</f>
        <v/>
      </c>
      <c r="D64" s="14" t="str">
        <f ca="1">IF(M64&lt;&gt;"",IF(SUMIF('Size, Schedule and Effort'!$AV$3:$AV$496,M64,'Size, Schedule and Effort'!$G$3:$G$496)&lt;&gt;0,SUMIF('Size, Schedule and Effort'!$AV$3:$AV$496,M64,'Size, Schedule and Effort'!$G$3:$G$496),"NA"),"")</f>
        <v/>
      </c>
      <c r="F64" s="3" t="str">
        <f t="shared" ca="1" si="8"/>
        <v/>
      </c>
      <c r="G64" s="19" t="str">
        <f t="shared" ca="1" si="9"/>
        <v/>
      </c>
      <c r="M64" s="8" t="str">
        <f ca="1">IF(COUNT('Size, Schedule and Effort'!U:U)&gt;=ROW()-18,INDIRECT("'Size, Schedule and Effort'!$BH$" &amp; SMALL('Size, Schedule and Effort'!U:U,ROW()-18)),"")</f>
        <v/>
      </c>
      <c r="N64" s="1" t="str">
        <f t="shared" si="2"/>
        <v/>
      </c>
      <c r="O64" s="23" t="str">
        <f t="shared" ca="1" si="3"/>
        <v/>
      </c>
      <c r="P64" s="1" t="str">
        <f t="shared" ca="1" si="10"/>
        <v/>
      </c>
      <c r="Q64" s="1" t="str">
        <f ca="1">IF(AND(A64&lt;&gt;"",D64&lt;&gt;"",D64&lt;&gt;"NA"),VLOOKUP(A64,'Size, Schedule and Effort'!$B$3:$AH$496,44,0),"")</f>
        <v/>
      </c>
      <c r="R64" s="1" t="str">
        <f t="shared" ca="1" si="4"/>
        <v/>
      </c>
    </row>
    <row r="65" spans="1:18" x14ac:dyDescent="0.2">
      <c r="A65" s="3" t="str">
        <f ca="1">IF(COUNT('Size, Schedule and Effort'!U:U)&gt;=ROW()-18,INDIRECT("'Size, Schedule and Effort'!$C$" &amp; SMALL('Size, Schedule and Effort'!U:U,ROW()-18)),"")</f>
        <v/>
      </c>
      <c r="C65" s="14" t="str">
        <f ca="1">IF(M65&lt;&gt;"",IF(SUMIF('Size, Schedule and Effort'!$AV$3:$AV$496,M65,'Size, Schedule and Effort'!$AG$3:$AG$496)&lt;&gt;0,SUMIF('Size, Schedule and Effort'!$AV$3:$AV$496,M65,'Size, Schedule and Effort'!$AG$3:$AG$496),"NA"),"")</f>
        <v/>
      </c>
      <c r="D65" s="14" t="str">
        <f ca="1">IF(M65&lt;&gt;"",IF(SUMIF('Size, Schedule and Effort'!$AV$3:$AV$496,M65,'Size, Schedule and Effort'!$G$3:$G$496)&lt;&gt;0,SUMIF('Size, Schedule and Effort'!$AV$3:$AV$496,M65,'Size, Schedule and Effort'!$G$3:$G$496),"NA"),"")</f>
        <v/>
      </c>
      <c r="F65" s="3" t="str">
        <f t="shared" ca="1" si="8"/>
        <v/>
      </c>
      <c r="G65" s="19" t="str">
        <f t="shared" ca="1" si="9"/>
        <v/>
      </c>
      <c r="M65" s="8" t="str">
        <f ca="1">IF(COUNT('Size, Schedule and Effort'!U:U)&gt;=ROW()-18,INDIRECT("'Size, Schedule and Effort'!$BH$" &amp; SMALL('Size, Schedule and Effort'!U:U,ROW()-18)),"")</f>
        <v/>
      </c>
      <c r="N65" s="1" t="str">
        <f t="shared" si="2"/>
        <v/>
      </c>
      <c r="O65" s="23" t="str">
        <f t="shared" ca="1" si="3"/>
        <v/>
      </c>
      <c r="P65" s="1" t="str">
        <f t="shared" ca="1" si="10"/>
        <v/>
      </c>
      <c r="Q65" s="1" t="str">
        <f ca="1">IF(AND(A65&lt;&gt;"",D65&lt;&gt;"",D65&lt;&gt;"NA"),VLOOKUP(A65,'Size, Schedule and Effort'!$B$3:$AH$496,44,0),"")</f>
        <v/>
      </c>
      <c r="R65" s="1" t="str">
        <f t="shared" ca="1" si="4"/>
        <v/>
      </c>
    </row>
    <row r="66" spans="1:18" x14ac:dyDescent="0.2">
      <c r="A66" s="3" t="str">
        <f ca="1">IF(COUNT('Size, Schedule and Effort'!U:U)&gt;=ROW()-18,INDIRECT("'Size, Schedule and Effort'!$C$" &amp; SMALL('Size, Schedule and Effort'!U:U,ROW()-18)),"")</f>
        <v/>
      </c>
      <c r="C66" s="14" t="str">
        <f ca="1">IF(M66&lt;&gt;"",IF(SUMIF('Size, Schedule and Effort'!$AV$3:$AV$496,M66,'Size, Schedule and Effort'!$AG$3:$AG$496)&lt;&gt;0,SUMIF('Size, Schedule and Effort'!$AV$3:$AV$496,M66,'Size, Schedule and Effort'!$AG$3:$AG$496),"NA"),"")</f>
        <v/>
      </c>
      <c r="D66" s="14" t="str">
        <f ca="1">IF(M66&lt;&gt;"",IF(SUMIF('Size, Schedule and Effort'!$AV$3:$AV$496,M66,'Size, Schedule and Effort'!$G$3:$G$496)&lt;&gt;0,SUMIF('Size, Schedule and Effort'!$AV$3:$AV$496,M66,'Size, Schedule and Effort'!$G$3:$G$496),"NA"),"")</f>
        <v/>
      </c>
      <c r="F66" s="3" t="str">
        <f t="shared" ca="1" si="8"/>
        <v/>
      </c>
      <c r="G66" s="19" t="str">
        <f t="shared" ca="1" si="9"/>
        <v/>
      </c>
      <c r="M66" s="8" t="str">
        <f ca="1">IF(COUNT('Size, Schedule and Effort'!U:U)&gt;=ROW()-18,INDIRECT("'Size, Schedule and Effort'!$BH$" &amp; SMALL('Size, Schedule and Effort'!U:U,ROW()-18)),"")</f>
        <v/>
      </c>
      <c r="N66" s="1" t="str">
        <f t="shared" si="2"/>
        <v/>
      </c>
      <c r="O66" s="23" t="str">
        <f t="shared" ca="1" si="3"/>
        <v/>
      </c>
      <c r="P66" s="1" t="str">
        <f t="shared" ca="1" si="10"/>
        <v/>
      </c>
      <c r="Q66" s="1" t="str">
        <f ca="1">IF(AND(A66&lt;&gt;"",D66&lt;&gt;"",D66&lt;&gt;"NA"),VLOOKUP(A66,'Size, Schedule and Effort'!$B$3:$AH$496,44,0),"")</f>
        <v/>
      </c>
      <c r="R66" s="1" t="str">
        <f t="shared" ca="1" si="4"/>
        <v/>
      </c>
    </row>
    <row r="67" spans="1:18" x14ac:dyDescent="0.2">
      <c r="A67" s="3" t="str">
        <f ca="1">IF(COUNT('Size, Schedule and Effort'!U:U)&gt;=ROW()-18,INDIRECT("'Size, Schedule and Effort'!$C$" &amp; SMALL('Size, Schedule and Effort'!U:U,ROW()-18)),"")</f>
        <v/>
      </c>
      <c r="C67" s="14" t="str">
        <f ca="1">IF(M67&lt;&gt;"",IF(SUMIF('Size, Schedule and Effort'!$AV$3:$AV$496,M67,'Size, Schedule and Effort'!$AG$3:$AG$496)&lt;&gt;0,SUMIF('Size, Schedule and Effort'!$AV$3:$AV$496,M67,'Size, Schedule and Effort'!$AG$3:$AG$496),"NA"),"")</f>
        <v/>
      </c>
      <c r="D67" s="14" t="str">
        <f ca="1">IF(M67&lt;&gt;"",IF(SUMIF('Size, Schedule and Effort'!$AV$3:$AV$496,M67,'Size, Schedule and Effort'!$G$3:$G$496)&lt;&gt;0,SUMIF('Size, Schedule and Effort'!$AV$3:$AV$496,M67,'Size, Schedule and Effort'!$G$3:$G$496),"NA"),"")</f>
        <v/>
      </c>
      <c r="F67" s="3" t="str">
        <f t="shared" ca="1" si="8"/>
        <v/>
      </c>
      <c r="G67" s="19" t="str">
        <f t="shared" ca="1" si="9"/>
        <v/>
      </c>
      <c r="M67" s="8" t="str">
        <f ca="1">IF(COUNT('Size, Schedule and Effort'!U:U)&gt;=ROW()-18,INDIRECT("'Size, Schedule and Effort'!$BH$" &amp; SMALL('Size, Schedule and Effort'!U:U,ROW()-18)),"")</f>
        <v/>
      </c>
      <c r="N67" s="1" t="str">
        <f t="shared" si="2"/>
        <v/>
      </c>
      <c r="O67" s="23" t="str">
        <f t="shared" ca="1" si="3"/>
        <v/>
      </c>
      <c r="P67" s="1" t="str">
        <f t="shared" ca="1" si="10"/>
        <v/>
      </c>
      <c r="Q67" s="1" t="str">
        <f ca="1">IF(AND(A67&lt;&gt;"",D67&lt;&gt;"",D67&lt;&gt;"NA"),VLOOKUP(A67,'Size, Schedule and Effort'!$B$3:$AH$496,44,0),"")</f>
        <v/>
      </c>
      <c r="R67" s="1" t="str">
        <f t="shared" ca="1" si="4"/>
        <v/>
      </c>
    </row>
    <row r="68" spans="1:18" x14ac:dyDescent="0.2">
      <c r="A68" s="3" t="str">
        <f ca="1">IF(COUNT('Size, Schedule and Effort'!U:U)&gt;=ROW()-18,INDIRECT("'Size, Schedule and Effort'!$C$" &amp; SMALL('Size, Schedule and Effort'!U:U,ROW()-18)),"")</f>
        <v/>
      </c>
      <c r="C68" s="14" t="str">
        <f ca="1">IF(M68&lt;&gt;"",IF(SUMIF('Size, Schedule and Effort'!$AV$3:$AV$496,M68,'Size, Schedule and Effort'!$AG$3:$AG$496)&lt;&gt;0,SUMIF('Size, Schedule and Effort'!$AV$3:$AV$496,M68,'Size, Schedule and Effort'!$AG$3:$AG$496),"NA"),"")</f>
        <v/>
      </c>
      <c r="D68" s="14" t="str">
        <f ca="1">IF(M68&lt;&gt;"",IF(SUMIF('Size, Schedule and Effort'!$AV$3:$AV$496,M68,'Size, Schedule and Effort'!$G$3:$G$496)&lt;&gt;0,SUMIF('Size, Schedule and Effort'!$AV$3:$AV$496,M68,'Size, Schedule and Effort'!$G$3:$G$496),"NA"),"")</f>
        <v/>
      </c>
      <c r="F68" s="3" t="str">
        <f t="shared" ca="1" si="8"/>
        <v/>
      </c>
      <c r="G68" s="19" t="str">
        <f t="shared" ca="1" si="9"/>
        <v/>
      </c>
      <c r="M68" s="8" t="str">
        <f ca="1">IF(COUNT('Size, Schedule and Effort'!U:U)&gt;=ROW()-18,INDIRECT("'Size, Schedule and Effort'!$BH$" &amp; SMALL('Size, Schedule and Effort'!U:U,ROW()-18)),"")</f>
        <v/>
      </c>
      <c r="N68" s="1" t="str">
        <f t="shared" si="2"/>
        <v/>
      </c>
      <c r="O68" s="23" t="str">
        <f t="shared" ca="1" si="3"/>
        <v/>
      </c>
      <c r="P68" s="1" t="str">
        <f t="shared" ca="1" si="10"/>
        <v/>
      </c>
      <c r="Q68" s="1" t="str">
        <f ca="1">IF(AND(A68&lt;&gt;"",D68&lt;&gt;"",D68&lt;&gt;"NA"),VLOOKUP(A68,'Size, Schedule and Effort'!$B$3:$AH$496,44,0),"")</f>
        <v/>
      </c>
      <c r="R68" s="1" t="str">
        <f t="shared" ca="1" si="4"/>
        <v/>
      </c>
    </row>
    <row r="69" spans="1:18" x14ac:dyDescent="0.2">
      <c r="A69" s="3" t="str">
        <f ca="1">IF(COUNT('Size, Schedule and Effort'!U:U)&gt;=ROW()-18,INDIRECT("'Size, Schedule and Effort'!$C$" &amp; SMALL('Size, Schedule and Effort'!U:U,ROW()-18)),"")</f>
        <v/>
      </c>
      <c r="C69" s="14" t="str">
        <f ca="1">IF(M69&lt;&gt;"",IF(SUMIF('Size, Schedule and Effort'!$AV$3:$AV$496,M69,'Size, Schedule and Effort'!$AG$3:$AG$496)&lt;&gt;0,SUMIF('Size, Schedule and Effort'!$AV$3:$AV$496,M69,'Size, Schedule and Effort'!$AG$3:$AG$496),"NA"),"")</f>
        <v/>
      </c>
      <c r="D69" s="14" t="str">
        <f ca="1">IF(M69&lt;&gt;"",IF(SUMIF('Size, Schedule and Effort'!$AV$3:$AV$496,M69,'Size, Schedule and Effort'!$G$3:$G$496)&lt;&gt;0,SUMIF('Size, Schedule and Effort'!$AV$3:$AV$496,M69,'Size, Schedule and Effort'!$G$3:$G$496),"NA"),"")</f>
        <v/>
      </c>
      <c r="F69" s="3" t="str">
        <f t="shared" ca="1" si="8"/>
        <v/>
      </c>
      <c r="G69" s="19" t="str">
        <f t="shared" ca="1" si="9"/>
        <v/>
      </c>
      <c r="M69" s="8" t="str">
        <f ca="1">IF(COUNT('Size, Schedule and Effort'!U:U)&gt;=ROW()-18,INDIRECT("'Size, Schedule and Effort'!$BH$" &amp; SMALL('Size, Schedule and Effort'!U:U,ROW()-18)),"")</f>
        <v/>
      </c>
      <c r="N69" s="1" t="str">
        <f t="shared" si="2"/>
        <v/>
      </c>
      <c r="O69" s="23" t="str">
        <f t="shared" ca="1" si="3"/>
        <v/>
      </c>
      <c r="P69" s="1" t="str">
        <f t="shared" ca="1" si="10"/>
        <v/>
      </c>
      <c r="Q69" s="1" t="str">
        <f ca="1">IF(AND(A69&lt;&gt;"",D69&lt;&gt;"",D69&lt;&gt;"NA"),VLOOKUP(A69,'Size, Schedule and Effort'!$B$3:$AH$496,44,0),"")</f>
        <v/>
      </c>
      <c r="R69" s="1" t="str">
        <f t="shared" ca="1" si="4"/>
        <v/>
      </c>
    </row>
    <row r="70" spans="1:18" x14ac:dyDescent="0.2">
      <c r="A70" s="3" t="str">
        <f ca="1">IF(COUNT('Size, Schedule and Effort'!U:U)&gt;=ROW()-18,INDIRECT("'Size, Schedule and Effort'!$C$" &amp; SMALL('Size, Schedule and Effort'!U:U,ROW()-18)),"")</f>
        <v/>
      </c>
      <c r="C70" s="14" t="str">
        <f ca="1">IF(M70&lt;&gt;"",IF(SUMIF('Size, Schedule and Effort'!$AV$3:$AV$496,M70,'Size, Schedule and Effort'!$AG$3:$AG$496)&lt;&gt;0,SUMIF('Size, Schedule and Effort'!$AV$3:$AV$496,M70,'Size, Schedule and Effort'!$AG$3:$AG$496),"NA"),"")</f>
        <v/>
      </c>
      <c r="D70" s="14" t="str">
        <f ca="1">IF(M70&lt;&gt;"",IF(SUMIF('Size, Schedule and Effort'!$AV$3:$AV$496,M70,'Size, Schedule and Effort'!$G$3:$G$496)&lt;&gt;0,SUMIF('Size, Schedule and Effort'!$AV$3:$AV$496,M70,'Size, Schedule and Effort'!$G$3:$G$496),"NA"),"")</f>
        <v/>
      </c>
      <c r="F70" s="3" t="str">
        <f t="shared" ca="1" si="8"/>
        <v/>
      </c>
      <c r="G70" s="19" t="str">
        <f t="shared" ca="1" si="9"/>
        <v/>
      </c>
      <c r="M70" s="8" t="str">
        <f ca="1">IF(COUNT('Size, Schedule and Effort'!U:U)&gt;=ROW()-18,INDIRECT("'Size, Schedule and Effort'!$BH$" &amp; SMALL('Size, Schedule and Effort'!U:U,ROW()-18)),"")</f>
        <v/>
      </c>
      <c r="N70" s="1" t="str">
        <f t="shared" si="2"/>
        <v/>
      </c>
      <c r="O70" s="23" t="str">
        <f t="shared" ca="1" si="3"/>
        <v/>
      </c>
      <c r="P70" s="1" t="str">
        <f t="shared" ca="1" si="10"/>
        <v/>
      </c>
      <c r="Q70" s="1" t="str">
        <f ca="1">IF(AND(A70&lt;&gt;"",D70&lt;&gt;"",D70&lt;&gt;"NA"),VLOOKUP(A70,'Size, Schedule and Effort'!$B$3:$AH$496,44,0),"")</f>
        <v/>
      </c>
      <c r="R70" s="1" t="str">
        <f t="shared" ca="1" si="4"/>
        <v/>
      </c>
    </row>
    <row r="71" spans="1:18" x14ac:dyDescent="0.2">
      <c r="A71" s="3" t="str">
        <f ca="1">IF(COUNT('Size, Schedule and Effort'!U:U)&gt;=ROW()-18,INDIRECT("'Size, Schedule and Effort'!$C$" &amp; SMALL('Size, Schedule and Effort'!U:U,ROW()-18)),"")</f>
        <v/>
      </c>
      <c r="C71" s="14" t="str">
        <f ca="1">IF(M71&lt;&gt;"",IF(SUMIF('Size, Schedule and Effort'!$AV$3:$AV$496,M71,'Size, Schedule and Effort'!$AG$3:$AG$496)&lt;&gt;0,SUMIF('Size, Schedule and Effort'!$AV$3:$AV$496,M71,'Size, Schedule and Effort'!$AG$3:$AG$496),"NA"),"")</f>
        <v/>
      </c>
      <c r="D71" s="14" t="str">
        <f ca="1">IF(M71&lt;&gt;"",IF(SUMIF('Size, Schedule and Effort'!$AV$3:$AV$496,M71,'Size, Schedule and Effort'!$G$3:$G$496)&lt;&gt;0,SUMIF('Size, Schedule and Effort'!$AV$3:$AV$496,M71,'Size, Schedule and Effort'!$G$3:$G$496),"NA"),"")</f>
        <v/>
      </c>
      <c r="F71" s="3" t="str">
        <f t="shared" ca="1" si="8"/>
        <v/>
      </c>
      <c r="G71" s="19" t="str">
        <f t="shared" ca="1" si="9"/>
        <v/>
      </c>
      <c r="M71" s="8" t="str">
        <f ca="1">IF(COUNT('Size, Schedule and Effort'!U:U)&gt;=ROW()-18,INDIRECT("'Size, Schedule and Effort'!$BH$" &amp; SMALL('Size, Schedule and Effort'!U:U,ROW()-18)),"")</f>
        <v/>
      </c>
      <c r="N71" s="1" t="str">
        <f t="shared" si="2"/>
        <v/>
      </c>
      <c r="O71" s="23" t="str">
        <f t="shared" ca="1" si="3"/>
        <v/>
      </c>
      <c r="P71" s="1" t="str">
        <f t="shared" ca="1" si="10"/>
        <v/>
      </c>
      <c r="Q71" s="1" t="str">
        <f ca="1">IF(AND(A71&lt;&gt;"",D71&lt;&gt;"",D71&lt;&gt;"NA"),VLOOKUP(A71,'Size, Schedule and Effort'!$B$3:$AH$496,44,0),"")</f>
        <v/>
      </c>
      <c r="R71" s="1" t="str">
        <f t="shared" ca="1" si="4"/>
        <v/>
      </c>
    </row>
    <row r="72" spans="1:18" x14ac:dyDescent="0.2">
      <c r="A72" s="3" t="str">
        <f ca="1">IF(COUNT('Size, Schedule and Effort'!U:U)&gt;=ROW()-18,INDIRECT("'Size, Schedule and Effort'!$C$" &amp; SMALL('Size, Schedule and Effort'!U:U,ROW()-18)),"")</f>
        <v/>
      </c>
      <c r="C72" s="14" t="str">
        <f ca="1">IF(M72&lt;&gt;"",IF(SUMIF('Size, Schedule and Effort'!$AV$3:$AV$496,M72,'Size, Schedule and Effort'!$AG$3:$AG$496)&lt;&gt;0,SUMIF('Size, Schedule and Effort'!$AV$3:$AV$496,M72,'Size, Schedule and Effort'!$AG$3:$AG$496),"NA"),"")</f>
        <v/>
      </c>
      <c r="D72" s="14" t="str">
        <f ca="1">IF(M72&lt;&gt;"",IF(SUMIF('Size, Schedule and Effort'!$AV$3:$AV$496,M72,'Size, Schedule and Effort'!$G$3:$G$496)&lt;&gt;0,SUMIF('Size, Schedule and Effort'!$AV$3:$AV$496,M72,'Size, Schedule and Effort'!$G$3:$G$496),"NA"),"")</f>
        <v/>
      </c>
      <c r="F72" s="3" t="str">
        <f t="shared" ca="1" si="8"/>
        <v/>
      </c>
      <c r="G72" s="19" t="str">
        <f t="shared" ca="1" si="9"/>
        <v/>
      </c>
      <c r="M72" s="8" t="str">
        <f ca="1">IF(COUNT('Size, Schedule and Effort'!U:U)&gt;=ROW()-18,INDIRECT("'Size, Schedule and Effort'!$BH$" &amp; SMALL('Size, Schedule and Effort'!U:U,ROW()-18)),"")</f>
        <v/>
      </c>
      <c r="N72" s="1" t="str">
        <f t="shared" si="2"/>
        <v/>
      </c>
      <c r="O72" s="23" t="str">
        <f t="shared" ca="1" si="3"/>
        <v/>
      </c>
      <c r="P72" s="1" t="str">
        <f t="shared" ca="1" si="10"/>
        <v/>
      </c>
      <c r="Q72" s="1" t="str">
        <f ca="1">IF(AND(A72&lt;&gt;"",D72&lt;&gt;"",D72&lt;&gt;"NA"),VLOOKUP(A72,'Size, Schedule and Effort'!$B$3:$AH$496,44,0),"")</f>
        <v/>
      </c>
      <c r="R72" s="1" t="str">
        <f t="shared" ca="1" si="4"/>
        <v/>
      </c>
    </row>
    <row r="73" spans="1:18" x14ac:dyDescent="0.2">
      <c r="A73" s="3" t="str">
        <f ca="1">IF(COUNT('Size, Schedule and Effort'!U:U)&gt;=ROW()-18,INDIRECT("'Size, Schedule and Effort'!$C$" &amp; SMALL('Size, Schedule and Effort'!U:U,ROW()-18)),"")</f>
        <v/>
      </c>
      <c r="C73" s="14" t="str">
        <f ca="1">IF(M73&lt;&gt;"",IF(SUMIF('Size, Schedule and Effort'!$AV$3:$AV$496,M73,'Size, Schedule and Effort'!$AG$3:$AG$496)&lt;&gt;0,SUMIF('Size, Schedule and Effort'!$AV$3:$AV$496,M73,'Size, Schedule and Effort'!$AG$3:$AG$496),"NA"),"")</f>
        <v/>
      </c>
      <c r="D73" s="14" t="str">
        <f ca="1">IF(M73&lt;&gt;"",IF(SUMIF('Size, Schedule and Effort'!$AV$3:$AV$496,M73,'Size, Schedule and Effort'!$G$3:$G$496)&lt;&gt;0,SUMIF('Size, Schedule and Effort'!$AV$3:$AV$496,M73,'Size, Schedule and Effort'!$G$3:$G$496),"NA"),"")</f>
        <v/>
      </c>
      <c r="F73" s="3" t="str">
        <f t="shared" ca="1" si="8"/>
        <v/>
      </c>
      <c r="G73" s="19" t="str">
        <f t="shared" ca="1" si="9"/>
        <v/>
      </c>
      <c r="M73" s="8" t="str">
        <f ca="1">IF(COUNT('Size, Schedule and Effort'!U:U)&gt;=ROW()-18,INDIRECT("'Size, Schedule and Effort'!$BH$" &amp; SMALL('Size, Schedule and Effort'!U:U,ROW()-18)),"")</f>
        <v/>
      </c>
      <c r="N73" s="1" t="str">
        <f t="shared" si="2"/>
        <v/>
      </c>
      <c r="O73" s="23" t="str">
        <f t="shared" ca="1" si="3"/>
        <v/>
      </c>
      <c r="P73" s="1" t="str">
        <f t="shared" ca="1" si="10"/>
        <v/>
      </c>
      <c r="Q73" s="1" t="str">
        <f ca="1">IF(AND(A73&lt;&gt;"",D73&lt;&gt;"",D73&lt;&gt;"NA"),VLOOKUP(A73,'Size, Schedule and Effort'!$B$3:$AH$496,44,0),"")</f>
        <v/>
      </c>
      <c r="R73" s="1" t="str">
        <f t="shared" ca="1" si="4"/>
        <v/>
      </c>
    </row>
    <row r="74" spans="1:18" x14ac:dyDescent="0.2">
      <c r="A74" s="3" t="str">
        <f ca="1">IF(COUNT('Size, Schedule and Effort'!U:U)&gt;=ROW()-18,INDIRECT("'Size, Schedule and Effort'!$C$" &amp; SMALL('Size, Schedule and Effort'!U:U,ROW()-18)),"")</f>
        <v/>
      </c>
      <c r="C74" s="14" t="str">
        <f ca="1">IF(M74&lt;&gt;"",IF(SUMIF('Size, Schedule and Effort'!$AV$3:$AV$496,M74,'Size, Schedule and Effort'!$AG$3:$AG$496)&lt;&gt;0,SUMIF('Size, Schedule and Effort'!$AV$3:$AV$496,M74,'Size, Schedule and Effort'!$AG$3:$AG$496),"NA"),"")</f>
        <v/>
      </c>
      <c r="D74" s="14" t="str">
        <f ca="1">IF(M74&lt;&gt;"",IF(SUMIF('Size, Schedule and Effort'!$AV$3:$AV$496,M74,'Size, Schedule and Effort'!$G$3:$G$496)&lt;&gt;0,SUMIF('Size, Schedule and Effort'!$AV$3:$AV$496,M74,'Size, Schedule and Effort'!$G$3:$G$496),"NA"),"")</f>
        <v/>
      </c>
      <c r="F74" s="3" t="str">
        <f t="shared" ca="1" si="8"/>
        <v/>
      </c>
      <c r="G74" s="19" t="str">
        <f t="shared" ca="1" si="9"/>
        <v/>
      </c>
      <c r="M74" s="8" t="str">
        <f ca="1">IF(COUNT('Size, Schedule and Effort'!U:U)&gt;=ROW()-18,INDIRECT("'Size, Schedule and Effort'!$BH$" &amp; SMALL('Size, Schedule and Effort'!U:U,ROW()-18)),"")</f>
        <v/>
      </c>
      <c r="N74" s="1" t="str">
        <f t="shared" si="2"/>
        <v/>
      </c>
      <c r="O74" s="23" t="str">
        <f t="shared" ca="1" si="3"/>
        <v/>
      </c>
      <c r="P74" s="1" t="str">
        <f t="shared" ca="1" si="10"/>
        <v/>
      </c>
      <c r="Q74" s="1" t="str">
        <f ca="1">IF(AND(A74&lt;&gt;"",D74&lt;&gt;"",D74&lt;&gt;"NA"),VLOOKUP(A74,'Size, Schedule and Effort'!$B$3:$AH$496,44,0),"")</f>
        <v/>
      </c>
      <c r="R74" s="1" t="str">
        <f t="shared" ca="1" si="4"/>
        <v/>
      </c>
    </row>
    <row r="75" spans="1:18" x14ac:dyDescent="0.2">
      <c r="A75" s="3" t="str">
        <f ca="1">IF(COUNT('Size, Schedule and Effort'!U:U)&gt;=ROW()-18,INDIRECT("'Size, Schedule and Effort'!$C$" &amp; SMALL('Size, Schedule and Effort'!U:U,ROW()-18)),"")</f>
        <v/>
      </c>
      <c r="C75" s="14" t="str">
        <f ca="1">IF(M75&lt;&gt;"",IF(SUMIF('Size, Schedule and Effort'!$AV$3:$AV$496,M75,'Size, Schedule and Effort'!$AG$3:$AG$496)&lt;&gt;0,SUMIF('Size, Schedule and Effort'!$AV$3:$AV$496,M75,'Size, Schedule and Effort'!$AG$3:$AG$496),"NA"),"")</f>
        <v/>
      </c>
      <c r="D75" s="14" t="str">
        <f ca="1">IF(M75&lt;&gt;"",IF(SUMIF('Size, Schedule and Effort'!$AV$3:$AV$496,M75,'Size, Schedule and Effort'!$G$3:$G$496)&lt;&gt;0,SUMIF('Size, Schedule and Effort'!$AV$3:$AV$496,M75,'Size, Schedule and Effort'!$G$3:$G$496),"NA"),"")</f>
        <v/>
      </c>
      <c r="F75" s="3" t="str">
        <f t="shared" ca="1" si="8"/>
        <v/>
      </c>
      <c r="G75" s="19" t="str">
        <f t="shared" ca="1" si="9"/>
        <v/>
      </c>
      <c r="M75" s="8" t="str">
        <f ca="1">IF(COUNT('Size, Schedule and Effort'!U:U)&gt;=ROW()-18,INDIRECT("'Size, Schedule and Effort'!$BH$" &amp; SMALL('Size, Schedule and Effort'!U:U,ROW()-18)),"")</f>
        <v/>
      </c>
      <c r="N75" s="1" t="str">
        <f t="shared" si="2"/>
        <v/>
      </c>
      <c r="O75" s="23" t="str">
        <f t="shared" ca="1" si="3"/>
        <v/>
      </c>
      <c r="P75" s="1" t="str">
        <f t="shared" ca="1" si="10"/>
        <v/>
      </c>
      <c r="Q75" s="1" t="str">
        <f ca="1">IF(AND(A75&lt;&gt;"",D75&lt;&gt;"",D75&lt;&gt;"NA"),VLOOKUP(A75,'Size, Schedule and Effort'!$B$3:$AH$496,44,0),"")</f>
        <v/>
      </c>
      <c r="R75" s="1" t="str">
        <f t="shared" ca="1" si="4"/>
        <v/>
      </c>
    </row>
    <row r="76" spans="1:18" x14ac:dyDescent="0.2">
      <c r="A76" s="3" t="str">
        <f ca="1">IF(COUNT('Size, Schedule and Effort'!U:U)&gt;=ROW()-18,INDIRECT("'Size, Schedule and Effort'!$C$" &amp; SMALL('Size, Schedule and Effort'!U:U,ROW()-18)),"")</f>
        <v/>
      </c>
      <c r="C76" s="14" t="str">
        <f ca="1">IF(M76&lt;&gt;"",IF(SUMIF('Size, Schedule and Effort'!$AV$3:$AV$496,M76,'Size, Schedule and Effort'!$AG$3:$AG$496)&lt;&gt;0,SUMIF('Size, Schedule and Effort'!$AV$3:$AV$496,M76,'Size, Schedule and Effort'!$AG$3:$AG$496),"NA"),"")</f>
        <v/>
      </c>
      <c r="D76" s="14" t="str">
        <f ca="1">IF(M76&lt;&gt;"",IF(SUMIF('Size, Schedule and Effort'!$AV$3:$AV$496,M76,'Size, Schedule and Effort'!$G$3:$G$496)&lt;&gt;0,SUMIF('Size, Schedule and Effort'!$AV$3:$AV$496,M76,'Size, Schedule and Effort'!$G$3:$G$496),"NA"),"")</f>
        <v/>
      </c>
      <c r="F76" s="3" t="str">
        <f t="shared" ca="1" si="8"/>
        <v/>
      </c>
      <c r="G76" s="19" t="str">
        <f t="shared" ca="1" si="9"/>
        <v/>
      </c>
      <c r="M76" s="8" t="str">
        <f ca="1">IF(COUNT('Size, Schedule and Effort'!U:U)&gt;=ROW()-18,INDIRECT("'Size, Schedule and Effort'!$BH$" &amp; SMALL('Size, Schedule and Effort'!U:U,ROW()-18)),"")</f>
        <v/>
      </c>
      <c r="N76" s="1" t="str">
        <f t="shared" si="2"/>
        <v/>
      </c>
      <c r="O76" s="23" t="str">
        <f t="shared" ca="1" si="3"/>
        <v/>
      </c>
      <c r="P76" s="1" t="str">
        <f t="shared" ca="1" si="10"/>
        <v/>
      </c>
      <c r="Q76" s="1" t="str">
        <f ca="1">IF(AND(A76&lt;&gt;"",D76&lt;&gt;"",D76&lt;&gt;"NA"),VLOOKUP(A76,'Size, Schedule and Effort'!$B$3:$AH$496,44,0),"")</f>
        <v/>
      </c>
      <c r="R76" s="1" t="str">
        <f t="shared" ca="1" si="4"/>
        <v/>
      </c>
    </row>
    <row r="77" spans="1:18" x14ac:dyDescent="0.2">
      <c r="A77" s="3" t="str">
        <f ca="1">IF(COUNT('Size, Schedule and Effort'!U:U)&gt;=ROW()-18,INDIRECT("'Size, Schedule and Effort'!$C$" &amp; SMALL('Size, Schedule and Effort'!U:U,ROW()-18)),"")</f>
        <v/>
      </c>
      <c r="C77" s="14" t="str">
        <f ca="1">IF(M77&lt;&gt;"",IF(SUMIF('Size, Schedule and Effort'!$AV$3:$AV$496,M77,'Size, Schedule and Effort'!$AG$3:$AG$496)&lt;&gt;0,SUMIF('Size, Schedule and Effort'!$AV$3:$AV$496,M77,'Size, Schedule and Effort'!$AG$3:$AG$496),"NA"),"")</f>
        <v/>
      </c>
      <c r="D77" s="14" t="str">
        <f ca="1">IF(M77&lt;&gt;"",IF(SUMIF('Size, Schedule and Effort'!$AV$3:$AV$496,M77,'Size, Schedule and Effort'!$G$3:$G$496)&lt;&gt;0,SUMIF('Size, Schedule and Effort'!$AV$3:$AV$496,M77,'Size, Schedule and Effort'!$G$3:$G$496),"NA"),"")</f>
        <v/>
      </c>
      <c r="F77" s="3" t="str">
        <f t="shared" ca="1" si="8"/>
        <v/>
      </c>
      <c r="G77" s="19" t="str">
        <f t="shared" ca="1" si="9"/>
        <v/>
      </c>
      <c r="M77" s="8" t="str">
        <f ca="1">IF(COUNT('Size, Schedule and Effort'!U:U)&gt;=ROW()-18,INDIRECT("'Size, Schedule and Effort'!$BH$" &amp; SMALL('Size, Schedule and Effort'!U:U,ROW()-18)),"")</f>
        <v/>
      </c>
      <c r="N77" s="1" t="str">
        <f t="shared" si="2"/>
        <v/>
      </c>
      <c r="O77" s="23" t="str">
        <f t="shared" ca="1" si="3"/>
        <v/>
      </c>
      <c r="P77" s="1" t="str">
        <f t="shared" ca="1" si="10"/>
        <v/>
      </c>
      <c r="Q77" s="1" t="str">
        <f ca="1">IF(AND(A77&lt;&gt;"",D77&lt;&gt;"",D77&lt;&gt;"NA"),VLOOKUP(A77,'Size, Schedule and Effort'!$B$3:$AH$496,44,0),"")</f>
        <v/>
      </c>
      <c r="R77" s="1" t="str">
        <f t="shared" ca="1" si="4"/>
        <v/>
      </c>
    </row>
    <row r="78" spans="1:18" x14ac:dyDescent="0.2">
      <c r="A78" s="3" t="str">
        <f ca="1">IF(COUNT('Size, Schedule and Effort'!U:U)&gt;=ROW()-18,INDIRECT("'Size, Schedule and Effort'!$C$" &amp; SMALL('Size, Schedule and Effort'!U:U,ROW()-18)),"")</f>
        <v/>
      </c>
      <c r="C78" s="14" t="str">
        <f ca="1">IF(M78&lt;&gt;"",IF(SUMIF('Size, Schedule and Effort'!$AV$3:$AV$496,M78,'Size, Schedule and Effort'!$AG$3:$AG$496)&lt;&gt;0,SUMIF('Size, Schedule and Effort'!$AV$3:$AV$496,M78,'Size, Schedule and Effort'!$AG$3:$AG$496),"NA"),"")</f>
        <v/>
      </c>
      <c r="D78" s="14" t="str">
        <f ca="1">IF(M78&lt;&gt;"",IF(SUMIF('Size, Schedule and Effort'!$AV$3:$AV$496,M78,'Size, Schedule and Effort'!$G$3:$G$496)&lt;&gt;0,SUMIF('Size, Schedule and Effort'!$AV$3:$AV$496,M78,'Size, Schedule and Effort'!$G$3:$G$496),"NA"),"")</f>
        <v/>
      </c>
      <c r="F78" s="3" t="str">
        <f t="shared" ca="1" si="8"/>
        <v/>
      </c>
      <c r="G78" s="19" t="str">
        <f t="shared" ca="1" si="9"/>
        <v/>
      </c>
      <c r="M78" s="8" t="str">
        <f ca="1">IF(COUNT('Size, Schedule and Effort'!U:U)&gt;=ROW()-18,INDIRECT("'Size, Schedule and Effort'!$BH$" &amp; SMALL('Size, Schedule and Effort'!U:U,ROW()-18)),"")</f>
        <v/>
      </c>
      <c r="N78" s="1" t="str">
        <f t="shared" si="2"/>
        <v/>
      </c>
      <c r="O78" s="23" t="str">
        <f t="shared" ca="1" si="3"/>
        <v/>
      </c>
      <c r="P78" s="1" t="str">
        <f t="shared" ca="1" si="10"/>
        <v/>
      </c>
      <c r="Q78" s="1" t="str">
        <f ca="1">IF(AND(A78&lt;&gt;"",D78&lt;&gt;"",D78&lt;&gt;"NA"),VLOOKUP(A78,'Size, Schedule and Effort'!$B$3:$AH$496,44,0),"")</f>
        <v/>
      </c>
      <c r="R78" s="1" t="str">
        <f t="shared" ca="1" si="4"/>
        <v/>
      </c>
    </row>
    <row r="79" spans="1:18" x14ac:dyDescent="0.2">
      <c r="A79" s="3" t="str">
        <f ca="1">IF(COUNT('Size, Schedule and Effort'!U:U)&gt;=ROW()-18,INDIRECT("'Size, Schedule and Effort'!$C$" &amp; SMALL('Size, Schedule and Effort'!U:U,ROW()-18)),"")</f>
        <v/>
      </c>
      <c r="C79" s="14" t="str">
        <f ca="1">IF(M79&lt;&gt;"",IF(SUMIF('Size, Schedule and Effort'!$AV$3:$AV$496,M79,'Size, Schedule and Effort'!$AG$3:$AG$496)&lt;&gt;0,SUMIF('Size, Schedule and Effort'!$AV$3:$AV$496,M79,'Size, Schedule and Effort'!$AG$3:$AG$496),"NA"),"")</f>
        <v/>
      </c>
      <c r="D79" s="14" t="str">
        <f ca="1">IF(M79&lt;&gt;"",IF(SUMIF('Size, Schedule and Effort'!$AV$3:$AV$496,M79,'Size, Schedule and Effort'!$G$3:$G$496)&lt;&gt;0,SUMIF('Size, Schedule and Effort'!$AV$3:$AV$496,M79,'Size, Schedule and Effort'!$G$3:$G$496),"NA"),"")</f>
        <v/>
      </c>
      <c r="F79" s="3" t="str">
        <f t="shared" ca="1" si="8"/>
        <v/>
      </c>
      <c r="G79" s="19" t="str">
        <f t="shared" ca="1" si="9"/>
        <v/>
      </c>
      <c r="M79" s="8" t="str">
        <f ca="1">IF(COUNT('Size, Schedule and Effort'!U:U)&gt;=ROW()-18,INDIRECT("'Size, Schedule and Effort'!$BH$" &amp; SMALL('Size, Schedule and Effort'!U:U,ROW()-18)),"")</f>
        <v/>
      </c>
      <c r="N79" s="1" t="str">
        <f t="shared" si="2"/>
        <v/>
      </c>
      <c r="O79" s="23" t="str">
        <f t="shared" ca="1" si="3"/>
        <v/>
      </c>
      <c r="P79" s="1" t="str">
        <f t="shared" ca="1" si="10"/>
        <v/>
      </c>
      <c r="Q79" s="1" t="str">
        <f ca="1">IF(AND(A79&lt;&gt;"",D79&lt;&gt;"",D79&lt;&gt;"NA"),VLOOKUP(A79,'Size, Schedule and Effort'!$B$3:$AH$496,44,0),"")</f>
        <v/>
      </c>
      <c r="R79" s="1" t="str">
        <f t="shared" ca="1" si="4"/>
        <v/>
      </c>
    </row>
    <row r="80" spans="1:18" x14ac:dyDescent="0.2">
      <c r="A80" s="3" t="str">
        <f ca="1">IF(COUNT('Size, Schedule and Effort'!U:U)&gt;=ROW()-18,INDIRECT("'Size, Schedule and Effort'!$C$" &amp; SMALL('Size, Schedule and Effort'!U:U,ROW()-18)),"")</f>
        <v/>
      </c>
      <c r="C80" s="14" t="str">
        <f ca="1">IF(M80&lt;&gt;"",IF(SUMIF('Size, Schedule and Effort'!$AV$3:$AV$496,M80,'Size, Schedule and Effort'!$AG$3:$AG$496)&lt;&gt;0,SUMIF('Size, Schedule and Effort'!$AV$3:$AV$496,M80,'Size, Schedule and Effort'!$AG$3:$AG$496),"NA"),"")</f>
        <v/>
      </c>
      <c r="D80" s="14" t="str">
        <f ca="1">IF(M80&lt;&gt;"",IF(SUMIF('Size, Schedule and Effort'!$AV$3:$AV$496,M80,'Size, Schedule and Effort'!$G$3:$G$496)&lt;&gt;0,SUMIF('Size, Schedule and Effort'!$AV$3:$AV$496,M80,'Size, Schedule and Effort'!$G$3:$G$496),"NA"),"")</f>
        <v/>
      </c>
      <c r="F80" s="3" t="str">
        <f t="shared" ca="1" si="8"/>
        <v/>
      </c>
      <c r="G80" s="19" t="str">
        <f t="shared" ca="1" si="9"/>
        <v/>
      </c>
      <c r="M80" s="8" t="str">
        <f ca="1">IF(COUNT('Size, Schedule and Effort'!U:U)&gt;=ROW()-18,INDIRECT("'Size, Schedule and Effort'!$BH$" &amp; SMALL('Size, Schedule and Effort'!U:U,ROW()-18)),"")</f>
        <v/>
      </c>
      <c r="N80" s="1" t="str">
        <f t="shared" si="2"/>
        <v/>
      </c>
      <c r="O80" s="23" t="str">
        <f t="shared" ca="1" si="3"/>
        <v/>
      </c>
      <c r="P80" s="1" t="str">
        <f t="shared" ca="1" si="10"/>
        <v/>
      </c>
      <c r="Q80" s="1" t="str">
        <f ca="1">IF(AND(A80&lt;&gt;"",D80&lt;&gt;"",D80&lt;&gt;"NA"),VLOOKUP(A80,'Size, Schedule and Effort'!$B$3:$AH$496,44,0),"")</f>
        <v/>
      </c>
      <c r="R80" s="1" t="str">
        <f t="shared" ca="1" si="4"/>
        <v/>
      </c>
    </row>
    <row r="81" spans="1:18" x14ac:dyDescent="0.2">
      <c r="A81" s="3" t="str">
        <f ca="1">IF(COUNT('Size, Schedule and Effort'!U:U)&gt;=ROW()-18,INDIRECT("'Size, Schedule and Effort'!$C$" &amp; SMALL('Size, Schedule and Effort'!U:U,ROW()-18)),"")</f>
        <v/>
      </c>
      <c r="C81" s="14" t="str">
        <f ca="1">IF(M81&lt;&gt;"",IF(SUMIF('Size, Schedule and Effort'!$AV$3:$AV$496,M81,'Size, Schedule and Effort'!$AG$3:$AG$496)&lt;&gt;0,SUMIF('Size, Schedule and Effort'!$AV$3:$AV$496,M81,'Size, Schedule and Effort'!$AG$3:$AG$496),"NA"),"")</f>
        <v/>
      </c>
      <c r="D81" s="14" t="str">
        <f ca="1">IF(M81&lt;&gt;"",IF(SUMIF('Size, Schedule and Effort'!$AV$3:$AV$496,M81,'Size, Schedule and Effort'!$G$3:$G$496)&lt;&gt;0,SUMIF('Size, Schedule and Effort'!$AV$3:$AV$496,M81,'Size, Schedule and Effort'!$G$3:$G$496),"NA"),"")</f>
        <v/>
      </c>
      <c r="F81" s="3" t="str">
        <f t="shared" ca="1" si="8"/>
        <v/>
      </c>
      <c r="G81" s="19" t="str">
        <f t="shared" ca="1" si="9"/>
        <v/>
      </c>
      <c r="M81" s="8" t="str">
        <f ca="1">IF(COUNT('Size, Schedule and Effort'!U:U)&gt;=ROW()-18,INDIRECT("'Size, Schedule and Effort'!$BH$" &amp; SMALL('Size, Schedule and Effort'!U:U,ROW()-18)),"")</f>
        <v/>
      </c>
      <c r="N81" s="1" t="str">
        <f t="shared" si="2"/>
        <v/>
      </c>
      <c r="O81" s="23" t="str">
        <f t="shared" ca="1" si="3"/>
        <v/>
      </c>
      <c r="P81" s="1" t="str">
        <f t="shared" ca="1" si="10"/>
        <v/>
      </c>
      <c r="Q81" s="1" t="str">
        <f ca="1">IF(AND(A81&lt;&gt;"",D81&lt;&gt;"",D81&lt;&gt;"NA"),VLOOKUP(A81,'Size, Schedule and Effort'!$B$3:$AH$496,44,0),"")</f>
        <v/>
      </c>
      <c r="R81" s="1" t="str">
        <f t="shared" ca="1" si="4"/>
        <v/>
      </c>
    </row>
    <row r="82" spans="1:18" x14ac:dyDescent="0.2">
      <c r="A82" s="3" t="str">
        <f ca="1">IF(COUNT('Size, Schedule and Effort'!U:U)&gt;=ROW()-18,INDIRECT("'Size, Schedule and Effort'!$C$" &amp; SMALL('Size, Schedule and Effort'!U:U,ROW()-18)),"")</f>
        <v/>
      </c>
      <c r="C82" s="14" t="str">
        <f ca="1">IF(M82&lt;&gt;"",IF(SUMIF('Size, Schedule and Effort'!$AV$3:$AV$496,M82,'Size, Schedule and Effort'!$AG$3:$AG$496)&lt;&gt;0,SUMIF('Size, Schedule and Effort'!$AV$3:$AV$496,M82,'Size, Schedule and Effort'!$AG$3:$AG$496),"NA"),"")</f>
        <v/>
      </c>
      <c r="D82" s="14" t="str">
        <f ca="1">IF(M82&lt;&gt;"",IF(SUMIF('Size, Schedule and Effort'!$AV$3:$AV$496,M82,'Size, Schedule and Effort'!$G$3:$G$496)&lt;&gt;0,SUMIF('Size, Schedule and Effort'!$AV$3:$AV$496,M82,'Size, Schedule and Effort'!$G$3:$G$496),"NA"),"")</f>
        <v/>
      </c>
      <c r="F82" s="3" t="str">
        <f t="shared" ca="1" si="8"/>
        <v/>
      </c>
      <c r="G82" s="19" t="str">
        <f t="shared" ca="1" si="9"/>
        <v/>
      </c>
      <c r="M82" s="8" t="str">
        <f ca="1">IF(COUNT('Size, Schedule and Effort'!U:U)&gt;=ROW()-18,INDIRECT("'Size, Schedule and Effort'!$BH$" &amp; SMALL('Size, Schedule and Effort'!U:U,ROW()-18)),"")</f>
        <v/>
      </c>
      <c r="N82" s="1" t="str">
        <f t="shared" si="2"/>
        <v/>
      </c>
      <c r="O82" s="23" t="str">
        <f t="shared" ca="1" si="3"/>
        <v/>
      </c>
      <c r="P82" s="1" t="str">
        <f t="shared" ca="1" si="10"/>
        <v/>
      </c>
      <c r="Q82" s="1" t="str">
        <f ca="1">IF(AND(A82&lt;&gt;"",D82&lt;&gt;"",D82&lt;&gt;"NA"),VLOOKUP(A82,'Size, Schedule and Effort'!$B$3:$AH$496,44,0),"")</f>
        <v/>
      </c>
      <c r="R82" s="1" t="str">
        <f t="shared" ca="1" si="4"/>
        <v/>
      </c>
    </row>
    <row r="83" spans="1:18" x14ac:dyDescent="0.2">
      <c r="A83" s="3" t="str">
        <f ca="1">IF(COUNT('Size, Schedule and Effort'!U:U)&gt;=ROW()-18,INDIRECT("'Size, Schedule and Effort'!$C$" &amp; SMALL('Size, Schedule and Effort'!U:U,ROW()-18)),"")</f>
        <v/>
      </c>
      <c r="C83" s="14" t="str">
        <f ca="1">IF(M83&lt;&gt;"",IF(SUMIF('Size, Schedule and Effort'!$AV$3:$AV$496,M83,'Size, Schedule and Effort'!$AG$3:$AG$496)&lt;&gt;0,SUMIF('Size, Schedule and Effort'!$AV$3:$AV$496,M83,'Size, Schedule and Effort'!$AG$3:$AG$496),"NA"),"")</f>
        <v/>
      </c>
      <c r="D83" s="14" t="str">
        <f ca="1">IF(M83&lt;&gt;"",IF(SUMIF('Size, Schedule and Effort'!$AV$3:$AV$496,M83,'Size, Schedule and Effort'!$G$3:$G$496)&lt;&gt;0,SUMIF('Size, Schedule and Effort'!$AV$3:$AV$496,M83,'Size, Schedule and Effort'!$G$3:$G$496),"NA"),"")</f>
        <v/>
      </c>
      <c r="F83" s="3" t="str">
        <f t="shared" ca="1" si="8"/>
        <v/>
      </c>
      <c r="G83" s="19" t="str">
        <f t="shared" ca="1" si="9"/>
        <v/>
      </c>
      <c r="M83" s="8" t="str">
        <f ca="1">IF(COUNT('Size, Schedule and Effort'!U:U)&gt;=ROW()-18,INDIRECT("'Size, Schedule and Effort'!$BH$" &amp; SMALL('Size, Schedule and Effort'!U:U,ROW()-18)),"")</f>
        <v/>
      </c>
      <c r="N83" s="1" t="str">
        <f t="shared" ref="N83:N117" si="11">IF($E83&lt;&gt;"",VLOOKUP($E83,$A$1:$B$7,2,0),"")</f>
        <v/>
      </c>
      <c r="O83" s="23" t="str">
        <f t="shared" ref="O83:O117" ca="1" si="12">IF($F83&lt;&gt;"",VLOOKUP($F83,$D$1:$E$8,2,0),"")</f>
        <v/>
      </c>
      <c r="P83" s="1" t="str">
        <f t="shared" ca="1" si="10"/>
        <v/>
      </c>
      <c r="Q83" s="1" t="str">
        <f ca="1">IF(AND(A83&lt;&gt;"",D83&lt;&gt;"",D83&lt;&gt;"NA"),VLOOKUP(A83,'Size, Schedule and Effort'!$B$3:$AH$496,44,0),"")</f>
        <v/>
      </c>
      <c r="R83" s="1" t="str">
        <f t="shared" ref="R83:R117" ca="1" si="13">IF(Q83&lt;&gt;"",IF(Q83&lt;5,1,IF(Q83&lt;10,2,IF(Q83&lt;15,3,IF(Q83&lt;20,4,IF(Q83&lt;25,5,IF(Q83&gt;=25,6,7)))))),"")</f>
        <v/>
      </c>
    </row>
    <row r="84" spans="1:18" x14ac:dyDescent="0.2">
      <c r="A84" s="3" t="str">
        <f ca="1">IF(COUNT('Size, Schedule and Effort'!U:U)&gt;=ROW()-18,INDIRECT("'Size, Schedule and Effort'!$C$" &amp; SMALL('Size, Schedule and Effort'!U:U,ROW()-18)),"")</f>
        <v/>
      </c>
      <c r="C84" s="14" t="str">
        <f ca="1">IF(M84&lt;&gt;"",IF(SUMIF('Size, Schedule and Effort'!$AV$3:$AV$496,M84,'Size, Schedule and Effort'!$AG$3:$AG$496)&lt;&gt;0,SUMIF('Size, Schedule and Effort'!$AV$3:$AV$496,M84,'Size, Schedule and Effort'!$AG$3:$AG$496),"NA"),"")</f>
        <v/>
      </c>
      <c r="D84" s="14" t="str">
        <f ca="1">IF(M84&lt;&gt;"",IF(SUMIF('Size, Schedule and Effort'!$AV$3:$AV$496,M84,'Size, Schedule and Effort'!$G$3:$G$496)&lt;&gt;0,SUMIF('Size, Schedule and Effort'!$AV$3:$AV$496,M84,'Size, Schedule and Effort'!$G$3:$G$496),"NA"),"")</f>
        <v/>
      </c>
      <c r="F84" s="3" t="str">
        <f t="shared" ca="1" si="8"/>
        <v/>
      </c>
      <c r="G84" s="19" t="str">
        <f t="shared" ca="1" si="9"/>
        <v/>
      </c>
      <c r="M84" s="8" t="str">
        <f ca="1">IF(COUNT('Size, Schedule and Effort'!U:U)&gt;=ROW()-18,INDIRECT("'Size, Schedule and Effort'!$BH$" &amp; SMALL('Size, Schedule and Effort'!U:U,ROW()-18)),"")</f>
        <v/>
      </c>
      <c r="N84" s="1" t="str">
        <f t="shared" si="11"/>
        <v/>
      </c>
      <c r="O84" s="23" t="str">
        <f t="shared" ca="1" si="12"/>
        <v/>
      </c>
      <c r="P84" s="1" t="str">
        <f t="shared" ca="1" si="10"/>
        <v/>
      </c>
      <c r="Q84" s="1" t="str">
        <f ca="1">IF(AND(A84&lt;&gt;"",D84&lt;&gt;"",D84&lt;&gt;"NA"),VLOOKUP(A84,'Size, Schedule and Effort'!$B$3:$AH$496,44,0),"")</f>
        <v/>
      </c>
      <c r="R84" s="1" t="str">
        <f t="shared" ca="1" si="13"/>
        <v/>
      </c>
    </row>
    <row r="85" spans="1:18" x14ac:dyDescent="0.2">
      <c r="A85" s="3" t="str">
        <f ca="1">IF(COUNT('Size, Schedule and Effort'!U:U)&gt;=ROW()-18,INDIRECT("'Size, Schedule and Effort'!$C$" &amp; SMALL('Size, Schedule and Effort'!U:U,ROW()-18)),"")</f>
        <v/>
      </c>
      <c r="C85" s="14" t="str">
        <f ca="1">IF(M85&lt;&gt;"",IF(SUMIF('Size, Schedule and Effort'!$AV$3:$AV$496,M85,'Size, Schedule and Effort'!$AG$3:$AG$496)&lt;&gt;0,SUMIF('Size, Schedule and Effort'!$AV$3:$AV$496,M85,'Size, Schedule and Effort'!$AG$3:$AG$496),"NA"),"")</f>
        <v/>
      </c>
      <c r="D85" s="14" t="str">
        <f ca="1">IF(M85&lt;&gt;"",IF(SUMIF('Size, Schedule and Effort'!$AV$3:$AV$496,M85,'Size, Schedule and Effort'!$G$3:$G$496)&lt;&gt;0,SUMIF('Size, Schedule and Effort'!$AV$3:$AV$496,M85,'Size, Schedule and Effort'!$G$3:$G$496),"NA"),"")</f>
        <v/>
      </c>
      <c r="F85" s="3" t="str">
        <f t="shared" ca="1" si="8"/>
        <v/>
      </c>
      <c r="G85" s="19" t="str">
        <f t="shared" ca="1" si="9"/>
        <v/>
      </c>
      <c r="M85" s="8" t="str">
        <f ca="1">IF(COUNT('Size, Schedule and Effort'!U:U)&gt;=ROW()-18,INDIRECT("'Size, Schedule and Effort'!$BH$" &amp; SMALL('Size, Schedule and Effort'!U:U,ROW()-18)),"")</f>
        <v/>
      </c>
      <c r="N85" s="1" t="str">
        <f t="shared" si="11"/>
        <v/>
      </c>
      <c r="O85" s="23" t="str">
        <f t="shared" ca="1" si="12"/>
        <v/>
      </c>
      <c r="P85" s="1" t="str">
        <f t="shared" ca="1" si="10"/>
        <v/>
      </c>
      <c r="Q85" s="1" t="str">
        <f ca="1">IF(AND(A85&lt;&gt;"",D85&lt;&gt;"",D85&lt;&gt;"NA"),VLOOKUP(A85,'Size, Schedule and Effort'!$B$3:$AH$496,44,0),"")</f>
        <v/>
      </c>
      <c r="R85" s="1" t="str">
        <f t="shared" ca="1" si="13"/>
        <v/>
      </c>
    </row>
    <row r="86" spans="1:18" x14ac:dyDescent="0.2">
      <c r="A86" s="3" t="str">
        <f ca="1">IF(COUNT('Size, Schedule and Effort'!U:U)&gt;=ROW()-18,INDIRECT("'Size, Schedule and Effort'!$C$" &amp; SMALL('Size, Schedule and Effort'!U:U,ROW()-18)),"")</f>
        <v/>
      </c>
      <c r="C86" s="14" t="str">
        <f ca="1">IF(M86&lt;&gt;"",IF(SUMIF('Size, Schedule and Effort'!$AV$3:$AV$496,M86,'Size, Schedule and Effort'!$AG$3:$AG$496)&lt;&gt;0,SUMIF('Size, Schedule and Effort'!$AV$3:$AV$496,M86,'Size, Schedule and Effort'!$AG$3:$AG$496),"NA"),"")</f>
        <v/>
      </c>
      <c r="D86" s="14" t="str">
        <f ca="1">IF(M86&lt;&gt;"",IF(SUMIF('Size, Schedule and Effort'!$AV$3:$AV$496,M86,'Size, Schedule and Effort'!$G$3:$G$496)&lt;&gt;0,SUMIF('Size, Schedule and Effort'!$AV$3:$AV$496,M86,'Size, Schedule and Effort'!$G$3:$G$496),"NA"),"")</f>
        <v/>
      </c>
      <c r="F86" s="3" t="str">
        <f t="shared" ca="1" si="8"/>
        <v/>
      </c>
      <c r="G86" s="19" t="str">
        <f t="shared" ca="1" si="9"/>
        <v/>
      </c>
      <c r="M86" s="8" t="str">
        <f ca="1">IF(COUNT('Size, Schedule and Effort'!U:U)&gt;=ROW()-18,INDIRECT("'Size, Schedule and Effort'!$BH$" &amp; SMALL('Size, Schedule and Effort'!U:U,ROW()-18)),"")</f>
        <v/>
      </c>
      <c r="N86" s="1" t="str">
        <f t="shared" si="11"/>
        <v/>
      </c>
      <c r="O86" s="23" t="str">
        <f t="shared" ca="1" si="12"/>
        <v/>
      </c>
      <c r="P86" s="1" t="str">
        <f t="shared" ca="1" si="10"/>
        <v/>
      </c>
      <c r="Q86" s="1" t="str">
        <f ca="1">IF(AND(A86&lt;&gt;"",D86&lt;&gt;"",D86&lt;&gt;"NA"),VLOOKUP(A86,'Size, Schedule and Effort'!$B$3:$AH$496,44,0),"")</f>
        <v/>
      </c>
      <c r="R86" s="1" t="str">
        <f t="shared" ca="1" si="13"/>
        <v/>
      </c>
    </row>
    <row r="87" spans="1:18" x14ac:dyDescent="0.2">
      <c r="A87" s="3" t="str">
        <f ca="1">IF(COUNT('Size, Schedule and Effort'!U:U)&gt;=ROW()-18,INDIRECT("'Size, Schedule and Effort'!$C$" &amp; SMALL('Size, Schedule and Effort'!U:U,ROW()-18)),"")</f>
        <v/>
      </c>
      <c r="C87" s="14" t="str">
        <f ca="1">IF(M87&lt;&gt;"",IF(SUMIF('Size, Schedule and Effort'!$AV$3:$AV$496,M87,'Size, Schedule and Effort'!$AG$3:$AG$496)&lt;&gt;0,SUMIF('Size, Schedule and Effort'!$AV$3:$AV$496,M87,'Size, Schedule and Effort'!$AG$3:$AG$496),"NA"),"")</f>
        <v/>
      </c>
      <c r="D87" s="14" t="str">
        <f ca="1">IF(M87&lt;&gt;"",IF(SUMIF('Size, Schedule and Effort'!$AV$3:$AV$496,M87,'Size, Schedule and Effort'!$G$3:$G$496)&lt;&gt;0,SUMIF('Size, Schedule and Effort'!$AV$3:$AV$496,M87,'Size, Schedule and Effort'!$G$3:$G$496),"NA"),"")</f>
        <v/>
      </c>
      <c r="F87" s="3" t="str">
        <f t="shared" ca="1" si="8"/>
        <v/>
      </c>
      <c r="G87" s="19" t="str">
        <f t="shared" ca="1" si="9"/>
        <v/>
      </c>
      <c r="M87" s="8" t="str">
        <f ca="1">IF(COUNT('Size, Schedule and Effort'!U:U)&gt;=ROW()-18,INDIRECT("'Size, Schedule and Effort'!$BH$" &amp; SMALL('Size, Schedule and Effort'!U:U,ROW()-18)),"")</f>
        <v/>
      </c>
      <c r="N87" s="1" t="str">
        <f t="shared" si="11"/>
        <v/>
      </c>
      <c r="O87" s="23" t="str">
        <f t="shared" ca="1" si="12"/>
        <v/>
      </c>
      <c r="P87" s="1" t="str">
        <f t="shared" ca="1" si="10"/>
        <v/>
      </c>
      <c r="Q87" s="1" t="str">
        <f ca="1">IF(AND(A87&lt;&gt;"",D87&lt;&gt;"",D87&lt;&gt;"NA"),VLOOKUP(A87,'Size, Schedule and Effort'!$B$3:$AH$496,44,0),"")</f>
        <v/>
      </c>
      <c r="R87" s="1" t="str">
        <f t="shared" ca="1" si="13"/>
        <v/>
      </c>
    </row>
    <row r="88" spans="1:18" x14ac:dyDescent="0.2">
      <c r="A88" s="3" t="str">
        <f ca="1">IF(COUNT('Size, Schedule and Effort'!U:U)&gt;=ROW()-18,INDIRECT("'Size, Schedule and Effort'!$C$" &amp; SMALL('Size, Schedule and Effort'!U:U,ROW()-18)),"")</f>
        <v/>
      </c>
      <c r="C88" s="14" t="str">
        <f ca="1">IF(M88&lt;&gt;"",IF(SUMIF('Size, Schedule and Effort'!$AV$3:$AV$496,M88,'Size, Schedule and Effort'!$AG$3:$AG$496)&lt;&gt;0,SUMIF('Size, Schedule and Effort'!$AV$3:$AV$496,M88,'Size, Schedule and Effort'!$AG$3:$AG$496),"NA"),"")</f>
        <v/>
      </c>
      <c r="D88" s="14" t="str">
        <f ca="1">IF(M88&lt;&gt;"",IF(SUMIF('Size, Schedule and Effort'!$AV$3:$AV$496,M88,'Size, Schedule and Effort'!$G$3:$G$496)&lt;&gt;0,SUMIF('Size, Schedule and Effort'!$AV$3:$AV$496,M88,'Size, Schedule and Effort'!$G$3:$G$496),"NA"),"")</f>
        <v/>
      </c>
      <c r="F88" s="3" t="str">
        <f t="shared" ca="1" si="8"/>
        <v/>
      </c>
      <c r="G88" s="19" t="str">
        <f t="shared" ca="1" si="9"/>
        <v/>
      </c>
      <c r="M88" s="8" t="str">
        <f ca="1">IF(COUNT('Size, Schedule and Effort'!U:U)&gt;=ROW()-18,INDIRECT("'Size, Schedule and Effort'!$BH$" &amp; SMALL('Size, Schedule and Effort'!U:U,ROW()-18)),"")</f>
        <v/>
      </c>
      <c r="N88" s="1" t="str">
        <f t="shared" si="11"/>
        <v/>
      </c>
      <c r="O88" s="23" t="str">
        <f t="shared" ca="1" si="12"/>
        <v/>
      </c>
      <c r="P88" s="1" t="str">
        <f t="shared" ca="1" si="10"/>
        <v/>
      </c>
      <c r="Q88" s="1" t="str">
        <f ca="1">IF(AND(A88&lt;&gt;"",D88&lt;&gt;"",D88&lt;&gt;"NA"),VLOOKUP(A88,'Size, Schedule and Effort'!$B$3:$AH$496,44,0),"")</f>
        <v/>
      </c>
      <c r="R88" s="1" t="str">
        <f t="shared" ca="1" si="13"/>
        <v/>
      </c>
    </row>
    <row r="89" spans="1:18" x14ac:dyDescent="0.2">
      <c r="A89" s="3" t="str">
        <f ca="1">IF(COUNT('Size, Schedule and Effort'!U:U)&gt;=ROW()-18,INDIRECT("'Size, Schedule and Effort'!$C$" &amp; SMALL('Size, Schedule and Effort'!U:U,ROW()-18)),"")</f>
        <v/>
      </c>
      <c r="C89" s="14" t="str">
        <f ca="1">IF(M89&lt;&gt;"",IF(SUMIF('Size, Schedule and Effort'!$AV$3:$AV$496,M89,'Size, Schedule and Effort'!$AG$3:$AG$496)&lt;&gt;0,SUMIF('Size, Schedule and Effort'!$AV$3:$AV$496,M89,'Size, Schedule and Effort'!$AG$3:$AG$496),"NA"),"")</f>
        <v/>
      </c>
      <c r="D89" s="14" t="str">
        <f ca="1">IF(M89&lt;&gt;"",IF(SUMIF('Size, Schedule and Effort'!$AV$3:$AV$496,M89,'Size, Schedule and Effort'!$G$3:$G$496)&lt;&gt;0,SUMIF('Size, Schedule and Effort'!$AV$3:$AV$496,M89,'Size, Schedule and Effort'!$G$3:$G$496),"NA"),"")</f>
        <v/>
      </c>
      <c r="F89" s="3" t="str">
        <f t="shared" ca="1" si="8"/>
        <v/>
      </c>
      <c r="G89" s="19" t="str">
        <f t="shared" ca="1" si="9"/>
        <v/>
      </c>
      <c r="M89" s="8" t="str">
        <f ca="1">IF(COUNT('Size, Schedule and Effort'!U:U)&gt;=ROW()-18,INDIRECT("'Size, Schedule and Effort'!$BH$" &amp; SMALL('Size, Schedule and Effort'!U:U,ROW()-18)),"")</f>
        <v/>
      </c>
      <c r="N89" s="1" t="str">
        <f t="shared" si="11"/>
        <v/>
      </c>
      <c r="O89" s="23" t="str">
        <f t="shared" ca="1" si="12"/>
        <v/>
      </c>
      <c r="P89" s="1" t="str">
        <f t="shared" ca="1" si="10"/>
        <v/>
      </c>
      <c r="Q89" s="1" t="str">
        <f ca="1">IF(AND(A89&lt;&gt;"",D89&lt;&gt;"",D89&lt;&gt;"NA"),VLOOKUP(A89,'Size, Schedule and Effort'!$B$3:$AH$496,44,0),"")</f>
        <v/>
      </c>
      <c r="R89" s="1" t="str">
        <f t="shared" ca="1" si="13"/>
        <v/>
      </c>
    </row>
    <row r="90" spans="1:18" x14ac:dyDescent="0.2">
      <c r="A90" s="3" t="str">
        <f ca="1">IF(COUNT('Size, Schedule and Effort'!U:U)&gt;=ROW()-18,INDIRECT("'Size, Schedule and Effort'!$C$" &amp; SMALL('Size, Schedule and Effort'!U:U,ROW()-18)),"")</f>
        <v/>
      </c>
      <c r="C90" s="14" t="str">
        <f ca="1">IF(M90&lt;&gt;"",IF(SUMIF('Size, Schedule and Effort'!$AV$3:$AV$496,M90,'Size, Schedule and Effort'!$AG$3:$AG$496)&lt;&gt;0,SUMIF('Size, Schedule and Effort'!$AV$3:$AV$496,M90,'Size, Schedule and Effort'!$AG$3:$AG$496),"NA"),"")</f>
        <v/>
      </c>
      <c r="D90" s="14" t="str">
        <f ca="1">IF(M90&lt;&gt;"",IF(SUMIF('Size, Schedule and Effort'!$AV$3:$AV$496,M90,'Size, Schedule and Effort'!$G$3:$G$496)&lt;&gt;0,SUMIF('Size, Schedule and Effort'!$AV$3:$AV$496,M90,'Size, Schedule and Effort'!$G$3:$G$496),"NA"),"")</f>
        <v/>
      </c>
      <c r="F90" s="3" t="str">
        <f t="shared" ca="1" si="8"/>
        <v/>
      </c>
      <c r="G90" s="19" t="str">
        <f t="shared" ca="1" si="9"/>
        <v/>
      </c>
      <c r="M90" s="8" t="str">
        <f ca="1">IF(COUNT('Size, Schedule and Effort'!U:U)&gt;=ROW()-18,INDIRECT("'Size, Schedule and Effort'!$BH$" &amp; SMALL('Size, Schedule and Effort'!U:U,ROW()-18)),"")</f>
        <v/>
      </c>
      <c r="N90" s="1" t="str">
        <f t="shared" si="11"/>
        <v/>
      </c>
      <c r="O90" s="23" t="str">
        <f t="shared" ca="1" si="12"/>
        <v/>
      </c>
      <c r="P90" s="1" t="str">
        <f t="shared" ca="1" si="10"/>
        <v/>
      </c>
      <c r="Q90" s="1" t="str">
        <f ca="1">IF(AND(A90&lt;&gt;"",D90&lt;&gt;"",D90&lt;&gt;"NA"),VLOOKUP(A90,'Size, Schedule and Effort'!$B$3:$AH$496,44,0),"")</f>
        <v/>
      </c>
      <c r="R90" s="1" t="str">
        <f t="shared" ca="1" si="13"/>
        <v/>
      </c>
    </row>
    <row r="91" spans="1:18" x14ac:dyDescent="0.2">
      <c r="A91" s="3" t="str">
        <f ca="1">IF(COUNT('Size, Schedule and Effort'!U:U)&gt;=ROW()-18,INDIRECT("'Size, Schedule and Effort'!$C$" &amp; SMALL('Size, Schedule and Effort'!U:U,ROW()-18)),"")</f>
        <v/>
      </c>
      <c r="C91" s="14" t="str">
        <f ca="1">IF(M91&lt;&gt;"",IF(SUMIF('Size, Schedule and Effort'!$AV$3:$AV$496,M91,'Size, Schedule and Effort'!$AG$3:$AG$496)&lt;&gt;0,SUMIF('Size, Schedule and Effort'!$AV$3:$AV$496,M91,'Size, Schedule and Effort'!$AG$3:$AG$496),"NA"),"")</f>
        <v/>
      </c>
      <c r="D91" s="14" t="str">
        <f ca="1">IF(M91&lt;&gt;"",IF(SUMIF('Size, Schedule and Effort'!$AV$3:$AV$496,M91,'Size, Schedule and Effort'!$G$3:$G$496)&lt;&gt;0,SUMIF('Size, Schedule and Effort'!$AV$3:$AV$496,M91,'Size, Schedule and Effort'!$G$3:$G$496),"NA"),"")</f>
        <v/>
      </c>
      <c r="F91" s="3" t="str">
        <f t="shared" ca="1" si="8"/>
        <v/>
      </c>
      <c r="G91" s="19" t="str">
        <f t="shared" ca="1" si="9"/>
        <v/>
      </c>
      <c r="M91" s="8" t="str">
        <f ca="1">IF(COUNT('Size, Schedule and Effort'!U:U)&gt;=ROW()-18,INDIRECT("'Size, Schedule and Effort'!$BH$" &amp; SMALL('Size, Schedule and Effort'!U:U,ROW()-18)),"")</f>
        <v/>
      </c>
      <c r="N91" s="1" t="str">
        <f t="shared" si="11"/>
        <v/>
      </c>
      <c r="O91" s="23" t="str">
        <f t="shared" ca="1" si="12"/>
        <v/>
      </c>
      <c r="P91" s="1" t="str">
        <f t="shared" ca="1" si="10"/>
        <v/>
      </c>
      <c r="Q91" s="1" t="str">
        <f ca="1">IF(AND(A91&lt;&gt;"",D91&lt;&gt;"",D91&lt;&gt;"NA"),VLOOKUP(A91,'Size, Schedule and Effort'!$B$3:$AH$496,44,0),"")</f>
        <v/>
      </c>
      <c r="R91" s="1" t="str">
        <f t="shared" ca="1" si="13"/>
        <v/>
      </c>
    </row>
    <row r="92" spans="1:18" x14ac:dyDescent="0.2">
      <c r="A92" s="3" t="str">
        <f ca="1">IF(COUNT('Size, Schedule and Effort'!U:U)&gt;=ROW()-18,INDIRECT("'Size, Schedule and Effort'!$C$" &amp; SMALL('Size, Schedule and Effort'!U:U,ROW()-18)),"")</f>
        <v/>
      </c>
      <c r="C92" s="14" t="str">
        <f ca="1">IF(M92&lt;&gt;"",IF(SUMIF('Size, Schedule and Effort'!$AV$3:$AV$496,M92,'Size, Schedule and Effort'!$AG$3:$AG$496)&lt;&gt;0,SUMIF('Size, Schedule and Effort'!$AV$3:$AV$496,M92,'Size, Schedule and Effort'!$AG$3:$AG$496),"NA"),"")</f>
        <v/>
      </c>
      <c r="D92" s="14" t="str">
        <f ca="1">IF(M92&lt;&gt;"",IF(SUMIF('Size, Schedule and Effort'!$AV$3:$AV$496,M92,'Size, Schedule and Effort'!$G$3:$G$496)&lt;&gt;0,SUMIF('Size, Schedule and Effort'!$AV$3:$AV$496,M92,'Size, Schedule and Effort'!$G$3:$G$496),"NA"),"")</f>
        <v/>
      </c>
      <c r="F92" s="3" t="str">
        <f t="shared" ca="1" si="8"/>
        <v/>
      </c>
      <c r="G92" s="19" t="str">
        <f t="shared" ca="1" si="9"/>
        <v/>
      </c>
      <c r="M92" s="8" t="str">
        <f ca="1">IF(COUNT('Size, Schedule and Effort'!U:U)&gt;=ROW()-18,INDIRECT("'Size, Schedule and Effort'!$BH$" &amp; SMALL('Size, Schedule and Effort'!U:U,ROW()-18)),"")</f>
        <v/>
      </c>
      <c r="N92" s="1" t="str">
        <f t="shared" si="11"/>
        <v/>
      </c>
      <c r="O92" s="23" t="str">
        <f t="shared" ca="1" si="12"/>
        <v/>
      </c>
      <c r="P92" s="1" t="str">
        <f t="shared" ca="1" si="10"/>
        <v/>
      </c>
      <c r="Q92" s="1" t="str">
        <f ca="1">IF(AND(A92&lt;&gt;"",D92&lt;&gt;"",D92&lt;&gt;"NA"),VLOOKUP(A92,'Size, Schedule and Effort'!$B$3:$AH$496,44,0),"")</f>
        <v/>
      </c>
      <c r="R92" s="1" t="str">
        <f t="shared" ca="1" si="13"/>
        <v/>
      </c>
    </row>
    <row r="93" spans="1:18" x14ac:dyDescent="0.2">
      <c r="A93" s="3" t="str">
        <f ca="1">IF(COUNT('Size, Schedule and Effort'!U:U)&gt;=ROW()-18,INDIRECT("'Size, Schedule and Effort'!$C$" &amp; SMALL('Size, Schedule and Effort'!U:U,ROW()-18)),"")</f>
        <v/>
      </c>
      <c r="C93" s="14" t="str">
        <f ca="1">IF(M93&lt;&gt;"",IF(SUMIF('Size, Schedule and Effort'!$AV$3:$AV$496,M93,'Size, Schedule and Effort'!$AG$3:$AG$496)&lt;&gt;0,SUMIF('Size, Schedule and Effort'!$AV$3:$AV$496,M93,'Size, Schedule and Effort'!$AG$3:$AG$496),"NA"),"")</f>
        <v/>
      </c>
      <c r="D93" s="14" t="str">
        <f ca="1">IF(M93&lt;&gt;"",IF(SUMIF('Size, Schedule and Effort'!$AV$3:$AV$496,M93,'Size, Schedule and Effort'!$G$3:$G$496)&lt;&gt;0,SUMIF('Size, Schedule and Effort'!$AV$3:$AV$496,M93,'Size, Schedule and Effort'!$G$3:$G$496),"NA"),"")</f>
        <v/>
      </c>
      <c r="F93" s="3" t="str">
        <f t="shared" ca="1" si="8"/>
        <v/>
      </c>
      <c r="G93" s="19" t="str">
        <f t="shared" ca="1" si="9"/>
        <v/>
      </c>
      <c r="M93" s="8" t="str">
        <f ca="1">IF(COUNT('Size, Schedule and Effort'!U:U)&gt;=ROW()-18,INDIRECT("'Size, Schedule and Effort'!$BH$" &amp; SMALL('Size, Schedule and Effort'!U:U,ROW()-18)),"")</f>
        <v/>
      </c>
      <c r="N93" s="1" t="str">
        <f t="shared" si="11"/>
        <v/>
      </c>
      <c r="O93" s="23" t="str">
        <f t="shared" ca="1" si="12"/>
        <v/>
      </c>
      <c r="P93" s="1" t="str">
        <f t="shared" ca="1" si="10"/>
        <v/>
      </c>
      <c r="Q93" s="1" t="str">
        <f ca="1">IF(AND(A93&lt;&gt;"",D93&lt;&gt;"",D93&lt;&gt;"NA"),VLOOKUP(A93,'Size, Schedule and Effort'!$B$3:$AH$496,44,0),"")</f>
        <v/>
      </c>
      <c r="R93" s="1" t="str">
        <f t="shared" ca="1" si="13"/>
        <v/>
      </c>
    </row>
    <row r="94" spans="1:18" x14ac:dyDescent="0.2">
      <c r="A94" s="3" t="str">
        <f ca="1">IF(COUNT('Size, Schedule and Effort'!U:U)&gt;=ROW()-18,INDIRECT("'Size, Schedule and Effort'!$C$" &amp; SMALL('Size, Schedule and Effort'!U:U,ROW()-18)),"")</f>
        <v/>
      </c>
      <c r="C94" s="14" t="str">
        <f ca="1">IF(M94&lt;&gt;"",IF(SUMIF('Size, Schedule and Effort'!$AV$3:$AV$496,M94,'Size, Schedule and Effort'!$AG$3:$AG$496)&lt;&gt;0,SUMIF('Size, Schedule and Effort'!$AV$3:$AV$496,M94,'Size, Schedule and Effort'!$AG$3:$AG$496),"NA"),"")</f>
        <v/>
      </c>
      <c r="D94" s="14" t="str">
        <f ca="1">IF(M94&lt;&gt;"",IF(SUMIF('Size, Schedule and Effort'!$AV$3:$AV$496,M94,'Size, Schedule and Effort'!$G$3:$G$496)&lt;&gt;0,SUMIF('Size, Schedule and Effort'!$AV$3:$AV$496,M94,'Size, Schedule and Effort'!$G$3:$G$496),"NA"),"")</f>
        <v/>
      </c>
      <c r="F94" s="3" t="str">
        <f t="shared" ca="1" si="8"/>
        <v/>
      </c>
      <c r="G94" s="19" t="str">
        <f t="shared" ca="1" si="9"/>
        <v/>
      </c>
      <c r="M94" s="8" t="str">
        <f ca="1">IF(COUNT('Size, Schedule and Effort'!U:U)&gt;=ROW()-18,INDIRECT("'Size, Schedule and Effort'!$BH$" &amp; SMALL('Size, Schedule and Effort'!U:U,ROW()-18)),"")</f>
        <v/>
      </c>
      <c r="N94" s="1" t="str">
        <f t="shared" si="11"/>
        <v/>
      </c>
      <c r="O94" s="23" t="str">
        <f t="shared" ca="1" si="12"/>
        <v/>
      </c>
      <c r="P94" s="1" t="str">
        <f t="shared" ca="1" si="10"/>
        <v/>
      </c>
      <c r="Q94" s="1" t="str">
        <f ca="1">IF(AND(A94&lt;&gt;"",D94&lt;&gt;"",D94&lt;&gt;"NA"),VLOOKUP(A94,'Size, Schedule and Effort'!$B$3:$AH$496,44,0),"")</f>
        <v/>
      </c>
      <c r="R94" s="1" t="str">
        <f t="shared" ca="1" si="13"/>
        <v/>
      </c>
    </row>
    <row r="95" spans="1:18" x14ac:dyDescent="0.2">
      <c r="A95" s="3" t="str">
        <f ca="1">IF(COUNT('Size, Schedule and Effort'!U:U)&gt;=ROW()-18,INDIRECT("'Size, Schedule and Effort'!$C$" &amp; SMALL('Size, Schedule and Effort'!U:U,ROW()-18)),"")</f>
        <v/>
      </c>
      <c r="C95" s="14" t="str">
        <f ca="1">IF(M95&lt;&gt;"",IF(SUMIF('Size, Schedule and Effort'!$AV$3:$AV$496,M95,'Size, Schedule and Effort'!$AG$3:$AG$496)&lt;&gt;0,SUMIF('Size, Schedule and Effort'!$AV$3:$AV$496,M95,'Size, Schedule and Effort'!$AG$3:$AG$496),"NA"),"")</f>
        <v/>
      </c>
      <c r="D95" s="14" t="str">
        <f ca="1">IF(M95&lt;&gt;"",IF(SUMIF('Size, Schedule and Effort'!$AV$3:$AV$496,M95,'Size, Schedule and Effort'!$G$3:$G$496)&lt;&gt;0,SUMIF('Size, Schedule and Effort'!$AV$3:$AV$496,M95,'Size, Schedule and Effort'!$G$3:$G$496),"NA"),"")</f>
        <v/>
      </c>
      <c r="F95" s="3" t="str">
        <f t="shared" ca="1" si="8"/>
        <v/>
      </c>
      <c r="G95" s="19" t="str">
        <f t="shared" ca="1" si="9"/>
        <v/>
      </c>
      <c r="M95" s="8" t="str">
        <f ca="1">IF(COUNT('Size, Schedule and Effort'!U:U)&gt;=ROW()-18,INDIRECT("'Size, Schedule and Effort'!$BH$" &amp; SMALL('Size, Schedule and Effort'!U:U,ROW()-18)),"")</f>
        <v/>
      </c>
      <c r="N95" s="1" t="str">
        <f t="shared" si="11"/>
        <v/>
      </c>
      <c r="O95" s="23" t="str">
        <f t="shared" ca="1" si="12"/>
        <v/>
      </c>
      <c r="P95" s="1" t="str">
        <f t="shared" ca="1" si="10"/>
        <v/>
      </c>
      <c r="Q95" s="1" t="str">
        <f ca="1">IF(AND(A95&lt;&gt;"",D95&lt;&gt;"",D95&lt;&gt;"NA"),VLOOKUP(A95,'Size, Schedule and Effort'!$B$3:$AH$496,44,0),"")</f>
        <v/>
      </c>
      <c r="R95" s="1" t="str">
        <f t="shared" ca="1" si="13"/>
        <v/>
      </c>
    </row>
    <row r="96" spans="1:18" x14ac:dyDescent="0.2">
      <c r="A96" s="3" t="str">
        <f ca="1">IF(COUNT('Size, Schedule and Effort'!U:U)&gt;=ROW()-18,INDIRECT("'Size, Schedule and Effort'!$C$" &amp; SMALL('Size, Schedule and Effort'!U:U,ROW()-18)),"")</f>
        <v/>
      </c>
      <c r="C96" s="14" t="str">
        <f ca="1">IF(M96&lt;&gt;"",IF(SUMIF('Size, Schedule and Effort'!$AV$3:$AV$496,M96,'Size, Schedule and Effort'!$AG$3:$AG$496)&lt;&gt;0,SUMIF('Size, Schedule and Effort'!$AV$3:$AV$496,M96,'Size, Schedule and Effort'!$AG$3:$AG$496),"NA"),"")</f>
        <v/>
      </c>
      <c r="D96" s="14" t="str">
        <f ca="1">IF(M96&lt;&gt;"",IF(SUMIF('Size, Schedule and Effort'!$AV$3:$AV$496,M96,'Size, Schedule and Effort'!$G$3:$G$496)&lt;&gt;0,SUMIF('Size, Schedule and Effort'!$AV$3:$AV$496,M96,'Size, Schedule and Effort'!$G$3:$G$496),"NA"),"")</f>
        <v/>
      </c>
      <c r="F96" s="3" t="str">
        <f t="shared" ca="1" si="8"/>
        <v/>
      </c>
      <c r="G96" s="19" t="str">
        <f t="shared" ca="1" si="9"/>
        <v/>
      </c>
      <c r="M96" s="8" t="str">
        <f ca="1">IF(COUNT('Size, Schedule and Effort'!U:U)&gt;=ROW()-18,INDIRECT("'Size, Schedule and Effort'!$BH$" &amp; SMALL('Size, Schedule and Effort'!U:U,ROW()-18)),"")</f>
        <v/>
      </c>
      <c r="N96" s="1" t="str">
        <f t="shared" si="11"/>
        <v/>
      </c>
      <c r="O96" s="23" t="str">
        <f t="shared" ca="1" si="12"/>
        <v/>
      </c>
      <c r="P96" s="1" t="str">
        <f t="shared" ca="1" si="10"/>
        <v/>
      </c>
      <c r="Q96" s="1" t="str">
        <f ca="1">IF(AND(A96&lt;&gt;"",D96&lt;&gt;"",D96&lt;&gt;"NA"),VLOOKUP(A96,'Size, Schedule and Effort'!$B$3:$AH$496,44,0),"")</f>
        <v/>
      </c>
      <c r="R96" s="1" t="str">
        <f t="shared" ca="1" si="13"/>
        <v/>
      </c>
    </row>
    <row r="97" spans="1:18" x14ac:dyDescent="0.2">
      <c r="A97" s="3" t="str">
        <f ca="1">IF(COUNT('Size, Schedule and Effort'!U:U)&gt;=ROW()-18,INDIRECT("'Size, Schedule and Effort'!$C$" &amp; SMALL('Size, Schedule and Effort'!U:U,ROW()-18)),"")</f>
        <v/>
      </c>
      <c r="C97" s="14" t="str">
        <f ca="1">IF(M97&lt;&gt;"",IF(SUMIF('Size, Schedule and Effort'!$AV$3:$AV$496,M97,'Size, Schedule and Effort'!$AG$3:$AG$496)&lt;&gt;0,SUMIF('Size, Schedule and Effort'!$AV$3:$AV$496,M97,'Size, Schedule and Effort'!$AG$3:$AG$496),"NA"),"")</f>
        <v/>
      </c>
      <c r="D97" s="14" t="str">
        <f ca="1">IF(M97&lt;&gt;"",IF(SUMIF('Size, Schedule and Effort'!$AV$3:$AV$496,M97,'Size, Schedule and Effort'!$G$3:$G$496)&lt;&gt;0,SUMIF('Size, Schedule and Effort'!$AV$3:$AV$496,M97,'Size, Schedule and Effort'!$G$3:$G$496),"NA"),"")</f>
        <v/>
      </c>
      <c r="F97" s="3" t="str">
        <f t="shared" ca="1" si="8"/>
        <v/>
      </c>
      <c r="G97" s="19" t="str">
        <f t="shared" ca="1" si="9"/>
        <v/>
      </c>
      <c r="M97" s="8" t="str">
        <f ca="1">IF(COUNT('Size, Schedule and Effort'!U:U)&gt;=ROW()-18,INDIRECT("'Size, Schedule and Effort'!$BH$" &amp; SMALL('Size, Schedule and Effort'!U:U,ROW()-18)),"")</f>
        <v/>
      </c>
      <c r="N97" s="1" t="str">
        <f t="shared" si="11"/>
        <v/>
      </c>
      <c r="O97" s="23" t="str">
        <f t="shared" ca="1" si="12"/>
        <v/>
      </c>
      <c r="P97" s="1" t="str">
        <f t="shared" ca="1" si="10"/>
        <v/>
      </c>
      <c r="Q97" s="1" t="str">
        <f ca="1">IF(AND(A97&lt;&gt;"",D97&lt;&gt;"",D97&lt;&gt;"NA"),VLOOKUP(A97,'Size, Schedule and Effort'!$B$3:$AH$496,44,0),"")</f>
        <v/>
      </c>
      <c r="R97" s="1" t="str">
        <f t="shared" ca="1" si="13"/>
        <v/>
      </c>
    </row>
    <row r="98" spans="1:18" x14ac:dyDescent="0.2">
      <c r="A98" s="3" t="str">
        <f ca="1">IF(COUNT('Size, Schedule and Effort'!U:U)&gt;=ROW()-18,INDIRECT("'Size, Schedule and Effort'!$C$" &amp; SMALL('Size, Schedule and Effort'!U:U,ROW()-18)),"")</f>
        <v/>
      </c>
      <c r="C98" s="14" t="str">
        <f ca="1">IF(M98&lt;&gt;"",IF(SUMIF('Size, Schedule and Effort'!$AV$3:$AV$496,M98,'Size, Schedule and Effort'!$AG$3:$AG$496)&lt;&gt;0,SUMIF('Size, Schedule and Effort'!$AV$3:$AV$496,M98,'Size, Schedule and Effort'!$AG$3:$AG$496),"NA"),"")</f>
        <v/>
      </c>
      <c r="D98" s="14" t="str">
        <f ca="1">IF(M98&lt;&gt;"",IF(SUMIF('Size, Schedule and Effort'!$AV$3:$AV$496,M98,'Size, Schedule and Effort'!$G$3:$G$496)&lt;&gt;0,SUMIF('Size, Schedule and Effort'!$AV$3:$AV$496,M98,'Size, Schedule and Effort'!$G$3:$G$496),"NA"),"")</f>
        <v/>
      </c>
      <c r="F98" s="3" t="str">
        <f t="shared" ca="1" si="8"/>
        <v/>
      </c>
      <c r="G98" s="19" t="str">
        <f t="shared" ca="1" si="9"/>
        <v/>
      </c>
      <c r="M98" s="8" t="str">
        <f ca="1">IF(COUNT('Size, Schedule and Effort'!U:U)&gt;=ROW()-18,INDIRECT("'Size, Schedule and Effort'!$BH$" &amp; SMALL('Size, Schedule and Effort'!U:U,ROW()-18)),"")</f>
        <v/>
      </c>
      <c r="N98" s="1" t="str">
        <f t="shared" si="11"/>
        <v/>
      </c>
      <c r="O98" s="23" t="str">
        <f t="shared" ca="1" si="12"/>
        <v/>
      </c>
      <c r="P98" s="1" t="str">
        <f t="shared" ca="1" si="10"/>
        <v/>
      </c>
      <c r="Q98" s="1" t="str">
        <f ca="1">IF(AND(A98&lt;&gt;"",D98&lt;&gt;"",D98&lt;&gt;"NA"),VLOOKUP(A98,'Size, Schedule and Effort'!$B$3:$AH$496,44,0),"")</f>
        <v/>
      </c>
      <c r="R98" s="1" t="str">
        <f t="shared" ca="1" si="13"/>
        <v/>
      </c>
    </row>
    <row r="99" spans="1:18" x14ac:dyDescent="0.2">
      <c r="A99" s="3" t="str">
        <f ca="1">IF(COUNT('Size, Schedule and Effort'!U:U)&gt;=ROW()-18,INDIRECT("'Size, Schedule and Effort'!$C$" &amp; SMALL('Size, Schedule and Effort'!U:U,ROW()-18)),"")</f>
        <v/>
      </c>
      <c r="C99" s="14" t="str">
        <f ca="1">IF(M99&lt;&gt;"",IF(SUMIF('Size, Schedule and Effort'!$AV$3:$AV$496,M99,'Size, Schedule and Effort'!$AG$3:$AG$496)&lt;&gt;0,SUMIF('Size, Schedule and Effort'!$AV$3:$AV$496,M99,'Size, Schedule and Effort'!$AG$3:$AG$496),"NA"),"")</f>
        <v/>
      </c>
      <c r="D99" s="14" t="str">
        <f ca="1">IF(M99&lt;&gt;"",IF(SUMIF('Size, Schedule and Effort'!$AV$3:$AV$496,M99,'Size, Schedule and Effort'!$G$3:$G$496)&lt;&gt;0,SUMIF('Size, Schedule and Effort'!$AV$3:$AV$496,M99,'Size, Schedule and Effort'!$G$3:$G$496),"NA"),"")</f>
        <v/>
      </c>
      <c r="F99" s="3" t="str">
        <f t="shared" ca="1" si="8"/>
        <v/>
      </c>
      <c r="G99" s="19" t="str">
        <f t="shared" ca="1" si="9"/>
        <v/>
      </c>
      <c r="M99" s="8" t="str">
        <f ca="1">IF(COUNT('Size, Schedule and Effort'!U:U)&gt;=ROW()-18,INDIRECT("'Size, Schedule and Effort'!$BH$" &amp; SMALL('Size, Schedule and Effort'!U:U,ROW()-18)),"")</f>
        <v/>
      </c>
      <c r="N99" s="1" t="str">
        <f t="shared" si="11"/>
        <v/>
      </c>
      <c r="O99" s="23" t="str">
        <f t="shared" ca="1" si="12"/>
        <v/>
      </c>
      <c r="P99" s="1" t="str">
        <f t="shared" ca="1" si="10"/>
        <v/>
      </c>
      <c r="Q99" s="1" t="str">
        <f ca="1">IF(AND(A99&lt;&gt;"",D99&lt;&gt;"",D99&lt;&gt;"NA"),VLOOKUP(A99,'Size, Schedule and Effort'!$B$3:$AH$496,44,0),"")</f>
        <v/>
      </c>
      <c r="R99" s="1" t="str">
        <f t="shared" ca="1" si="13"/>
        <v/>
      </c>
    </row>
    <row r="100" spans="1:18" x14ac:dyDescent="0.2">
      <c r="A100" s="3" t="str">
        <f ca="1">IF(COUNT('Size, Schedule and Effort'!U:U)&gt;=ROW()-18,INDIRECT("'Size, Schedule and Effort'!$C$" &amp; SMALL('Size, Schedule and Effort'!U:U,ROW()-18)),"")</f>
        <v/>
      </c>
      <c r="C100" s="14" t="str">
        <f ca="1">IF(M100&lt;&gt;"",IF(SUMIF('Size, Schedule and Effort'!$AV$3:$AV$496,M100,'Size, Schedule and Effort'!$AG$3:$AG$496)&lt;&gt;0,SUMIF('Size, Schedule and Effort'!$AV$3:$AV$496,M100,'Size, Schedule and Effort'!$AG$3:$AG$496),"NA"),"")</f>
        <v/>
      </c>
      <c r="D100" s="14" t="str">
        <f ca="1">IF(M100&lt;&gt;"",IF(SUMIF('Size, Schedule and Effort'!$AV$3:$AV$496,M100,'Size, Schedule and Effort'!$G$3:$G$496)&lt;&gt;0,SUMIF('Size, Schedule and Effort'!$AV$3:$AV$496,M100,'Size, Schedule and Effort'!$G$3:$G$496),"NA"),"")</f>
        <v/>
      </c>
      <c r="F100" s="3" t="str">
        <f t="shared" ca="1" si="8"/>
        <v/>
      </c>
      <c r="G100" s="19" t="str">
        <f t="shared" ca="1" si="9"/>
        <v/>
      </c>
      <c r="M100" s="8" t="str">
        <f ca="1">IF(COUNT('Size, Schedule and Effort'!U:U)&gt;=ROW()-18,INDIRECT("'Size, Schedule and Effort'!$BH$" &amp; SMALL('Size, Schedule and Effort'!U:U,ROW()-18)),"")</f>
        <v/>
      </c>
      <c r="N100" s="1" t="str">
        <f t="shared" si="11"/>
        <v/>
      </c>
      <c r="O100" s="23" t="str">
        <f t="shared" ca="1" si="12"/>
        <v/>
      </c>
      <c r="P100" s="1" t="str">
        <f t="shared" ca="1" si="10"/>
        <v/>
      </c>
      <c r="Q100" s="1" t="str">
        <f ca="1">IF(AND(A100&lt;&gt;"",D100&lt;&gt;"",D100&lt;&gt;"NA"),VLOOKUP(A100,'Size, Schedule and Effort'!$B$3:$AH$496,44,0),"")</f>
        <v/>
      </c>
      <c r="R100" s="1" t="str">
        <f t="shared" ca="1" si="13"/>
        <v/>
      </c>
    </row>
    <row r="101" spans="1:18" x14ac:dyDescent="0.2">
      <c r="A101" s="3" t="str">
        <f ca="1">IF(COUNT('Size, Schedule and Effort'!U:U)&gt;=ROW()-18,INDIRECT("'Size, Schedule and Effort'!$C$" &amp; SMALL('Size, Schedule and Effort'!U:U,ROW()-18)),"")</f>
        <v/>
      </c>
      <c r="C101" s="14" t="str">
        <f ca="1">IF(M101&lt;&gt;"",IF(SUMIF('Size, Schedule and Effort'!$AV$3:$AV$496,M101,'Size, Schedule and Effort'!$AG$3:$AG$496)&lt;&gt;0,SUMIF('Size, Schedule and Effort'!$AV$3:$AV$496,M101,'Size, Schedule and Effort'!$AG$3:$AG$496),"NA"),"")</f>
        <v/>
      </c>
      <c r="D101" s="14" t="str">
        <f ca="1">IF(M101&lt;&gt;"",IF(SUMIF('Size, Schedule and Effort'!$AV$3:$AV$496,M101,'Size, Schedule and Effort'!$G$3:$G$496)&lt;&gt;0,SUMIF('Size, Schedule and Effort'!$AV$3:$AV$496,M101,'Size, Schedule and Effort'!$G$3:$G$496),"NA"),"")</f>
        <v/>
      </c>
      <c r="F101" s="3" t="str">
        <f t="shared" ca="1" si="8"/>
        <v/>
      </c>
      <c r="G101" s="19" t="str">
        <f t="shared" ca="1" si="9"/>
        <v/>
      </c>
      <c r="M101" s="8" t="str">
        <f ca="1">IF(COUNT('Size, Schedule and Effort'!U:U)&gt;=ROW()-18,INDIRECT("'Size, Schedule and Effort'!$BH$" &amp; SMALL('Size, Schedule and Effort'!U:U,ROW()-18)),"")</f>
        <v/>
      </c>
      <c r="N101" s="1" t="str">
        <f t="shared" si="11"/>
        <v/>
      </c>
      <c r="O101" s="23" t="str">
        <f t="shared" ca="1" si="12"/>
        <v/>
      </c>
      <c r="P101" s="1" t="str">
        <f t="shared" ca="1" si="10"/>
        <v/>
      </c>
      <c r="Q101" s="1" t="str">
        <f ca="1">IF(AND(A101&lt;&gt;"",D101&lt;&gt;"",D101&lt;&gt;"NA"),VLOOKUP(A101,'Size, Schedule and Effort'!$B$3:$AH$496,44,0),"")</f>
        <v/>
      </c>
      <c r="R101" s="1" t="str">
        <f t="shared" ca="1" si="13"/>
        <v/>
      </c>
    </row>
    <row r="102" spans="1:18" x14ac:dyDescent="0.2">
      <c r="A102" s="3" t="str">
        <f ca="1">IF(COUNT('Size, Schedule and Effort'!U:U)&gt;=ROW()-18,INDIRECT("'Size, Schedule and Effort'!$C$" &amp; SMALL('Size, Schedule and Effort'!U:U,ROW()-18)),"")</f>
        <v/>
      </c>
      <c r="C102" s="14" t="str">
        <f ca="1">IF(M102&lt;&gt;"",IF(SUMIF('Size, Schedule and Effort'!$AV$3:$AV$496,M102,'Size, Schedule and Effort'!$AG$3:$AG$496)&lt;&gt;0,SUMIF('Size, Schedule and Effort'!$AV$3:$AV$496,M102,'Size, Schedule and Effort'!$AG$3:$AG$496),"NA"),"")</f>
        <v/>
      </c>
      <c r="D102" s="14" t="str">
        <f ca="1">IF(M102&lt;&gt;"",IF(SUMIF('Size, Schedule and Effort'!$AV$3:$AV$496,M102,'Size, Schedule and Effort'!$G$3:$G$496)&lt;&gt;0,SUMIF('Size, Schedule and Effort'!$AV$3:$AV$496,M102,'Size, Schedule and Effort'!$G$3:$G$496),"NA"),"")</f>
        <v/>
      </c>
      <c r="F102" s="3" t="str">
        <f t="shared" ca="1" si="8"/>
        <v/>
      </c>
      <c r="G102" s="19" t="str">
        <f t="shared" ca="1" si="9"/>
        <v/>
      </c>
      <c r="M102" s="8" t="str">
        <f ca="1">IF(COUNT('Size, Schedule and Effort'!U:U)&gt;=ROW()-18,INDIRECT("'Size, Schedule and Effort'!$BH$" &amp; SMALL('Size, Schedule and Effort'!U:U,ROW()-18)),"")</f>
        <v/>
      </c>
      <c r="N102" s="1" t="str">
        <f t="shared" si="11"/>
        <v/>
      </c>
      <c r="O102" s="23" t="str">
        <f t="shared" ca="1" si="12"/>
        <v/>
      </c>
      <c r="P102" s="1" t="str">
        <f t="shared" ca="1" si="10"/>
        <v/>
      </c>
      <c r="Q102" s="1" t="str">
        <f ca="1">IF(AND(A102&lt;&gt;"",D102&lt;&gt;"",D102&lt;&gt;"NA"),VLOOKUP(A102,'Size, Schedule and Effort'!$B$3:$AH$496,44,0),"")</f>
        <v/>
      </c>
      <c r="R102" s="1" t="str">
        <f t="shared" ca="1" si="13"/>
        <v/>
      </c>
    </row>
    <row r="103" spans="1:18" x14ac:dyDescent="0.2">
      <c r="A103" s="3" t="str">
        <f ca="1">IF(COUNT('Size, Schedule and Effort'!U:U)&gt;=ROW()-18,INDIRECT("'Size, Schedule and Effort'!$C$" &amp; SMALL('Size, Schedule and Effort'!U:U,ROW()-18)),"")</f>
        <v/>
      </c>
      <c r="C103" s="14" t="str">
        <f ca="1">IF(M103&lt;&gt;"",IF(SUMIF('Size, Schedule and Effort'!$AV$3:$AV$496,M103,'Size, Schedule and Effort'!$AG$3:$AG$496)&lt;&gt;0,SUMIF('Size, Schedule and Effort'!$AV$3:$AV$496,M103,'Size, Schedule and Effort'!$AG$3:$AG$496),"NA"),"")</f>
        <v/>
      </c>
      <c r="D103" s="14" t="str">
        <f ca="1">IF(M103&lt;&gt;"",IF(SUMIF('Size, Schedule and Effort'!$AV$3:$AV$496,M103,'Size, Schedule and Effort'!$G$3:$G$496)&lt;&gt;0,SUMIF('Size, Schedule and Effort'!$AV$3:$AV$496,M103,'Size, Schedule and Effort'!$G$3:$G$496),"NA"),"")</f>
        <v/>
      </c>
      <c r="F103" s="3" t="str">
        <f t="shared" ca="1" si="8"/>
        <v/>
      </c>
      <c r="G103" s="19" t="str">
        <f t="shared" ca="1" si="9"/>
        <v/>
      </c>
      <c r="M103" s="8" t="str">
        <f ca="1">IF(COUNT('Size, Schedule and Effort'!U:U)&gt;=ROW()-18,INDIRECT("'Size, Schedule and Effort'!$BH$" &amp; SMALL('Size, Schedule and Effort'!U:U,ROW()-18)),"")</f>
        <v/>
      </c>
      <c r="N103" s="1" t="str">
        <f t="shared" si="11"/>
        <v/>
      </c>
      <c r="O103" s="23" t="str">
        <f t="shared" ca="1" si="12"/>
        <v/>
      </c>
      <c r="P103" s="1" t="str">
        <f t="shared" ca="1" si="10"/>
        <v/>
      </c>
      <c r="Q103" s="1" t="str">
        <f ca="1">IF(AND(A103&lt;&gt;"",D103&lt;&gt;"",D103&lt;&gt;"NA"),VLOOKUP(A103,'Size, Schedule and Effort'!$B$3:$AH$496,44,0),"")</f>
        <v/>
      </c>
      <c r="R103" s="1" t="str">
        <f t="shared" ca="1" si="13"/>
        <v/>
      </c>
    </row>
    <row r="104" spans="1:18" x14ac:dyDescent="0.2">
      <c r="A104" s="3" t="str">
        <f ca="1">IF(COUNT('Size, Schedule and Effort'!U:U)&gt;=ROW()-18,INDIRECT("'Size, Schedule and Effort'!$C$" &amp; SMALL('Size, Schedule and Effort'!U:U,ROW()-18)),"")</f>
        <v/>
      </c>
      <c r="C104" s="14" t="str">
        <f ca="1">IF(M104&lt;&gt;"",IF(SUMIF('Size, Schedule and Effort'!$AV$3:$AV$496,M104,'Size, Schedule and Effort'!$AG$3:$AG$496)&lt;&gt;0,SUMIF('Size, Schedule and Effort'!$AV$3:$AV$496,M104,'Size, Schedule and Effort'!$AG$3:$AG$496),"NA"),"")</f>
        <v/>
      </c>
      <c r="D104" s="14" t="str">
        <f ca="1">IF(M104&lt;&gt;"",IF(SUMIF('Size, Schedule and Effort'!$AV$3:$AV$496,M104,'Size, Schedule and Effort'!$G$3:$G$496)&lt;&gt;0,SUMIF('Size, Schedule and Effort'!$AV$3:$AV$496,M104,'Size, Schedule and Effort'!$G$3:$G$496),"NA"),"")</f>
        <v/>
      </c>
      <c r="F104" s="3" t="str">
        <f t="shared" ca="1" si="8"/>
        <v/>
      </c>
      <c r="G104" s="19" t="str">
        <f t="shared" ca="1" si="9"/>
        <v/>
      </c>
      <c r="M104" s="8" t="str">
        <f ca="1">IF(COUNT('Size, Schedule and Effort'!U:U)&gt;=ROW()-18,INDIRECT("'Size, Schedule and Effort'!$BH$" &amp; SMALL('Size, Schedule and Effort'!U:U,ROW()-18)),"")</f>
        <v/>
      </c>
      <c r="N104" s="1" t="str">
        <f t="shared" si="11"/>
        <v/>
      </c>
      <c r="O104" s="23" t="str">
        <f t="shared" ca="1" si="12"/>
        <v/>
      </c>
      <c r="P104" s="1" t="str">
        <f t="shared" ca="1" si="10"/>
        <v/>
      </c>
      <c r="Q104" s="1" t="str">
        <f ca="1">IF(AND(A104&lt;&gt;"",D104&lt;&gt;"",D104&lt;&gt;"NA"),VLOOKUP(A104,'Size, Schedule and Effort'!$B$3:$AH$496,44,0),"")</f>
        <v/>
      </c>
      <c r="R104" s="1" t="str">
        <f t="shared" ca="1" si="13"/>
        <v/>
      </c>
    </row>
    <row r="105" spans="1:18" x14ac:dyDescent="0.2">
      <c r="A105" s="3" t="str">
        <f ca="1">IF(COUNT('Size, Schedule and Effort'!U:U)&gt;=ROW()-18,INDIRECT("'Size, Schedule and Effort'!$C$" &amp; SMALL('Size, Schedule and Effort'!U:U,ROW()-18)),"")</f>
        <v/>
      </c>
      <c r="C105" s="14" t="str">
        <f ca="1">IF(M105&lt;&gt;"",IF(SUMIF('Size, Schedule and Effort'!$AV$3:$AV$496,M105,'Size, Schedule and Effort'!$AG$3:$AG$496)&lt;&gt;0,SUMIF('Size, Schedule and Effort'!$AV$3:$AV$496,M105,'Size, Schedule and Effort'!$AG$3:$AG$496),"NA"),"")</f>
        <v/>
      </c>
      <c r="D105" s="14" t="str">
        <f ca="1">IF(M105&lt;&gt;"",IF(SUMIF('Size, Schedule and Effort'!$AV$3:$AV$496,M105,'Size, Schedule and Effort'!$G$3:$G$496)&lt;&gt;0,SUMIF('Size, Schedule and Effort'!$AV$3:$AV$496,M105,'Size, Schedule and Effort'!$G$3:$G$496),"NA"),"")</f>
        <v/>
      </c>
      <c r="F105" s="3" t="str">
        <f t="shared" ca="1" si="8"/>
        <v/>
      </c>
      <c r="G105" s="19" t="str">
        <f t="shared" ca="1" si="9"/>
        <v/>
      </c>
      <c r="M105" s="8" t="str">
        <f ca="1">IF(COUNT('Size, Schedule and Effort'!U:U)&gt;=ROW()-18,INDIRECT("'Size, Schedule and Effort'!$BH$" &amp; SMALL('Size, Schedule and Effort'!U:U,ROW()-18)),"")</f>
        <v/>
      </c>
      <c r="N105" s="1" t="str">
        <f t="shared" si="11"/>
        <v/>
      </c>
      <c r="O105" s="23" t="str">
        <f t="shared" ca="1" si="12"/>
        <v/>
      </c>
      <c r="P105" s="1" t="str">
        <f t="shared" ca="1" si="10"/>
        <v/>
      </c>
      <c r="Q105" s="1" t="str">
        <f ca="1">IF(AND(A105&lt;&gt;"",D105&lt;&gt;"",D105&lt;&gt;"NA"),VLOOKUP(A105,'Size, Schedule and Effort'!$B$3:$AH$496,44,0),"")</f>
        <v/>
      </c>
      <c r="R105" s="1" t="str">
        <f t="shared" ca="1" si="13"/>
        <v/>
      </c>
    </row>
    <row r="106" spans="1:18" x14ac:dyDescent="0.2">
      <c r="A106" s="3" t="str">
        <f ca="1">IF(COUNT('Size, Schedule and Effort'!U:U)&gt;=ROW()-18,INDIRECT("'Size, Schedule and Effort'!$C$" &amp; SMALL('Size, Schedule and Effort'!U:U,ROW()-18)),"")</f>
        <v/>
      </c>
      <c r="C106" s="14" t="str">
        <f ca="1">IF(M106&lt;&gt;"",IF(SUMIF('Size, Schedule and Effort'!$AV$3:$AV$496,M106,'Size, Schedule and Effort'!$AG$3:$AG$496)&lt;&gt;0,SUMIF('Size, Schedule and Effort'!$AV$3:$AV$496,M106,'Size, Schedule and Effort'!$AG$3:$AG$496),"NA"),"")</f>
        <v/>
      </c>
      <c r="D106" s="14" t="str">
        <f ca="1">IF(M106&lt;&gt;"",IF(SUMIF('Size, Schedule and Effort'!$AV$3:$AV$496,M106,'Size, Schedule and Effort'!$G$3:$G$496)&lt;&gt;0,SUMIF('Size, Schedule and Effort'!$AV$3:$AV$496,M106,'Size, Schedule and Effort'!$G$3:$G$496),"NA"),"")</f>
        <v/>
      </c>
      <c r="F106" s="3" t="str">
        <f t="shared" ca="1" si="8"/>
        <v/>
      </c>
      <c r="G106" s="19" t="str">
        <f t="shared" ca="1" si="9"/>
        <v/>
      </c>
      <c r="M106" s="8" t="str">
        <f ca="1">IF(COUNT('Size, Schedule and Effort'!U:U)&gt;=ROW()-18,INDIRECT("'Size, Schedule and Effort'!$BH$" &amp; SMALL('Size, Schedule and Effort'!U:U,ROW()-18)),"")</f>
        <v/>
      </c>
      <c r="N106" s="1" t="str">
        <f t="shared" si="11"/>
        <v/>
      </c>
      <c r="O106" s="23" t="str">
        <f t="shared" ca="1" si="12"/>
        <v/>
      </c>
      <c r="P106" s="1" t="str">
        <f t="shared" ca="1" si="10"/>
        <v/>
      </c>
      <c r="Q106" s="1" t="str">
        <f ca="1">IF(AND(A106&lt;&gt;"",D106&lt;&gt;"",D106&lt;&gt;"NA"),VLOOKUP(A106,'Size, Schedule and Effort'!$B$3:$AH$496,44,0),"")</f>
        <v/>
      </c>
      <c r="R106" s="1" t="str">
        <f t="shared" ca="1" si="13"/>
        <v/>
      </c>
    </row>
    <row r="107" spans="1:18" x14ac:dyDescent="0.2">
      <c r="A107" s="3" t="str">
        <f ca="1">IF(COUNT('Size, Schedule and Effort'!U:U)&gt;=ROW()-18,INDIRECT("'Size, Schedule and Effort'!$C$" &amp; SMALL('Size, Schedule and Effort'!U:U,ROW()-18)),"")</f>
        <v/>
      </c>
      <c r="C107" s="14" t="str">
        <f ca="1">IF(M107&lt;&gt;"",IF(SUMIF('Size, Schedule and Effort'!$AV$3:$AV$496,M107,'Size, Schedule and Effort'!$AG$3:$AG$496)&lt;&gt;0,SUMIF('Size, Schedule and Effort'!$AV$3:$AV$496,M107,'Size, Schedule and Effort'!$AG$3:$AG$496),"NA"),"")</f>
        <v/>
      </c>
      <c r="D107" s="14" t="str">
        <f ca="1">IF(M107&lt;&gt;"",IF(SUMIF('Size, Schedule and Effort'!$AV$3:$AV$496,M107,'Size, Schedule and Effort'!$G$3:$G$496)&lt;&gt;0,SUMIF('Size, Schedule and Effort'!$AV$3:$AV$496,M107,'Size, Schedule and Effort'!$G$3:$G$496),"NA"),"")</f>
        <v/>
      </c>
      <c r="F107" s="3" t="str">
        <f t="shared" ca="1" si="8"/>
        <v/>
      </c>
      <c r="G107" s="19" t="str">
        <f t="shared" ca="1" si="9"/>
        <v/>
      </c>
      <c r="M107" s="8" t="str">
        <f ca="1">IF(COUNT('Size, Schedule and Effort'!U:U)&gt;=ROW()-18,INDIRECT("'Size, Schedule and Effort'!$BH$" &amp; SMALL('Size, Schedule and Effort'!U:U,ROW()-18)),"")</f>
        <v/>
      </c>
      <c r="N107" s="1" t="str">
        <f t="shared" si="11"/>
        <v/>
      </c>
      <c r="O107" s="23" t="str">
        <f t="shared" ca="1" si="12"/>
        <v/>
      </c>
      <c r="P107" s="1" t="str">
        <f t="shared" ca="1" si="10"/>
        <v/>
      </c>
      <c r="Q107" s="1" t="str">
        <f ca="1">IF(AND(A107&lt;&gt;"",D107&lt;&gt;"",D107&lt;&gt;"NA"),VLOOKUP(A107,'Size, Schedule and Effort'!$B$3:$AH$496,44,0),"")</f>
        <v/>
      </c>
      <c r="R107" s="1" t="str">
        <f t="shared" ca="1" si="13"/>
        <v/>
      </c>
    </row>
    <row r="108" spans="1:18" x14ac:dyDescent="0.2">
      <c r="A108" s="3" t="str">
        <f ca="1">IF(COUNT('Size, Schedule and Effort'!U:U)&gt;=ROW()-18,INDIRECT("'Size, Schedule and Effort'!$C$" &amp; SMALL('Size, Schedule and Effort'!U:U,ROW()-18)),"")</f>
        <v/>
      </c>
      <c r="C108" s="14" t="str">
        <f ca="1">IF(M108&lt;&gt;"",IF(SUMIF('Size, Schedule and Effort'!$AV$3:$AV$496,M108,'Size, Schedule and Effort'!$AG$3:$AG$496)&lt;&gt;0,SUMIF('Size, Schedule and Effort'!$AV$3:$AV$496,M108,'Size, Schedule and Effort'!$AG$3:$AG$496),"NA"),"")</f>
        <v/>
      </c>
      <c r="D108" s="14" t="str">
        <f ca="1">IF(M108&lt;&gt;"",IF(SUMIF('Size, Schedule and Effort'!$AV$3:$AV$496,M108,'Size, Schedule and Effort'!$G$3:$G$496)&lt;&gt;0,SUMIF('Size, Schedule and Effort'!$AV$3:$AV$496,M108,'Size, Schedule and Effort'!$G$3:$G$496),"NA"),"")</f>
        <v/>
      </c>
      <c r="F108" s="3" t="str">
        <f t="shared" ca="1" si="8"/>
        <v/>
      </c>
      <c r="G108" s="19" t="str">
        <f t="shared" ca="1" si="9"/>
        <v/>
      </c>
      <c r="M108" s="8" t="str">
        <f ca="1">IF(COUNT('Size, Schedule and Effort'!U:U)&gt;=ROW()-18,INDIRECT("'Size, Schedule and Effort'!$BH$" &amp; SMALL('Size, Schedule and Effort'!U:U,ROW()-18)),"")</f>
        <v/>
      </c>
      <c r="N108" s="1" t="str">
        <f t="shared" si="11"/>
        <v/>
      </c>
      <c r="O108" s="23" t="str">
        <f t="shared" ca="1" si="12"/>
        <v/>
      </c>
      <c r="P108" s="1" t="str">
        <f t="shared" ca="1" si="10"/>
        <v/>
      </c>
      <c r="Q108" s="1" t="str">
        <f ca="1">IF(AND(A108&lt;&gt;"",D108&lt;&gt;"",D108&lt;&gt;"NA"),VLOOKUP(A108,'Size, Schedule and Effort'!$B$3:$AH$496,44,0),"")</f>
        <v/>
      </c>
      <c r="R108" s="1" t="str">
        <f t="shared" ca="1" si="13"/>
        <v/>
      </c>
    </row>
    <row r="109" spans="1:18" x14ac:dyDescent="0.2">
      <c r="A109" s="3" t="str">
        <f ca="1">IF(COUNT('Size, Schedule and Effort'!U:U)&gt;=ROW()-18,INDIRECT("'Size, Schedule and Effort'!$C$" &amp; SMALL('Size, Schedule and Effort'!U:U,ROW()-18)),"")</f>
        <v/>
      </c>
      <c r="C109" s="14" t="str">
        <f ca="1">IF(M109&lt;&gt;"",IF(SUMIF('Size, Schedule and Effort'!$AV$3:$AV$496,M109,'Size, Schedule and Effort'!$AG$3:$AG$496)&lt;&gt;0,SUMIF('Size, Schedule and Effort'!$AV$3:$AV$496,M109,'Size, Schedule and Effort'!$AG$3:$AG$496),"NA"),"")</f>
        <v/>
      </c>
      <c r="D109" s="14" t="str">
        <f ca="1">IF(M109&lt;&gt;"",IF(SUMIF('Size, Schedule and Effort'!$AV$3:$AV$496,M109,'Size, Schedule and Effort'!$G$3:$G$496)&lt;&gt;0,SUMIF('Size, Schedule and Effort'!$AV$3:$AV$496,M109,'Size, Schedule and Effort'!$G$3:$G$496),"NA"),"")</f>
        <v/>
      </c>
      <c r="F109" s="3" t="str">
        <f t="shared" ca="1" si="8"/>
        <v/>
      </c>
      <c r="G109" s="19" t="str">
        <f t="shared" ca="1" si="9"/>
        <v/>
      </c>
      <c r="M109" s="8" t="str">
        <f ca="1">IF(COUNT('Size, Schedule and Effort'!U:U)&gt;=ROW()-18,INDIRECT("'Size, Schedule and Effort'!$BH$" &amp; SMALL('Size, Schedule and Effort'!U:U,ROW()-18)),"")</f>
        <v/>
      </c>
      <c r="N109" s="1" t="str">
        <f t="shared" si="11"/>
        <v/>
      </c>
      <c r="O109" s="23" t="str">
        <f t="shared" ca="1" si="12"/>
        <v/>
      </c>
      <c r="P109" s="1" t="str">
        <f t="shared" ca="1" si="10"/>
        <v/>
      </c>
      <c r="Q109" s="1" t="str">
        <f ca="1">IF(AND(A109&lt;&gt;"",D109&lt;&gt;"",D109&lt;&gt;"NA"),VLOOKUP(A109,'Size, Schedule and Effort'!$B$3:$AH$496,44,0),"")</f>
        <v/>
      </c>
      <c r="R109" s="1" t="str">
        <f t="shared" ca="1" si="13"/>
        <v/>
      </c>
    </row>
    <row r="110" spans="1:18" x14ac:dyDescent="0.2">
      <c r="A110" s="3" t="str">
        <f ca="1">IF(COUNT('Size, Schedule and Effort'!U:U)&gt;=ROW()-18,INDIRECT("'Size, Schedule and Effort'!$C$" &amp; SMALL('Size, Schedule and Effort'!U:U,ROW()-18)),"")</f>
        <v/>
      </c>
      <c r="C110" s="14" t="str">
        <f ca="1">IF(M110&lt;&gt;"",IF(SUMIF('Size, Schedule and Effort'!$AV$3:$AV$496,M110,'Size, Schedule and Effort'!$AG$3:$AG$496)&lt;&gt;0,SUMIF('Size, Schedule and Effort'!$AV$3:$AV$496,M110,'Size, Schedule and Effort'!$AG$3:$AG$496),"NA"),"")</f>
        <v/>
      </c>
      <c r="D110" s="14" t="str">
        <f ca="1">IF(M110&lt;&gt;"",IF(SUMIF('Size, Schedule and Effort'!$AV$3:$AV$496,M110,'Size, Schedule and Effort'!$G$3:$G$496)&lt;&gt;0,SUMIF('Size, Schedule and Effort'!$AV$3:$AV$496,M110,'Size, Schedule and Effort'!$G$3:$G$496),"NA"),"")</f>
        <v/>
      </c>
      <c r="F110" s="3" t="str">
        <f t="shared" ca="1" si="8"/>
        <v/>
      </c>
      <c r="G110" s="19" t="str">
        <f t="shared" ca="1" si="9"/>
        <v/>
      </c>
      <c r="M110" s="8" t="str">
        <f ca="1">IF(COUNT('Size, Schedule and Effort'!U:U)&gt;=ROW()-18,INDIRECT("'Size, Schedule and Effort'!$BH$" &amp; SMALL('Size, Schedule and Effort'!U:U,ROW()-18)),"")</f>
        <v/>
      </c>
      <c r="N110" s="1" t="str">
        <f t="shared" si="11"/>
        <v/>
      </c>
      <c r="O110" s="23" t="str">
        <f t="shared" ca="1" si="12"/>
        <v/>
      </c>
      <c r="P110" s="1" t="str">
        <f t="shared" ca="1" si="10"/>
        <v/>
      </c>
      <c r="Q110" s="1" t="str">
        <f ca="1">IF(AND(A110&lt;&gt;"",D110&lt;&gt;"",D110&lt;&gt;"NA"),VLOOKUP(A110,'Size, Schedule and Effort'!$B$3:$AH$496,44,0),"")</f>
        <v/>
      </c>
      <c r="R110" s="1" t="str">
        <f t="shared" ca="1" si="13"/>
        <v/>
      </c>
    </row>
    <row r="111" spans="1:18" x14ac:dyDescent="0.2">
      <c r="A111" s="3" t="str">
        <f ca="1">IF(COUNT('Size, Schedule and Effort'!U:U)&gt;=ROW()-18,INDIRECT("'Size, Schedule and Effort'!$C$" &amp; SMALL('Size, Schedule and Effort'!U:U,ROW()-18)),"")</f>
        <v/>
      </c>
      <c r="C111" s="14" t="str">
        <f ca="1">IF(M111&lt;&gt;"",IF(SUMIF('Size, Schedule and Effort'!$AV$3:$AV$496,M111,'Size, Schedule and Effort'!$AG$3:$AG$496)&lt;&gt;0,SUMIF('Size, Schedule and Effort'!$AV$3:$AV$496,M111,'Size, Schedule and Effort'!$AG$3:$AG$496),"NA"),"")</f>
        <v/>
      </c>
      <c r="D111" s="14" t="str">
        <f ca="1">IF(M111&lt;&gt;"",IF(SUMIF('Size, Schedule and Effort'!$AV$3:$AV$496,M111,'Size, Schedule and Effort'!$G$3:$G$496)&lt;&gt;0,SUMIF('Size, Schedule and Effort'!$AV$3:$AV$496,M111,'Size, Schedule and Effort'!$G$3:$G$496),"NA"),"")</f>
        <v/>
      </c>
      <c r="F111" s="3" t="str">
        <f t="shared" ca="1" si="8"/>
        <v/>
      </c>
      <c r="G111" s="19" t="str">
        <f t="shared" ca="1" si="9"/>
        <v/>
      </c>
      <c r="M111" s="8" t="str">
        <f ca="1">IF(COUNT('Size, Schedule and Effort'!U:U)&gt;=ROW()-18,INDIRECT("'Size, Schedule and Effort'!$BH$" &amp; SMALL('Size, Schedule and Effort'!U:U,ROW()-18)),"")</f>
        <v/>
      </c>
      <c r="N111" s="1" t="str">
        <f t="shared" si="11"/>
        <v/>
      </c>
      <c r="O111" s="23" t="str">
        <f t="shared" ca="1" si="12"/>
        <v/>
      </c>
      <c r="P111" s="1" t="str">
        <f t="shared" ca="1" si="10"/>
        <v/>
      </c>
      <c r="Q111" s="1" t="str">
        <f ca="1">IF(AND(A111&lt;&gt;"",D111&lt;&gt;"",D111&lt;&gt;"NA"),VLOOKUP(A111,'Size, Schedule and Effort'!$B$3:$AH$496,44,0),"")</f>
        <v/>
      </c>
      <c r="R111" s="1" t="str">
        <f t="shared" ca="1" si="13"/>
        <v/>
      </c>
    </row>
    <row r="112" spans="1:18" x14ac:dyDescent="0.2">
      <c r="A112" s="3" t="str">
        <f ca="1">IF(COUNT('Size, Schedule and Effort'!U:U)&gt;=ROW()-18,INDIRECT("'Size, Schedule and Effort'!$C$" &amp; SMALL('Size, Schedule and Effort'!U:U,ROW()-18)),"")</f>
        <v/>
      </c>
      <c r="C112" s="14" t="str">
        <f ca="1">IF(M112&lt;&gt;"",IF(SUMIF('Size, Schedule and Effort'!$AV$3:$AV$496,M112,'Size, Schedule and Effort'!$AG$3:$AG$496)&lt;&gt;0,SUMIF('Size, Schedule and Effort'!$AV$3:$AV$496,M112,'Size, Schedule and Effort'!$AG$3:$AG$496),"NA"),"")</f>
        <v/>
      </c>
      <c r="D112" s="14" t="str">
        <f ca="1">IF(M112&lt;&gt;"",IF(SUMIF('Size, Schedule and Effort'!$AV$3:$AV$496,M112,'Size, Schedule and Effort'!$G$3:$G$496)&lt;&gt;0,SUMIF('Size, Schedule and Effort'!$AV$3:$AV$496,M112,'Size, Schedule and Effort'!$G$3:$G$496),"NA"),"")</f>
        <v/>
      </c>
      <c r="F112" s="3" t="str">
        <f t="shared" ca="1" si="8"/>
        <v/>
      </c>
      <c r="G112" s="19" t="str">
        <f t="shared" ca="1" si="9"/>
        <v/>
      </c>
      <c r="M112" s="8" t="str">
        <f ca="1">IF(COUNT('Size, Schedule and Effort'!U:U)&gt;=ROW()-18,INDIRECT("'Size, Schedule and Effort'!$BH$" &amp; SMALL('Size, Schedule and Effort'!U:U,ROW()-18)),"")</f>
        <v/>
      </c>
      <c r="N112" s="1" t="str">
        <f t="shared" si="11"/>
        <v/>
      </c>
      <c r="O112" s="23" t="str">
        <f t="shared" ca="1" si="12"/>
        <v/>
      </c>
      <c r="P112" s="1" t="str">
        <f t="shared" ca="1" si="10"/>
        <v/>
      </c>
      <c r="Q112" s="1" t="str">
        <f ca="1">IF(AND(A112&lt;&gt;"",D112&lt;&gt;"",D112&lt;&gt;"NA"),VLOOKUP(A112,'Size, Schedule and Effort'!$B$3:$AH$496,44,0),"")</f>
        <v/>
      </c>
      <c r="R112" s="1" t="str">
        <f t="shared" ca="1" si="13"/>
        <v/>
      </c>
    </row>
    <row r="113" spans="1:18" x14ac:dyDescent="0.2">
      <c r="A113" s="3" t="str">
        <f ca="1">IF(COUNT('Size, Schedule and Effort'!U:U)&gt;=ROW()-18,INDIRECT("'Size, Schedule and Effort'!$C$" &amp; SMALL('Size, Schedule and Effort'!U:U,ROW()-18)),"")</f>
        <v/>
      </c>
      <c r="C113" s="14" t="str">
        <f ca="1">IF(M113&lt;&gt;"",IF(SUMIF('Size, Schedule and Effort'!$AV$3:$AV$496,M113,'Size, Schedule and Effort'!$AG$3:$AG$496)&lt;&gt;0,SUMIF('Size, Schedule and Effort'!$AV$3:$AV$496,M113,'Size, Schedule and Effort'!$AG$3:$AG$496),"NA"),"")</f>
        <v/>
      </c>
      <c r="D113" s="14" t="str">
        <f ca="1">IF(M113&lt;&gt;"",IF(SUMIF('Size, Schedule and Effort'!$AV$3:$AV$496,M113,'Size, Schedule and Effort'!$G$3:$G$496)&lt;&gt;0,SUMIF('Size, Schedule and Effort'!$AV$3:$AV$496,M113,'Size, Schedule and Effort'!$G$3:$G$496),"NA"),"")</f>
        <v/>
      </c>
      <c r="F113" s="3" t="str">
        <f t="shared" ca="1" si="8"/>
        <v/>
      </c>
      <c r="G113" s="19" t="str">
        <f t="shared" ca="1" si="9"/>
        <v/>
      </c>
      <c r="M113" s="8" t="str">
        <f ca="1">IF(COUNT('Size, Schedule and Effort'!U:U)&gt;=ROW()-18,INDIRECT("'Size, Schedule and Effort'!$BH$" &amp; SMALL('Size, Schedule and Effort'!U:U,ROW()-18)),"")</f>
        <v/>
      </c>
      <c r="N113" s="1" t="str">
        <f t="shared" si="11"/>
        <v/>
      </c>
      <c r="O113" s="23" t="str">
        <f t="shared" ca="1" si="12"/>
        <v/>
      </c>
      <c r="P113" s="1" t="str">
        <f t="shared" ca="1" si="10"/>
        <v/>
      </c>
      <c r="Q113" s="1" t="str">
        <f ca="1">IF(AND(A113&lt;&gt;"",D113&lt;&gt;"",D113&lt;&gt;"NA"),VLOOKUP(A113,'Size, Schedule and Effort'!$B$3:$AH$496,44,0),"")</f>
        <v/>
      </c>
      <c r="R113" s="1" t="str">
        <f t="shared" ca="1" si="13"/>
        <v/>
      </c>
    </row>
    <row r="114" spans="1:18" x14ac:dyDescent="0.2">
      <c r="A114" s="3" t="str">
        <f ca="1">IF(COUNT('Size, Schedule and Effort'!U:U)&gt;=ROW()-18,INDIRECT("'Size, Schedule and Effort'!$C$" &amp; SMALL('Size, Schedule and Effort'!U:U,ROW()-18)),"")</f>
        <v/>
      </c>
      <c r="C114" s="14" t="str">
        <f ca="1">IF(M114&lt;&gt;"",IF(SUMIF('Size, Schedule and Effort'!$AV$3:$AV$496,M114,'Size, Schedule and Effort'!$AG$3:$AG$496)&lt;&gt;0,SUMIF('Size, Schedule and Effort'!$AV$3:$AV$496,M114,'Size, Schedule and Effort'!$AG$3:$AG$496),"NA"),"")</f>
        <v/>
      </c>
      <c r="D114" s="14" t="str">
        <f ca="1">IF(M114&lt;&gt;"",IF(SUMIF('Size, Schedule and Effort'!$AV$3:$AV$496,M114,'Size, Schedule and Effort'!$G$3:$G$496)&lt;&gt;0,SUMIF('Size, Schedule and Effort'!$AV$3:$AV$496,M114,'Size, Schedule and Effort'!$G$3:$G$496),"NA"),"")</f>
        <v/>
      </c>
      <c r="F114" s="3" t="str">
        <f t="shared" ca="1" si="8"/>
        <v/>
      </c>
      <c r="G114" s="19" t="str">
        <f t="shared" ca="1" si="9"/>
        <v/>
      </c>
      <c r="M114" s="8" t="str">
        <f ca="1">IF(COUNT('Size, Schedule and Effort'!U:U)&gt;=ROW()-18,INDIRECT("'Size, Schedule and Effort'!$BH$" &amp; SMALL('Size, Schedule and Effort'!U:U,ROW()-18)),"")</f>
        <v/>
      </c>
      <c r="N114" s="1" t="str">
        <f t="shared" si="11"/>
        <v/>
      </c>
      <c r="O114" s="23" t="str">
        <f t="shared" ca="1" si="12"/>
        <v/>
      </c>
      <c r="P114" s="1" t="str">
        <f t="shared" ca="1" si="10"/>
        <v/>
      </c>
      <c r="Q114" s="1" t="str">
        <f ca="1">IF(AND(A114&lt;&gt;"",D114&lt;&gt;"",D114&lt;&gt;"NA"),VLOOKUP(A114,'Size, Schedule and Effort'!$B$3:$AH$496,44,0),"")</f>
        <v/>
      </c>
      <c r="R114" s="1" t="str">
        <f t="shared" ca="1" si="13"/>
        <v/>
      </c>
    </row>
    <row r="115" spans="1:18" x14ac:dyDescent="0.2">
      <c r="A115" s="3" t="str">
        <f ca="1">IF(COUNT('Size, Schedule and Effort'!U:U)&gt;=ROW()-18,INDIRECT("'Size, Schedule and Effort'!$C$" &amp; SMALL('Size, Schedule and Effort'!U:U,ROW()-18)),"")</f>
        <v/>
      </c>
      <c r="C115" s="14" t="str">
        <f ca="1">IF(M115&lt;&gt;"",IF(SUMIF('Size, Schedule and Effort'!$AV$3:$AV$496,M115,'Size, Schedule and Effort'!$AG$3:$AG$496)&lt;&gt;0,SUMIF('Size, Schedule and Effort'!$AV$3:$AV$496,M115,'Size, Schedule and Effort'!$AG$3:$AG$496),"NA"),"")</f>
        <v/>
      </c>
      <c r="D115" s="14" t="str">
        <f ca="1">IF(M115&lt;&gt;"",IF(SUMIF('Size, Schedule and Effort'!$AV$3:$AV$496,M115,'Size, Schedule and Effort'!$G$3:$G$496)&lt;&gt;0,SUMIF('Size, Schedule and Effort'!$AV$3:$AV$496,M115,'Size, Schedule and Effort'!$G$3:$G$496),"NA"),"")</f>
        <v/>
      </c>
      <c r="F115" s="3" t="str">
        <f t="shared" ca="1" si="8"/>
        <v/>
      </c>
      <c r="G115" s="19" t="str">
        <f t="shared" ca="1" si="9"/>
        <v/>
      </c>
      <c r="M115" s="8" t="str">
        <f ca="1">IF(COUNT('Size, Schedule and Effort'!U:U)&gt;=ROW()-18,INDIRECT("'Size, Schedule and Effort'!$BH$" &amp; SMALL('Size, Schedule and Effort'!U:U,ROW()-18)),"")</f>
        <v/>
      </c>
      <c r="N115" s="1" t="str">
        <f t="shared" si="11"/>
        <v/>
      </c>
      <c r="O115" s="23" t="str">
        <f t="shared" ca="1" si="12"/>
        <v/>
      </c>
      <c r="P115" s="1" t="str">
        <f t="shared" ca="1" si="10"/>
        <v/>
      </c>
      <c r="Q115" s="1" t="str">
        <f ca="1">IF(AND(A115&lt;&gt;"",D115&lt;&gt;"",D115&lt;&gt;"NA"),VLOOKUP(A115,'Size, Schedule and Effort'!$B$3:$AH$496,44,0),"")</f>
        <v/>
      </c>
      <c r="R115" s="1" t="str">
        <f t="shared" ca="1" si="13"/>
        <v/>
      </c>
    </row>
    <row r="116" spans="1:18" x14ac:dyDescent="0.2">
      <c r="A116" s="3" t="str">
        <f ca="1">IF(COUNT('Size, Schedule and Effort'!U:U)&gt;=ROW()-18,INDIRECT("'Size, Schedule and Effort'!$C$" &amp; SMALL('Size, Schedule and Effort'!U:U,ROW()-18)),"")</f>
        <v/>
      </c>
      <c r="C116" s="14" t="str">
        <f ca="1">IF(M116&lt;&gt;"",IF(SUMIF('Size, Schedule and Effort'!$AV$3:$AV$496,M116,'Size, Schedule and Effort'!$AG$3:$AG$496)&lt;&gt;0,SUMIF('Size, Schedule and Effort'!$AV$3:$AV$496,M116,'Size, Schedule and Effort'!$AG$3:$AG$496),"NA"),"")</f>
        <v/>
      </c>
      <c r="D116" s="14" t="str">
        <f ca="1">IF(M116&lt;&gt;"",IF(SUMIF('Size, Schedule and Effort'!$AV$3:$AV$496,M116,'Size, Schedule and Effort'!$G$3:$G$496)&lt;&gt;0,SUMIF('Size, Schedule and Effort'!$AV$3:$AV$496,M116,'Size, Schedule and Effort'!$G$3:$G$496),"NA"),"")</f>
        <v/>
      </c>
      <c r="F116" s="3" t="str">
        <f t="shared" ca="1" si="8"/>
        <v/>
      </c>
      <c r="G116" s="19" t="str">
        <f t="shared" ca="1" si="9"/>
        <v/>
      </c>
      <c r="M116" s="8" t="str">
        <f ca="1">IF(COUNT('Size, Schedule and Effort'!U:U)&gt;=ROW()-18,INDIRECT("'Size, Schedule and Effort'!$BH$" &amp; SMALL('Size, Schedule and Effort'!U:U,ROW()-18)),"")</f>
        <v/>
      </c>
      <c r="N116" s="1" t="str">
        <f t="shared" si="11"/>
        <v/>
      </c>
      <c r="O116" s="23" t="str">
        <f t="shared" ca="1" si="12"/>
        <v/>
      </c>
      <c r="P116" s="1" t="str">
        <f t="shared" ca="1" si="10"/>
        <v/>
      </c>
      <c r="Q116" s="1" t="str">
        <f ca="1">IF(AND(A116&lt;&gt;"",D116&lt;&gt;"",D116&lt;&gt;"NA"),VLOOKUP(A116,'Size, Schedule and Effort'!$B$3:$AH$496,44,0),"")</f>
        <v/>
      </c>
      <c r="R116" s="1" t="str">
        <f t="shared" ca="1" si="13"/>
        <v/>
      </c>
    </row>
    <row r="117" spans="1:18" x14ac:dyDescent="0.2">
      <c r="A117" s="3" t="str">
        <f ca="1">IF(COUNT('Size, Schedule and Effort'!U:U)&gt;=ROW()-18,INDIRECT("'Size, Schedule and Effort'!$C$" &amp; SMALL('Size, Schedule and Effort'!U:U,ROW()-18)),"")</f>
        <v/>
      </c>
      <c r="C117" s="14" t="str">
        <f ca="1">IF(M117&lt;&gt;"",IF(SUMIF('Size, Schedule and Effort'!$AV$3:$AV$496,M117,'Size, Schedule and Effort'!$AG$3:$AG$496)&lt;&gt;0,SUMIF('Size, Schedule and Effort'!$AV$3:$AV$496,M117,'Size, Schedule and Effort'!$AG$3:$AG$496),"NA"),"")</f>
        <v/>
      </c>
      <c r="D117" s="14" t="str">
        <f ca="1">IF(M117&lt;&gt;"",IF(SUMIF('Size, Schedule and Effort'!$AV$3:$AV$496,M117,'Size, Schedule and Effort'!$G$3:$G$496)&lt;&gt;0,SUMIF('Size, Schedule and Effort'!$AV$3:$AV$496,M117,'Size, Schedule and Effort'!$G$3:$G$496),"NA"),"")</f>
        <v/>
      </c>
      <c r="F117" s="3" t="str">
        <f t="shared" ca="1" si="8"/>
        <v/>
      </c>
      <c r="G117" s="19" t="str">
        <f t="shared" ca="1" si="9"/>
        <v/>
      </c>
      <c r="M117" s="8" t="str">
        <f ca="1">IF(COUNT('Size, Schedule and Effort'!U:U)&gt;=ROW()-18,INDIRECT("'Size, Schedule and Effort'!$BH$" &amp; SMALL('Size, Schedule and Effort'!U:U,ROW()-18)),"")</f>
        <v/>
      </c>
      <c r="N117" s="1" t="str">
        <f t="shared" si="11"/>
        <v/>
      </c>
      <c r="O117" s="23" t="str">
        <f t="shared" ca="1" si="12"/>
        <v/>
      </c>
      <c r="P117" s="1" t="str">
        <f t="shared" ca="1" si="10"/>
        <v/>
      </c>
      <c r="Q117" s="1" t="str">
        <f ca="1">IF(AND(A117&lt;&gt;"",D117&lt;&gt;"",D117&lt;&gt;"NA"),VLOOKUP(A117,'Size, Schedule and Effort'!$B$3:$AH$496,44,0),"")</f>
        <v/>
      </c>
      <c r="R117" s="1" t="str">
        <f t="shared" ca="1" si="13"/>
        <v/>
      </c>
    </row>
  </sheetData>
  <mergeCells count="1">
    <mergeCell ref="A17:B17"/>
  </mergeCells>
  <phoneticPr fontId="0" type="noConversion"/>
  <conditionalFormatting sqref="A19:A117">
    <cfRule type="cellIs" dxfId="2" priority="1" stopIfTrue="1" operator="notEqual">
      <formula>""</formula>
    </cfRule>
  </conditionalFormatting>
  <conditionalFormatting sqref="F19:G117 C19:D117">
    <cfRule type="expression" dxfId="1" priority="2" stopIfTrue="1">
      <formula>$A19&lt;&gt;""</formula>
    </cfRule>
  </conditionalFormatting>
  <dataValidations count="5">
    <dataValidation type="list" allowBlank="1" showInputMessage="1" showErrorMessage="1" errorTitle="Data entry error" error="Please choose from the list of available choices" sqref="E19:E65536" xr:uid="{00000000-0002-0000-0D00-000000000000}">
      <formula1>$A$2:$A$7</formula1>
    </dataValidation>
    <dataValidation type="list" allowBlank="1" showInputMessage="1" showErrorMessage="1" sqref="D16" xr:uid="{00000000-0002-0000-0D00-000001000000}">
      <formula1>$F$2:$F$7</formula1>
    </dataValidation>
    <dataValidation type="list" allowBlank="1" showInputMessage="1" showErrorMessage="1" sqref="E16" xr:uid="{00000000-0002-0000-0D00-000002000000}">
      <formula1>$H$2:$H$7</formula1>
    </dataValidation>
    <dataValidation type="list" allowBlank="1" showInputMessage="1" showErrorMessage="1" sqref="F16" xr:uid="{00000000-0002-0000-0D00-000003000000}">
      <formula1>$J$2:$J$7</formula1>
    </dataValidation>
    <dataValidation allowBlank="1" showInputMessage="1" showErrorMessage="1" promptTitle="Note:" prompt="For the QOW computation:_x000a_1. The activity status must be updated to closed in size, schedule and effort sheet_x000a_2. The &quot;Feedback&quot; from customer should be updated_x000a_3. Delivery details should be updated." sqref="G1:G1048576" xr:uid="{00000000-0002-0000-0D00-000004000000}"/>
  </dataValidations>
  <pageMargins left="0.75" right="0.75" top="1" bottom="1" header="0.5" footer="0.5"/>
  <pageSetup paperSize="9" scale="95" orientation="landscape" r:id="rId1"/>
  <headerFooter alignWithMargins="0">
    <oddFooter>&amp;R&amp;P of &amp;N</oddFooter>
  </headerFooter>
  <drawing r:id="rId2"/>
  <legacy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D42"/>
  <sheetViews>
    <sheetView workbookViewId="0"/>
  </sheetViews>
  <sheetFormatPr defaultColWidth="8.7109375" defaultRowHeight="14.25" x14ac:dyDescent="0.2"/>
  <cols>
    <col min="1" max="1" width="8.7109375" style="410"/>
    <col min="2" max="2" width="20" style="410" customWidth="1"/>
    <col min="3" max="3" width="13.5703125" style="410" customWidth="1"/>
    <col min="4" max="4" width="57.28515625" style="410" customWidth="1"/>
    <col min="5" max="16384" width="8.7109375" style="410"/>
  </cols>
  <sheetData>
    <row r="2" spans="2:4" ht="15" x14ac:dyDescent="0.2">
      <c r="B2" s="573" t="s">
        <v>1174</v>
      </c>
      <c r="C2" s="573"/>
      <c r="D2" s="573"/>
    </row>
    <row r="3" spans="2:4" x14ac:dyDescent="0.2">
      <c r="B3" s="572" t="s">
        <v>1174</v>
      </c>
      <c r="C3" s="572"/>
      <c r="D3" s="572" t="s">
        <v>1175</v>
      </c>
    </row>
    <row r="4" spans="2:4" x14ac:dyDescent="0.2">
      <c r="B4" s="572"/>
      <c r="C4" s="572"/>
      <c r="D4" s="572"/>
    </row>
    <row r="5" spans="2:4" ht="57" x14ac:dyDescent="0.2">
      <c r="B5" s="411" t="s">
        <v>1176</v>
      </c>
      <c r="C5" s="412">
        <v>0.9</v>
      </c>
      <c r="D5" s="413" t="s">
        <v>1177</v>
      </c>
    </row>
    <row r="6" spans="2:4" ht="57" x14ac:dyDescent="0.2">
      <c r="B6" s="411" t="s">
        <v>1178</v>
      </c>
      <c r="C6" s="412">
        <v>0.7</v>
      </c>
      <c r="D6" s="413" t="s">
        <v>1179</v>
      </c>
    </row>
    <row r="7" spans="2:4" ht="57" x14ac:dyDescent="0.2">
      <c r="B7" s="411" t="s">
        <v>1180</v>
      </c>
      <c r="C7" s="412">
        <v>0.5</v>
      </c>
      <c r="D7" s="413" t="s">
        <v>1181</v>
      </c>
    </row>
    <row r="8" spans="2:4" ht="57" x14ac:dyDescent="0.2">
      <c r="B8" s="411" t="s">
        <v>1182</v>
      </c>
      <c r="C8" s="412">
        <v>0.3</v>
      </c>
      <c r="D8" s="413" t="s">
        <v>1183</v>
      </c>
    </row>
    <row r="9" spans="2:4" ht="57" x14ac:dyDescent="0.2">
      <c r="B9" s="411" t="s">
        <v>1184</v>
      </c>
      <c r="C9" s="412">
        <v>0.1</v>
      </c>
      <c r="D9" s="413" t="s">
        <v>1185</v>
      </c>
    </row>
    <row r="12" spans="2:4" ht="30.6" customHeight="1" x14ac:dyDescent="0.2">
      <c r="B12" s="569" t="s">
        <v>1186</v>
      </c>
      <c r="C12" s="569"/>
      <c r="D12" s="569"/>
    </row>
    <row r="14" spans="2:4" ht="15" x14ac:dyDescent="0.2">
      <c r="B14" s="574" t="s">
        <v>1187</v>
      </c>
      <c r="C14" s="575"/>
    </row>
    <row r="15" spans="2:4" ht="15" x14ac:dyDescent="0.2">
      <c r="B15" s="414" t="s">
        <v>1188</v>
      </c>
      <c r="C15" s="414" t="s">
        <v>1175</v>
      </c>
    </row>
    <row r="16" spans="2:4" x14ac:dyDescent="0.2">
      <c r="B16" s="415">
        <v>0</v>
      </c>
      <c r="C16" s="415" t="s">
        <v>1161</v>
      </c>
    </row>
    <row r="17" spans="2:4" x14ac:dyDescent="0.2">
      <c r="B17" s="415">
        <v>1</v>
      </c>
      <c r="C17" s="415" t="s">
        <v>1189</v>
      </c>
    </row>
    <row r="18" spans="2:4" x14ac:dyDescent="0.2">
      <c r="B18" s="415">
        <v>3</v>
      </c>
      <c r="C18" s="415" t="s">
        <v>1190</v>
      </c>
    </row>
    <row r="19" spans="2:4" x14ac:dyDescent="0.2">
      <c r="B19" s="415">
        <v>5</v>
      </c>
      <c r="C19" s="415" t="s">
        <v>1191</v>
      </c>
    </row>
    <row r="20" spans="2:4" x14ac:dyDescent="0.2">
      <c r="B20" s="415">
        <v>7</v>
      </c>
      <c r="C20" s="415" t="s">
        <v>1192</v>
      </c>
    </row>
    <row r="21" spans="2:4" x14ac:dyDescent="0.2">
      <c r="B21" s="415">
        <v>9</v>
      </c>
      <c r="C21" s="415" t="s">
        <v>1193</v>
      </c>
    </row>
    <row r="23" spans="2:4" ht="120.95" customHeight="1" x14ac:dyDescent="0.2">
      <c r="B23" s="569" t="s">
        <v>1194</v>
      </c>
      <c r="C23" s="570"/>
      <c r="D23" s="570"/>
    </row>
    <row r="26" spans="2:4" ht="15" x14ac:dyDescent="0.25">
      <c r="B26" s="416" t="s">
        <v>1195</v>
      </c>
    </row>
    <row r="27" spans="2:4" ht="37.5" customHeight="1" x14ac:dyDescent="0.2">
      <c r="B27" s="569" t="s">
        <v>1196</v>
      </c>
      <c r="C27" s="569"/>
      <c r="D27" s="569"/>
    </row>
    <row r="29" spans="2:4" ht="15" x14ac:dyDescent="0.25">
      <c r="B29" s="416" t="s">
        <v>1197</v>
      </c>
    </row>
    <row r="30" spans="2:4" ht="17.45" customHeight="1" x14ac:dyDescent="0.2">
      <c r="B30" s="570" t="s">
        <v>1198</v>
      </c>
      <c r="C30" s="570"/>
      <c r="D30" s="570"/>
    </row>
    <row r="31" spans="2:4" ht="17.45" customHeight="1" x14ac:dyDescent="0.2">
      <c r="B31" s="417"/>
      <c r="C31" s="417"/>
      <c r="D31" s="417"/>
    </row>
    <row r="33" spans="2:4" ht="14.1" customHeight="1" x14ac:dyDescent="0.2">
      <c r="B33" s="571" t="s">
        <v>1199</v>
      </c>
      <c r="C33" s="571"/>
      <c r="D33" s="571"/>
    </row>
    <row r="34" spans="2:4" ht="15" x14ac:dyDescent="0.2">
      <c r="B34" s="414" t="s">
        <v>1200</v>
      </c>
      <c r="C34" s="572" t="s">
        <v>1175</v>
      </c>
      <c r="D34" s="572"/>
    </row>
    <row r="35" spans="2:4" ht="45" customHeight="1" x14ac:dyDescent="0.2">
      <c r="B35" s="418" t="s">
        <v>1201</v>
      </c>
      <c r="C35" s="568" t="s">
        <v>1202</v>
      </c>
      <c r="D35" s="568"/>
    </row>
    <row r="36" spans="2:4" ht="45" customHeight="1" x14ac:dyDescent="0.2">
      <c r="B36" s="418" t="s">
        <v>1029</v>
      </c>
      <c r="C36" s="568" t="s">
        <v>1203</v>
      </c>
      <c r="D36" s="568"/>
    </row>
    <row r="37" spans="2:4" ht="34.5" customHeight="1" x14ac:dyDescent="0.2">
      <c r="B37" s="418" t="s">
        <v>1204</v>
      </c>
      <c r="C37" s="568" t="s">
        <v>1205</v>
      </c>
      <c r="D37" s="568"/>
    </row>
    <row r="38" spans="2:4" ht="39" customHeight="1" x14ac:dyDescent="0.2">
      <c r="B38" s="418" t="s">
        <v>1026</v>
      </c>
      <c r="C38" s="568" t="s">
        <v>1206</v>
      </c>
      <c r="D38" s="568"/>
    </row>
    <row r="39" spans="2:4" ht="15" x14ac:dyDescent="0.2">
      <c r="B39" s="419"/>
    </row>
    <row r="41" spans="2:4" ht="15" x14ac:dyDescent="0.25">
      <c r="B41" s="416" t="s">
        <v>1207</v>
      </c>
    </row>
    <row r="42" spans="2:4" ht="63" customHeight="1" x14ac:dyDescent="0.2">
      <c r="B42" s="569" t="s">
        <v>1208</v>
      </c>
      <c r="C42" s="569"/>
      <c r="D42" s="569"/>
    </row>
  </sheetData>
  <mergeCells count="15">
    <mergeCell ref="B23:D23"/>
    <mergeCell ref="B2:D2"/>
    <mergeCell ref="B3:C4"/>
    <mergeCell ref="D3:D4"/>
    <mergeCell ref="B12:D12"/>
    <mergeCell ref="B14:C14"/>
    <mergeCell ref="C37:D37"/>
    <mergeCell ref="C38:D38"/>
    <mergeCell ref="B42:D42"/>
    <mergeCell ref="B27:D27"/>
    <mergeCell ref="B30:D30"/>
    <mergeCell ref="B33:D33"/>
    <mergeCell ref="C34:D34"/>
    <mergeCell ref="C35:D35"/>
    <mergeCell ref="C36:D36"/>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O20"/>
  <sheetViews>
    <sheetView workbookViewId="0">
      <selection activeCell="Q2" sqref="Q2"/>
    </sheetView>
  </sheetViews>
  <sheetFormatPr defaultColWidth="8.85546875" defaultRowHeight="12.75" x14ac:dyDescent="0.2"/>
  <cols>
    <col min="1" max="1" width="5.28515625" style="99" customWidth="1"/>
    <col min="2" max="2" width="24.5703125" style="99" bestFit="1" customWidth="1"/>
    <col min="3" max="3" width="17.85546875" style="93" customWidth="1"/>
    <col min="4" max="4" width="12.140625" style="93" customWidth="1"/>
    <col min="5" max="5" width="20.28515625" style="93" customWidth="1"/>
    <col min="6" max="6" width="21" style="93" customWidth="1"/>
    <col min="7" max="7" width="16.28515625" style="93" customWidth="1"/>
    <col min="8" max="8" width="13.7109375" style="93" customWidth="1"/>
    <col min="9" max="10" width="19.140625" style="93" customWidth="1"/>
    <col min="11" max="13" width="8.85546875" style="93" hidden="1" customWidth="1"/>
    <col min="14" max="14" width="0" style="93" hidden="1" customWidth="1"/>
    <col min="15" max="15" width="17.28515625" style="93" hidden="1" customWidth="1"/>
    <col min="16" max="16384" width="8.85546875" style="93"/>
  </cols>
  <sheetData>
    <row r="1" spans="1:15" ht="38.25" x14ac:dyDescent="0.2">
      <c r="A1" s="222" t="s">
        <v>925</v>
      </c>
      <c r="B1" s="222" t="s">
        <v>1209</v>
      </c>
      <c r="C1" s="222" t="s">
        <v>1210</v>
      </c>
      <c r="D1" s="222" t="s">
        <v>1211</v>
      </c>
      <c r="E1" s="222" t="s">
        <v>1212</v>
      </c>
      <c r="F1" s="222" t="s">
        <v>1213</v>
      </c>
      <c r="G1" s="222" t="s">
        <v>1214</v>
      </c>
      <c r="H1" s="222" t="s">
        <v>1215</v>
      </c>
      <c r="I1" s="222" t="s">
        <v>1216</v>
      </c>
      <c r="J1" s="223" t="s">
        <v>13</v>
      </c>
    </row>
    <row r="2" spans="1:15" x14ac:dyDescent="0.2">
      <c r="A2" s="94"/>
      <c r="B2" s="264"/>
      <c r="C2" s="94"/>
      <c r="D2" s="97"/>
      <c r="E2" s="97"/>
      <c r="F2" s="94"/>
      <c r="G2" s="97"/>
      <c r="H2" s="97"/>
      <c r="I2" s="94"/>
      <c r="J2" s="94"/>
      <c r="K2" s="93">
        <f>IF(B2&lt;&gt;"",1,0)</f>
        <v>0</v>
      </c>
      <c r="L2" s="93">
        <f>IF(J2&lt;&gt;"Open",0,1)</f>
        <v>0</v>
      </c>
      <c r="M2" s="93">
        <f>IF(J2&lt;&gt;"Closed",0,1)</f>
        <v>0</v>
      </c>
      <c r="N2" s="152"/>
      <c r="O2" s="343" t="s">
        <v>888</v>
      </c>
    </row>
    <row r="3" spans="1:15" x14ac:dyDescent="0.2">
      <c r="A3" s="94"/>
      <c r="B3" s="264"/>
      <c r="C3" s="94"/>
      <c r="D3" s="97"/>
      <c r="E3" s="97"/>
      <c r="F3" s="94"/>
      <c r="G3" s="97"/>
      <c r="H3" s="97"/>
      <c r="I3" s="94"/>
      <c r="J3" s="94"/>
      <c r="K3" s="93">
        <f t="shared" ref="K3:K16" si="0">IF(B3&lt;&gt;"",1,0)</f>
        <v>0</v>
      </c>
      <c r="L3" s="93">
        <f t="shared" ref="L3:L16" si="1">IF(J3&lt;&gt;"Open",0,1)</f>
        <v>0</v>
      </c>
      <c r="M3" s="93">
        <f t="shared" ref="M3:M16" si="2">IF(J3&lt;&gt;"Closed",0,1)</f>
        <v>0</v>
      </c>
      <c r="O3" s="272"/>
    </row>
    <row r="4" spans="1:15" x14ac:dyDescent="0.2">
      <c r="A4" s="94"/>
      <c r="B4" s="264"/>
      <c r="C4" s="94"/>
      <c r="D4" s="97"/>
      <c r="E4" s="97"/>
      <c r="F4" s="94"/>
      <c r="G4" s="97"/>
      <c r="H4" s="97"/>
      <c r="I4" s="94"/>
      <c r="J4" s="94"/>
      <c r="K4" s="93">
        <f t="shared" si="0"/>
        <v>0</v>
      </c>
      <c r="L4" s="93">
        <f t="shared" si="1"/>
        <v>0</v>
      </c>
      <c r="M4" s="93">
        <f t="shared" si="2"/>
        <v>0</v>
      </c>
      <c r="O4" s="272" t="s">
        <v>895</v>
      </c>
    </row>
    <row r="5" spans="1:15" x14ac:dyDescent="0.2">
      <c r="A5" s="94"/>
      <c r="B5" s="264"/>
      <c r="C5" s="94"/>
      <c r="D5" s="97"/>
      <c r="E5" s="97"/>
      <c r="F5" s="94"/>
      <c r="G5" s="97"/>
      <c r="H5" s="97"/>
      <c r="I5" s="94"/>
      <c r="J5" s="94"/>
      <c r="K5" s="93">
        <f t="shared" si="0"/>
        <v>0</v>
      </c>
      <c r="L5" s="93">
        <f t="shared" si="1"/>
        <v>0</v>
      </c>
      <c r="M5" s="93">
        <f t="shared" si="2"/>
        <v>0</v>
      </c>
      <c r="O5" s="272" t="s">
        <v>900</v>
      </c>
    </row>
    <row r="6" spans="1:15" x14ac:dyDescent="0.2">
      <c r="A6" s="94"/>
      <c r="B6" s="98"/>
      <c r="C6" s="94"/>
      <c r="D6" s="97"/>
      <c r="E6" s="97"/>
      <c r="F6" s="94"/>
      <c r="G6" s="97"/>
      <c r="H6" s="97"/>
      <c r="I6" s="94"/>
      <c r="J6" s="94"/>
      <c r="K6" s="93">
        <f t="shared" si="0"/>
        <v>0</v>
      </c>
      <c r="L6" s="93">
        <f t="shared" si="1"/>
        <v>0</v>
      </c>
      <c r="M6" s="93">
        <f t="shared" si="2"/>
        <v>0</v>
      </c>
      <c r="O6" s="272" t="s">
        <v>905</v>
      </c>
    </row>
    <row r="7" spans="1:15" x14ac:dyDescent="0.2">
      <c r="A7" s="94"/>
      <c r="B7" s="98"/>
      <c r="C7" s="94"/>
      <c r="D7" s="97"/>
      <c r="E7" s="97"/>
      <c r="F7" s="94"/>
      <c r="G7" s="97"/>
      <c r="H7" s="97"/>
      <c r="I7" s="94"/>
      <c r="J7" s="94"/>
      <c r="K7" s="93">
        <f t="shared" si="0"/>
        <v>0</v>
      </c>
      <c r="L7" s="93">
        <f t="shared" si="1"/>
        <v>0</v>
      </c>
      <c r="M7" s="93">
        <f t="shared" si="2"/>
        <v>0</v>
      </c>
    </row>
    <row r="8" spans="1:15" x14ac:dyDescent="0.2">
      <c r="A8" s="94"/>
      <c r="B8" s="98"/>
      <c r="C8" s="94"/>
      <c r="D8" s="97"/>
      <c r="E8" s="97"/>
      <c r="F8" s="94"/>
      <c r="G8" s="97"/>
      <c r="H8" s="97"/>
      <c r="I8" s="94"/>
      <c r="J8" s="94"/>
      <c r="K8" s="93">
        <f t="shared" si="0"/>
        <v>0</v>
      </c>
      <c r="L8" s="93">
        <f t="shared" si="1"/>
        <v>0</v>
      </c>
      <c r="M8" s="93">
        <f t="shared" si="2"/>
        <v>0</v>
      </c>
    </row>
    <row r="9" spans="1:15" x14ac:dyDescent="0.2">
      <c r="A9" s="94"/>
      <c r="B9" s="98"/>
      <c r="C9" s="94"/>
      <c r="D9" s="97"/>
      <c r="E9" s="97"/>
      <c r="F9" s="94"/>
      <c r="G9" s="97"/>
      <c r="H9" s="97"/>
      <c r="I9" s="94"/>
      <c r="J9" s="94"/>
      <c r="K9" s="93">
        <f t="shared" si="0"/>
        <v>0</v>
      </c>
      <c r="L9" s="93">
        <f t="shared" si="1"/>
        <v>0</v>
      </c>
      <c r="M9" s="93">
        <f t="shared" si="2"/>
        <v>0</v>
      </c>
    </row>
    <row r="10" spans="1:15" x14ac:dyDescent="0.2">
      <c r="A10" s="94"/>
      <c r="B10" s="98"/>
      <c r="C10" s="94"/>
      <c r="D10" s="97"/>
      <c r="E10" s="97"/>
      <c r="F10" s="94"/>
      <c r="G10" s="97"/>
      <c r="H10" s="97"/>
      <c r="I10" s="94"/>
      <c r="J10" s="94"/>
      <c r="K10" s="93">
        <f t="shared" si="0"/>
        <v>0</v>
      </c>
      <c r="L10" s="93">
        <f t="shared" si="1"/>
        <v>0</v>
      </c>
      <c r="M10" s="93">
        <f t="shared" si="2"/>
        <v>0</v>
      </c>
    </row>
    <row r="11" spans="1:15" x14ac:dyDescent="0.2">
      <c r="A11" s="94"/>
      <c r="B11" s="98"/>
      <c r="C11" s="94"/>
      <c r="D11" s="97"/>
      <c r="E11" s="97"/>
      <c r="F11" s="94"/>
      <c r="G11" s="97"/>
      <c r="H11" s="97"/>
      <c r="I11" s="94"/>
      <c r="J11" s="94"/>
      <c r="K11" s="93">
        <f t="shared" si="0"/>
        <v>0</v>
      </c>
      <c r="L11" s="93">
        <f t="shared" si="1"/>
        <v>0</v>
      </c>
      <c r="M11" s="93">
        <f t="shared" si="2"/>
        <v>0</v>
      </c>
    </row>
    <row r="12" spans="1:15" x14ac:dyDescent="0.2">
      <c r="A12" s="94"/>
      <c r="B12" s="98"/>
      <c r="C12" s="94"/>
      <c r="D12" s="97"/>
      <c r="E12" s="97"/>
      <c r="F12" s="94"/>
      <c r="G12" s="97"/>
      <c r="H12" s="97"/>
      <c r="I12" s="94"/>
      <c r="J12" s="94"/>
      <c r="K12" s="93">
        <f t="shared" si="0"/>
        <v>0</v>
      </c>
      <c r="L12" s="93">
        <f t="shared" si="1"/>
        <v>0</v>
      </c>
      <c r="M12" s="93">
        <f t="shared" si="2"/>
        <v>0</v>
      </c>
    </row>
    <row r="13" spans="1:15" x14ac:dyDescent="0.2">
      <c r="A13" s="94"/>
      <c r="B13" s="98"/>
      <c r="C13" s="94"/>
      <c r="D13" s="97"/>
      <c r="E13" s="97"/>
      <c r="F13" s="94"/>
      <c r="G13" s="97"/>
      <c r="H13" s="97"/>
      <c r="I13" s="94"/>
      <c r="J13" s="94"/>
      <c r="K13" s="93">
        <f t="shared" si="0"/>
        <v>0</v>
      </c>
      <c r="L13" s="93">
        <f t="shared" si="1"/>
        <v>0</v>
      </c>
      <c r="M13" s="93">
        <f t="shared" si="2"/>
        <v>0</v>
      </c>
    </row>
    <row r="14" spans="1:15" x14ac:dyDescent="0.2">
      <c r="A14" s="94"/>
      <c r="B14" s="98"/>
      <c r="C14" s="94"/>
      <c r="D14" s="97"/>
      <c r="E14" s="97"/>
      <c r="F14" s="94"/>
      <c r="G14" s="97"/>
      <c r="H14" s="97"/>
      <c r="I14" s="94"/>
      <c r="J14" s="94"/>
      <c r="K14" s="93">
        <f t="shared" si="0"/>
        <v>0</v>
      </c>
      <c r="L14" s="93">
        <f t="shared" si="1"/>
        <v>0</v>
      </c>
      <c r="M14" s="93">
        <f t="shared" si="2"/>
        <v>0</v>
      </c>
    </row>
    <row r="15" spans="1:15" x14ac:dyDescent="0.2">
      <c r="A15" s="94"/>
      <c r="B15" s="98"/>
      <c r="C15" s="94"/>
      <c r="D15" s="97"/>
      <c r="E15" s="97"/>
      <c r="F15" s="94"/>
      <c r="G15" s="97"/>
      <c r="H15" s="97"/>
      <c r="I15" s="94"/>
      <c r="J15" s="94"/>
      <c r="K15" s="93">
        <f t="shared" si="0"/>
        <v>0</v>
      </c>
      <c r="L15" s="93">
        <f t="shared" si="1"/>
        <v>0</v>
      </c>
      <c r="M15" s="93">
        <f t="shared" si="2"/>
        <v>0</v>
      </c>
    </row>
    <row r="16" spans="1:15" x14ac:dyDescent="0.2">
      <c r="A16" s="94"/>
      <c r="B16" s="98"/>
      <c r="C16" s="94"/>
      <c r="D16" s="97"/>
      <c r="E16" s="97"/>
      <c r="F16" s="94"/>
      <c r="G16" s="97"/>
      <c r="H16" s="97"/>
      <c r="I16" s="94"/>
      <c r="J16" s="94"/>
      <c r="K16" s="93">
        <f t="shared" si="0"/>
        <v>0</v>
      </c>
      <c r="L16" s="93">
        <f t="shared" si="1"/>
        <v>0</v>
      </c>
      <c r="M16" s="93">
        <f t="shared" si="2"/>
        <v>0</v>
      </c>
    </row>
    <row r="20" spans="10:10" x14ac:dyDescent="0.2">
      <c r="J20" s="93" t="s">
        <v>196</v>
      </c>
    </row>
  </sheetData>
  <dataValidations count="1">
    <dataValidation type="list" allowBlank="1" showInputMessage="1" showErrorMessage="1" sqref="J2:J16" xr:uid="{00000000-0002-0000-0F00-000000000000}">
      <formula1>$O$3:$O$6</formula1>
    </dataValidation>
  </dataValidation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27"/>
  <sheetViews>
    <sheetView topLeftCell="H1" zoomScale="78" zoomScaleNormal="78" workbookViewId="0">
      <selection activeCell="C1" sqref="C1"/>
    </sheetView>
  </sheetViews>
  <sheetFormatPr defaultRowHeight="12.75" x14ac:dyDescent="0.2"/>
  <cols>
    <col min="1" max="1" width="5.140625" bestFit="1" customWidth="1"/>
    <col min="2" max="2" width="16.5703125" bestFit="1" customWidth="1"/>
    <col min="3" max="3" width="18.5703125" bestFit="1" customWidth="1"/>
    <col min="4" max="4" width="26.140625" bestFit="1" customWidth="1"/>
    <col min="5" max="5" width="19.42578125" bestFit="1" customWidth="1"/>
    <col min="6" max="6" width="18.85546875" customWidth="1"/>
    <col min="7" max="7" width="17" bestFit="1" customWidth="1"/>
    <col min="8" max="9" width="18.5703125" bestFit="1" customWidth="1"/>
    <col min="10" max="10" width="24.140625" bestFit="1" customWidth="1"/>
    <col min="11" max="11" width="23.42578125" bestFit="1" customWidth="1"/>
    <col min="12" max="12" width="20.140625" bestFit="1" customWidth="1"/>
    <col min="13" max="13" width="18.28515625" bestFit="1" customWidth="1"/>
    <col min="14" max="14" width="18.28515625" customWidth="1"/>
    <col min="15" max="15" width="18.85546875" bestFit="1" customWidth="1"/>
    <col min="16" max="16" width="23.140625" customWidth="1"/>
  </cols>
  <sheetData>
    <row r="1" spans="1:16" ht="38.25" x14ac:dyDescent="0.2">
      <c r="A1" s="227" t="s">
        <v>1217</v>
      </c>
      <c r="B1" s="227" t="s">
        <v>1218</v>
      </c>
      <c r="C1" s="227" t="s">
        <v>1219</v>
      </c>
      <c r="D1" s="227" t="s">
        <v>1220</v>
      </c>
      <c r="E1" s="227" t="s">
        <v>1221</v>
      </c>
      <c r="F1" s="227" t="s">
        <v>1222</v>
      </c>
      <c r="G1" s="227" t="s">
        <v>1223</v>
      </c>
      <c r="H1" s="227" t="s">
        <v>1224</v>
      </c>
      <c r="I1" s="227" t="s">
        <v>1225</v>
      </c>
      <c r="J1" s="227" t="s">
        <v>1226</v>
      </c>
      <c r="K1" s="227" t="s">
        <v>1227</v>
      </c>
      <c r="L1" s="227" t="s">
        <v>1228</v>
      </c>
      <c r="M1" s="227" t="s">
        <v>1229</v>
      </c>
      <c r="N1" s="227" t="s">
        <v>13</v>
      </c>
      <c r="O1" s="227" t="s">
        <v>1230</v>
      </c>
      <c r="P1" s="227" t="s">
        <v>933</v>
      </c>
    </row>
    <row r="2" spans="1:16" x14ac:dyDescent="0.2">
      <c r="A2" s="168"/>
      <c r="B2" s="169"/>
      <c r="C2" s="168"/>
      <c r="D2" s="168"/>
      <c r="E2" s="356"/>
      <c r="F2" s="356"/>
      <c r="G2" s="356"/>
      <c r="H2" s="170"/>
      <c r="I2" s="357"/>
      <c r="J2" s="168"/>
      <c r="K2" s="168"/>
      <c r="L2" s="356"/>
      <c r="M2" s="356"/>
      <c r="N2" s="356"/>
      <c r="O2" s="169"/>
      <c r="P2" s="358"/>
    </row>
    <row r="3" spans="1:16" x14ac:dyDescent="0.2">
      <c r="A3" s="168"/>
      <c r="B3" s="169"/>
      <c r="C3" s="168"/>
      <c r="D3" s="168"/>
      <c r="E3" s="356"/>
      <c r="F3" s="356"/>
      <c r="G3" s="356"/>
      <c r="H3" s="168"/>
      <c r="I3" s="168"/>
      <c r="J3" s="168"/>
      <c r="K3" s="168"/>
      <c r="L3" s="168"/>
      <c r="M3" s="356"/>
      <c r="N3" s="168"/>
      <c r="O3" s="169"/>
      <c r="P3" s="185"/>
    </row>
    <row r="4" spans="1:16" x14ac:dyDescent="0.2">
      <c r="A4" s="168"/>
      <c r="B4" s="169"/>
      <c r="C4" s="168"/>
      <c r="D4" s="168"/>
      <c r="E4" s="356"/>
      <c r="F4" s="356"/>
      <c r="G4" s="356"/>
      <c r="H4" s="168"/>
      <c r="I4" s="168"/>
      <c r="J4" s="168"/>
      <c r="K4" s="168"/>
      <c r="L4" s="168"/>
      <c r="M4" s="356"/>
      <c r="N4" s="168"/>
      <c r="O4" s="169"/>
      <c r="P4" s="358"/>
    </row>
    <row r="5" spans="1:16" x14ac:dyDescent="0.2">
      <c r="A5" s="168"/>
      <c r="B5" s="169"/>
      <c r="C5" s="168"/>
      <c r="D5" s="168"/>
      <c r="E5" s="356"/>
      <c r="F5" s="356"/>
      <c r="G5" s="356"/>
      <c r="H5" s="168"/>
      <c r="I5" s="168"/>
      <c r="J5" s="168"/>
      <c r="K5" s="168"/>
      <c r="L5" s="168"/>
      <c r="M5" s="356"/>
      <c r="N5" s="168"/>
      <c r="O5" s="169"/>
      <c r="P5" s="185"/>
    </row>
    <row r="6" spans="1:16" x14ac:dyDescent="0.2">
      <c r="A6" s="168"/>
      <c r="B6" s="169"/>
      <c r="C6" s="168"/>
      <c r="D6" s="168"/>
      <c r="E6" s="356"/>
      <c r="F6" s="356"/>
      <c r="G6" s="356"/>
      <c r="H6" s="356"/>
      <c r="I6" s="359"/>
      <c r="J6" s="168"/>
      <c r="K6" s="168"/>
      <c r="L6" s="356"/>
      <c r="M6" s="356"/>
      <c r="N6" s="168"/>
      <c r="O6" s="169"/>
      <c r="P6" s="185"/>
    </row>
    <row r="7" spans="1:16" x14ac:dyDescent="0.2">
      <c r="A7" s="168"/>
      <c r="B7" s="169"/>
      <c r="C7" s="168"/>
      <c r="D7" s="168"/>
      <c r="E7" s="168"/>
      <c r="F7" s="168"/>
      <c r="G7" s="168"/>
      <c r="H7" s="168"/>
      <c r="I7" s="168"/>
      <c r="J7" s="168"/>
      <c r="K7" s="168"/>
      <c r="L7" s="356"/>
      <c r="M7" s="168"/>
      <c r="N7" s="168"/>
      <c r="O7" s="169"/>
      <c r="P7" s="168"/>
    </row>
    <row r="8" spans="1:16" x14ac:dyDescent="0.2">
      <c r="A8" s="168"/>
      <c r="B8" s="169"/>
      <c r="C8" s="168"/>
      <c r="D8" s="168"/>
      <c r="E8" s="168"/>
      <c r="F8" s="168"/>
      <c r="G8" s="168"/>
      <c r="H8" s="168"/>
      <c r="I8" s="168"/>
      <c r="J8" s="168"/>
      <c r="K8" s="168"/>
      <c r="L8" s="168"/>
      <c r="M8" s="168"/>
      <c r="N8" s="168"/>
      <c r="O8" s="169"/>
      <c r="P8" s="168"/>
    </row>
    <row r="9" spans="1:16" x14ac:dyDescent="0.2">
      <c r="A9" s="168"/>
      <c r="B9" s="169"/>
      <c r="C9" s="168"/>
      <c r="D9" s="168"/>
      <c r="E9" s="168"/>
      <c r="F9" s="168"/>
      <c r="G9" s="168"/>
      <c r="H9" s="168"/>
      <c r="I9" s="168"/>
      <c r="J9" s="168"/>
      <c r="K9" s="168"/>
      <c r="L9" s="168"/>
      <c r="M9" s="168"/>
      <c r="N9" s="168"/>
      <c r="O9" s="169"/>
      <c r="P9" s="168"/>
    </row>
    <row r="10" spans="1:16" x14ac:dyDescent="0.2">
      <c r="A10" s="168"/>
      <c r="B10" s="169"/>
      <c r="C10" s="168"/>
      <c r="D10" s="168"/>
      <c r="E10" s="168"/>
      <c r="F10" s="168"/>
      <c r="G10" s="168"/>
      <c r="H10" s="168"/>
      <c r="I10" s="168"/>
      <c r="J10" s="168"/>
      <c r="K10" s="168"/>
      <c r="L10" s="168"/>
      <c r="M10" s="168"/>
      <c r="N10" s="168"/>
      <c r="O10" s="169"/>
      <c r="P10" s="168"/>
    </row>
    <row r="11" spans="1:16" x14ac:dyDescent="0.2">
      <c r="A11" s="168"/>
      <c r="B11" s="169"/>
      <c r="C11" s="168"/>
      <c r="D11" s="168"/>
      <c r="E11" s="168"/>
      <c r="F11" s="168"/>
      <c r="G11" s="168"/>
      <c r="H11" s="168"/>
      <c r="I11" s="168"/>
      <c r="J11" s="168"/>
      <c r="K11" s="168"/>
      <c r="L11" s="168"/>
      <c r="M11" s="168"/>
      <c r="N11" s="168"/>
      <c r="O11" s="169"/>
      <c r="P11" s="168"/>
    </row>
    <row r="12" spans="1:16" x14ac:dyDescent="0.2">
      <c r="A12" s="168"/>
      <c r="B12" s="169"/>
      <c r="C12" s="168"/>
      <c r="D12" s="168"/>
      <c r="E12" s="168"/>
      <c r="F12" s="168"/>
      <c r="G12" s="168"/>
      <c r="H12" s="168"/>
      <c r="I12" s="168"/>
      <c r="J12" s="168"/>
      <c r="K12" s="168"/>
      <c r="L12" s="168"/>
      <c r="M12" s="168"/>
      <c r="N12" s="168"/>
      <c r="O12" s="169"/>
      <c r="P12" s="168"/>
    </row>
    <row r="13" spans="1:16" x14ac:dyDescent="0.2">
      <c r="A13" s="168"/>
      <c r="B13" s="169"/>
      <c r="C13" s="168"/>
      <c r="D13" s="168"/>
      <c r="E13" s="168"/>
      <c r="F13" s="168"/>
      <c r="G13" s="168"/>
      <c r="H13" s="168"/>
      <c r="I13" s="168"/>
      <c r="J13" s="168"/>
      <c r="K13" s="168"/>
      <c r="L13" s="168"/>
      <c r="M13" s="168"/>
      <c r="N13" s="168"/>
      <c r="O13" s="169"/>
      <c r="P13" s="168"/>
    </row>
    <row r="14" spans="1:16" x14ac:dyDescent="0.2">
      <c r="A14" s="168"/>
      <c r="B14" s="169"/>
      <c r="C14" s="168"/>
      <c r="D14" s="168"/>
      <c r="E14" s="168"/>
      <c r="F14" s="168"/>
      <c r="G14" s="168"/>
      <c r="H14" s="168"/>
      <c r="I14" s="168"/>
      <c r="J14" s="168"/>
      <c r="K14" s="168"/>
      <c r="L14" s="168"/>
      <c r="M14" s="168"/>
      <c r="N14" s="168"/>
      <c r="O14" s="169"/>
      <c r="P14" s="168"/>
    </row>
    <row r="15" spans="1:16" x14ac:dyDescent="0.2">
      <c r="A15" s="168"/>
      <c r="B15" s="169"/>
      <c r="C15" s="168"/>
      <c r="D15" s="168"/>
      <c r="E15" s="168"/>
      <c r="F15" s="168"/>
      <c r="G15" s="168"/>
      <c r="H15" s="168"/>
      <c r="I15" s="168"/>
      <c r="J15" s="168"/>
      <c r="K15" s="168"/>
      <c r="L15" s="168"/>
      <c r="M15" s="168"/>
      <c r="N15" s="168"/>
      <c r="O15" s="169"/>
      <c r="P15" s="168"/>
    </row>
    <row r="16" spans="1:16" x14ac:dyDescent="0.2">
      <c r="A16" s="168"/>
      <c r="B16" s="169"/>
      <c r="C16" s="168"/>
      <c r="D16" s="168"/>
      <c r="E16" s="168"/>
      <c r="F16" s="168"/>
      <c r="G16" s="168"/>
      <c r="H16" s="168"/>
      <c r="I16" s="168"/>
      <c r="J16" s="168"/>
      <c r="K16" s="168"/>
      <c r="L16" s="168"/>
      <c r="M16" s="168"/>
      <c r="N16" s="168"/>
      <c r="O16" s="169"/>
      <c r="P16" s="168"/>
    </row>
    <row r="17" spans="1:16" x14ac:dyDescent="0.2">
      <c r="A17" s="168"/>
      <c r="B17" s="169"/>
      <c r="C17" s="168"/>
      <c r="D17" s="168"/>
      <c r="E17" s="168"/>
      <c r="F17" s="168"/>
      <c r="G17" s="168"/>
      <c r="H17" s="168"/>
      <c r="I17" s="168"/>
      <c r="J17" s="168"/>
      <c r="K17" s="168"/>
      <c r="L17" s="168"/>
      <c r="M17" s="168"/>
      <c r="N17" s="168"/>
      <c r="O17" s="169"/>
      <c r="P17" s="168"/>
    </row>
    <row r="18" spans="1:16" x14ac:dyDescent="0.2">
      <c r="A18" s="168"/>
      <c r="B18" s="169"/>
      <c r="C18" s="168"/>
      <c r="D18" s="168"/>
      <c r="E18" s="168"/>
      <c r="F18" s="168"/>
      <c r="G18" s="168"/>
      <c r="H18" s="168"/>
      <c r="I18" s="168"/>
      <c r="J18" s="168"/>
      <c r="K18" s="168"/>
      <c r="L18" s="168"/>
      <c r="M18" s="168"/>
      <c r="N18" s="168"/>
      <c r="O18" s="169"/>
      <c r="P18" s="168"/>
    </row>
    <row r="19" spans="1:16" x14ac:dyDescent="0.2">
      <c r="A19" s="168"/>
      <c r="B19" s="169"/>
      <c r="C19" s="168"/>
      <c r="D19" s="168"/>
      <c r="E19" s="168"/>
      <c r="F19" s="168"/>
      <c r="G19" s="168"/>
      <c r="H19" s="168"/>
      <c r="I19" s="168"/>
      <c r="J19" s="168"/>
      <c r="K19" s="168"/>
      <c r="L19" s="168"/>
      <c r="M19" s="168"/>
      <c r="N19" s="168"/>
      <c r="O19" s="169"/>
      <c r="P19" s="168"/>
    </row>
    <row r="20" spans="1:16" x14ac:dyDescent="0.2">
      <c r="A20" s="168"/>
      <c r="B20" s="169"/>
      <c r="C20" s="168"/>
      <c r="D20" s="168"/>
      <c r="E20" s="168"/>
      <c r="F20" s="168"/>
      <c r="G20" s="168"/>
      <c r="H20" s="168"/>
      <c r="I20" s="168"/>
      <c r="J20" s="168"/>
      <c r="K20" s="168"/>
      <c r="L20" s="168"/>
      <c r="M20" s="168"/>
      <c r="N20" s="168"/>
      <c r="O20" s="169"/>
      <c r="P20" s="168"/>
    </row>
    <row r="21" spans="1:16" x14ac:dyDescent="0.2">
      <c r="A21" s="168"/>
      <c r="B21" s="169"/>
      <c r="C21" s="168"/>
      <c r="D21" s="168"/>
      <c r="E21" s="168"/>
      <c r="F21" s="168"/>
      <c r="G21" s="168"/>
      <c r="H21" s="168"/>
      <c r="I21" s="168"/>
      <c r="J21" s="168"/>
      <c r="K21" s="168"/>
      <c r="L21" s="168"/>
      <c r="M21" s="168"/>
      <c r="N21" s="168"/>
      <c r="O21" s="169"/>
      <c r="P21" s="168"/>
    </row>
    <row r="22" spans="1:16" x14ac:dyDescent="0.2">
      <c r="A22" s="168"/>
      <c r="B22" s="169"/>
      <c r="C22" s="168"/>
      <c r="D22" s="168"/>
      <c r="E22" s="168"/>
      <c r="F22" s="168"/>
      <c r="G22" s="168"/>
      <c r="H22" s="168"/>
      <c r="I22" s="168"/>
      <c r="J22" s="168"/>
      <c r="K22" s="168"/>
      <c r="L22" s="168"/>
      <c r="M22" s="168"/>
      <c r="N22" s="168"/>
      <c r="O22" s="169"/>
      <c r="P22" s="168"/>
    </row>
    <row r="23" spans="1:16" x14ac:dyDescent="0.2">
      <c r="A23" s="168"/>
      <c r="B23" s="169"/>
      <c r="C23" s="168"/>
      <c r="D23" s="168"/>
      <c r="E23" s="168"/>
      <c r="F23" s="168"/>
      <c r="G23" s="168"/>
      <c r="H23" s="168"/>
      <c r="I23" s="168"/>
      <c r="J23" s="168"/>
      <c r="K23" s="168"/>
      <c r="L23" s="168"/>
      <c r="M23" s="168"/>
      <c r="N23" s="168"/>
      <c r="O23" s="169"/>
      <c r="P23" s="168"/>
    </row>
    <row r="24" spans="1:16" x14ac:dyDescent="0.2">
      <c r="A24" s="168"/>
      <c r="B24" s="169"/>
      <c r="C24" s="168"/>
      <c r="D24" s="168"/>
      <c r="E24" s="168"/>
      <c r="F24" s="168"/>
      <c r="G24" s="168"/>
      <c r="H24" s="168"/>
      <c r="I24" s="168"/>
      <c r="J24" s="168"/>
      <c r="K24" s="168"/>
      <c r="L24" s="168"/>
      <c r="M24" s="168"/>
      <c r="N24" s="168"/>
      <c r="O24" s="169"/>
      <c r="P24" s="168"/>
    </row>
    <row r="25" spans="1:16" x14ac:dyDescent="0.2">
      <c r="A25" s="168"/>
      <c r="B25" s="169"/>
      <c r="C25" s="168"/>
      <c r="D25" s="168"/>
      <c r="E25" s="168"/>
      <c r="F25" s="168"/>
      <c r="G25" s="168"/>
      <c r="H25" s="168"/>
      <c r="I25" s="168"/>
      <c r="J25" s="168"/>
      <c r="K25" s="168"/>
      <c r="L25" s="168"/>
      <c r="M25" s="168"/>
      <c r="N25" s="168"/>
      <c r="O25" s="169"/>
      <c r="P25" s="168"/>
    </row>
    <row r="26" spans="1:16" x14ac:dyDescent="0.2">
      <c r="A26" s="168"/>
      <c r="B26" s="169"/>
      <c r="C26" s="168"/>
      <c r="D26" s="168"/>
      <c r="E26" s="168"/>
      <c r="F26" s="168"/>
      <c r="G26" s="168"/>
      <c r="H26" s="168"/>
      <c r="I26" s="168"/>
      <c r="J26" s="168"/>
      <c r="K26" s="168"/>
      <c r="L26" s="168"/>
      <c r="M26" s="168"/>
      <c r="N26" s="168"/>
      <c r="O26" s="169"/>
      <c r="P26" s="168"/>
    </row>
    <row r="27" spans="1:16" x14ac:dyDescent="0.2">
      <c r="A27" s="168"/>
      <c r="B27" s="169"/>
      <c r="C27" s="168"/>
      <c r="D27" s="168"/>
      <c r="E27" s="168"/>
      <c r="F27" s="168"/>
      <c r="G27" s="168"/>
      <c r="H27" s="168"/>
      <c r="I27" s="168"/>
      <c r="J27" s="168"/>
      <c r="K27" s="168"/>
      <c r="L27" s="168"/>
      <c r="M27" s="168"/>
      <c r="N27" s="168"/>
      <c r="O27" s="169"/>
      <c r="P27" s="168"/>
    </row>
  </sheetData>
  <dataValidations count="1">
    <dataValidation type="list" allowBlank="1" showInputMessage="1" showErrorMessage="1" sqref="N2:N27" xr:uid="{00000000-0002-0000-1000-000000000000}">
      <formula1>"Identified, Open, Closed-Rejected, Closed-Converted, Closed-Transferred"</formula1>
    </dataValidation>
  </dataValidations>
  <pageMargins left="0.7" right="0.7" top="0.75" bottom="0.75" header="0.3" footer="0.3"/>
  <pageSetup orientation="portrait" horizontalDpi="4294967293" verticalDpi="4294967293"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8">
    <tabColor rgb="FFFF0000"/>
  </sheetPr>
  <dimension ref="A1:AB30"/>
  <sheetViews>
    <sheetView topLeftCell="G1" zoomScaleNormal="100" workbookViewId="0">
      <selection activeCell="D4" sqref="D4"/>
    </sheetView>
  </sheetViews>
  <sheetFormatPr defaultRowHeight="12.75" x14ac:dyDescent="0.2"/>
  <cols>
    <col min="1" max="3" width="12.85546875" style="44" customWidth="1"/>
    <col min="4" max="4" width="17.28515625" style="45" bestFit="1" customWidth="1"/>
    <col min="5" max="5" width="12.85546875" style="44" customWidth="1"/>
    <col min="6" max="6" width="26.28515625" style="45" bestFit="1" customWidth="1"/>
    <col min="7" max="7" width="9.140625" style="45"/>
    <col min="8" max="9" width="9.7109375" style="46" customWidth="1"/>
    <col min="10" max="15" width="9.140625" style="45"/>
    <col min="16" max="17" width="9.7109375" style="46" customWidth="1"/>
    <col min="18" max="18" width="16.42578125" style="45" customWidth="1"/>
    <col min="19" max="19" width="12" customWidth="1"/>
    <col min="20" max="20" width="18.85546875" style="28" customWidth="1"/>
    <col min="21" max="21" width="0" style="28" hidden="1" customWidth="1"/>
    <col min="22" max="23" width="0" style="34" hidden="1" customWidth="1"/>
    <col min="24" max="27" width="0" hidden="1" customWidth="1"/>
  </cols>
  <sheetData>
    <row r="1" spans="1:28" s="1" customFormat="1" ht="77.25" thickBot="1" x14ac:dyDescent="0.25">
      <c r="A1" s="228" t="s">
        <v>38</v>
      </c>
      <c r="B1" s="250" t="s">
        <v>1231</v>
      </c>
      <c r="C1" s="428" t="s">
        <v>1232</v>
      </c>
      <c r="D1" s="229" t="s">
        <v>1233</v>
      </c>
      <c r="E1" s="250" t="s">
        <v>1234</v>
      </c>
      <c r="F1" s="229" t="s">
        <v>1235</v>
      </c>
      <c r="G1" s="229" t="s">
        <v>942</v>
      </c>
      <c r="H1" s="253" t="s">
        <v>1236</v>
      </c>
      <c r="I1" s="253" t="s">
        <v>1237</v>
      </c>
      <c r="J1" s="254" t="s">
        <v>1238</v>
      </c>
      <c r="K1" s="254" t="s">
        <v>1239</v>
      </c>
      <c r="L1" s="254" t="s">
        <v>1240</v>
      </c>
      <c r="M1" s="254" t="s">
        <v>1241</v>
      </c>
      <c r="N1" s="254" t="s">
        <v>1242</v>
      </c>
      <c r="O1" s="254" t="s">
        <v>1243</v>
      </c>
      <c r="P1" s="253" t="s">
        <v>1244</v>
      </c>
      <c r="Q1" s="253" t="s">
        <v>1245</v>
      </c>
      <c r="R1" s="254" t="s">
        <v>933</v>
      </c>
      <c r="T1" s="10" t="s">
        <v>1057</v>
      </c>
      <c r="U1" s="10" t="s">
        <v>1058</v>
      </c>
      <c r="V1" s="35">
        <f>COUNTA(T:T)-COUNTBLANK(T1:T23)-1</f>
        <v>-10</v>
      </c>
      <c r="W1" s="35">
        <f ca="1">COUNTA(U:U)-COUNTBLANK(U1:U23)-1</f>
        <v>1</v>
      </c>
      <c r="X1" s="22" t="s">
        <v>1068</v>
      </c>
      <c r="Y1" s="22" t="s">
        <v>1069</v>
      </c>
      <c r="Z1" s="22" t="s">
        <v>1070</v>
      </c>
      <c r="AA1" s="22" t="s">
        <v>1071</v>
      </c>
      <c r="AB1" s="22" t="s">
        <v>1072</v>
      </c>
    </row>
    <row r="2" spans="1:28" x14ac:dyDescent="0.2">
      <c r="A2" s="89"/>
      <c r="B2" s="89"/>
      <c r="C2" s="96"/>
      <c r="D2" s="261"/>
      <c r="E2" s="261"/>
      <c r="F2" s="261" t="s">
        <v>1246</v>
      </c>
      <c r="G2" s="261" t="s">
        <v>1027</v>
      </c>
      <c r="H2" s="255"/>
      <c r="I2" s="255"/>
      <c r="J2" s="256"/>
      <c r="K2" s="256"/>
      <c r="L2" s="256"/>
      <c r="M2" s="256">
        <f t="shared" ref="M2:M29" si="0">IF(COUNTA(A2:L2)&gt;0,SUM(J2:L2),"")</f>
        <v>0</v>
      </c>
      <c r="N2" s="256"/>
      <c r="O2" s="256">
        <f t="shared" ref="O2:O29" si="1">IF(COUNTA(A2:L2)&gt;0,1*J2+0.33*K2+0.2*L2,"")</f>
        <v>0</v>
      </c>
      <c r="P2" s="255"/>
      <c r="Q2" s="255"/>
      <c r="R2" s="256"/>
      <c r="S2" s="1"/>
      <c r="T2" s="28" t="s">
        <v>1123</v>
      </c>
      <c r="U2" s="28" t="str">
        <f ca="1">IF(ISERROR(SMALL('Control panel'!D$3:D$23,ROW()-1)),"",INDIRECT("'Control panel'!B" &amp; SMALL('Control panel'!D$3:D$23,ROW()-1),1))</f>
        <v>Hours</v>
      </c>
      <c r="X2" s="22" t="str">
        <f t="array" aca="1" ref="X2" ca="1">IF(AND(COUNTIF('Control panel'!$A$4:$A$23,$T2)&gt;=COLUMN(A2),$T2&lt;&gt;""),INDIRECT("'Control panel'!B" &amp; SMALL(IF('Control panel'!$A$4:$A$23=$T2,'Control panel'!$C$4:$C$23,100),COLUMN(A2)),1),"")</f>
        <v>Hours</v>
      </c>
      <c r="Y2" s="22" t="str">
        <f t="array" aca="1" ref="Y2" ca="1">IF(AND(COUNTIF('Control panel'!$A$4:$A$23,$T2)&gt;=COLUMN(E2),$T2&lt;&gt;""),INDIRECT("'Control panel'!B" &amp; SMALL(IF('Control panel'!$A$4:$A$23=$T2,'Control panel'!$C$4:$C$23,100),COLUMN(E2)),1),"")</f>
        <v/>
      </c>
      <c r="Z2" s="22" t="str">
        <f t="array" aca="1" ref="Z2" ca="1">IF(AND(COUNTIF('Control panel'!$A$4:$A$23,$T2)&gt;=COLUMN(F2),$T2&lt;&gt;""),INDIRECT("'Control panel'!B" &amp; SMALL(IF('Control panel'!$A$4:$A$23=$T2,'Control panel'!$C$4:$C$23,100),COLUMN(F2)),1),"")</f>
        <v/>
      </c>
      <c r="AA2" s="22" t="str">
        <f t="array" aca="1" ref="AA2" ca="1">IF(AND(COUNTIF('Control panel'!$A$4:$A$23,$T2)&gt;=COLUMN(D2),$T2&lt;&gt;""),INDIRECT("'Control panel'!B" &amp; SMALL(IF('Control panel'!$A$4:$A$23=$T2,'Control panel'!$C$4:$C$23,100),COLUMN(D2)),1),"")</f>
        <v/>
      </c>
      <c r="AB2" s="22" t="str">
        <f t="array" aca="1" ref="AB2" ca="1">IF(AND(COUNTIF('Control panel'!$A$4:$A$23,$T2)&gt;=COLUMN(G2),$T2&lt;&gt;""),INDIRECT("'Control panel'!B" &amp; SMALL(IF('Control panel'!$A$4:$A$23=$T2,'Control panel'!$C$4:$C$23,100),COLUMN(G2)),1),"")</f>
        <v/>
      </c>
    </row>
    <row r="3" spans="1:28" x14ac:dyDescent="0.2">
      <c r="A3" s="89"/>
      <c r="B3" s="89"/>
      <c r="C3" s="96"/>
      <c r="D3" s="261"/>
      <c r="E3" s="261"/>
      <c r="F3" s="261" t="s">
        <v>1140</v>
      </c>
      <c r="G3" s="261"/>
      <c r="H3" s="255"/>
      <c r="I3" s="255"/>
      <c r="J3" s="256"/>
      <c r="K3" s="256"/>
      <c r="L3" s="256"/>
      <c r="M3" s="256">
        <f t="shared" si="0"/>
        <v>0</v>
      </c>
      <c r="N3" s="256"/>
      <c r="O3" s="256">
        <f t="shared" si="1"/>
        <v>0</v>
      </c>
      <c r="P3" s="255"/>
      <c r="Q3" s="255"/>
      <c r="R3" s="256"/>
      <c r="T3" s="28" t="s">
        <v>1126</v>
      </c>
      <c r="U3" s="28" t="str">
        <f ca="1">IF(ISERROR(SMALL('Control panel'!D$3:D$23,ROW()-1)),"",INDIRECT("'Control panel'!B" &amp; SMALL('Control panel'!D$3:D$23,ROW()-1),1))</f>
        <v/>
      </c>
      <c r="X3" s="22" t="str">
        <f t="array" aca="1" ref="X3" ca="1">IF(AND(COUNTIF('Control panel'!$A$4:$A$23,$T3)&gt;=COLUMN(A3),$T3&lt;&gt;""),INDIRECT("'Control panel'!B" &amp; SMALL(IF('Control panel'!$A$4:$A$23=$T3,'Control panel'!$C$4:$C$23,100),COLUMN(A3)),1),"")</f>
        <v>Hours</v>
      </c>
      <c r="Y3" s="22" t="str">
        <f t="array" aca="1" ref="Y3" ca="1">IF(AND(COUNTIF('Control panel'!$A$4:$A$23,$T3)&gt;=COLUMN(E3),$T3&lt;&gt;""),INDIRECT("'Control panel'!B" &amp; SMALL(IF('Control panel'!$A$4:$A$23=$T3,'Control panel'!$C$4:$C$23,100),COLUMN(E3)),1),"")</f>
        <v/>
      </c>
      <c r="Z3" s="22" t="str">
        <f t="array" aca="1" ref="Z3" ca="1">IF(AND(COUNTIF('Control panel'!$A$4:$A$23,$T3)&gt;=COLUMN(F3),$T3&lt;&gt;""),INDIRECT("'Control panel'!B" &amp; SMALL(IF('Control panel'!$A$4:$A$23=$T3,'Control panel'!$C$4:$C$23,100),COLUMN(F3)),1),"")</f>
        <v/>
      </c>
      <c r="AA3" s="22" t="str">
        <f t="array" aca="1" ref="AA3" ca="1">IF(AND(COUNTIF('Control panel'!$A$4:$A$23,$T3)&gt;=COLUMN(D3),$T3&lt;&gt;""),INDIRECT("'Control panel'!B" &amp; SMALL(IF('Control panel'!$A$4:$A$23=$T3,'Control panel'!$C$4:$C$23,100),COLUMN(D3)),1),"")</f>
        <v/>
      </c>
      <c r="AB3" s="22" t="str">
        <f t="array" aca="1" ref="AB3" ca="1">IF(AND(COUNTIF('Control panel'!$A$4:$A$23,$T3)&gt;=COLUMN(G3),$T3&lt;&gt;""),INDIRECT("'Control panel'!B" &amp; SMALL(IF('Control panel'!$A$4:$A$23=$T3,'Control panel'!$C$4:$C$23,100),COLUMN(G3)),1),"")</f>
        <v/>
      </c>
    </row>
    <row r="4" spans="1:28" x14ac:dyDescent="0.2">
      <c r="A4" s="89"/>
      <c r="B4" s="89"/>
      <c r="C4" s="96"/>
      <c r="D4" s="90"/>
      <c r="E4" s="90"/>
      <c r="F4" s="90"/>
      <c r="G4" s="90"/>
      <c r="H4" s="255"/>
      <c r="I4" s="255"/>
      <c r="J4" s="256"/>
      <c r="K4" s="256"/>
      <c r="L4" s="256"/>
      <c r="M4" s="256" t="str">
        <f t="shared" si="0"/>
        <v/>
      </c>
      <c r="N4" s="256"/>
      <c r="O4" s="256" t="str">
        <f t="shared" si="1"/>
        <v/>
      </c>
      <c r="P4" s="255"/>
      <c r="Q4" s="255"/>
      <c r="R4" s="256"/>
      <c r="T4" s="28" t="s">
        <v>1247</v>
      </c>
      <c r="U4" s="28" t="str">
        <f ca="1">IF(ISERROR(SMALL('Control panel'!D$3:D$23,ROW()-1)),"",INDIRECT("'Control panel'!B" &amp; SMALL('Control panel'!D$3:D$23,ROW()-1),1))</f>
        <v/>
      </c>
      <c r="X4" s="22" t="str">
        <f t="array" aca="1" ref="X4" ca="1">IF(AND(COUNTIF('Control panel'!$A$4:$A$23,$T4)&gt;=COLUMN(A4),$T4&lt;&gt;""),INDIRECT("'Control panel'!B" &amp; SMALL(IF('Control panel'!$A$4:$A$23=$T4,'Control panel'!$C$4:$C$23,100),COLUMN(A4)),1),"")</f>
        <v>Hours</v>
      </c>
      <c r="Y4" s="22" t="str">
        <f t="array" aca="1" ref="Y4" ca="1">IF(AND(COUNTIF('Control panel'!$A$4:$A$23,$T4)&gt;=COLUMN(E4),$T4&lt;&gt;""),INDIRECT("'Control panel'!B" &amp; SMALL(IF('Control panel'!$A$4:$A$23=$T4,'Control panel'!$C$4:$C$23,100),COLUMN(E4)),1),"")</f>
        <v/>
      </c>
      <c r="Z4" s="22" t="str">
        <f t="array" aca="1" ref="Z4" ca="1">IF(AND(COUNTIF('Control panel'!$A$4:$A$23,$T4)&gt;=COLUMN(F4),$T4&lt;&gt;""),INDIRECT("'Control panel'!B" &amp; SMALL(IF('Control panel'!$A$4:$A$23=$T4,'Control panel'!$C$4:$C$23,100),COLUMN(F4)),1),"")</f>
        <v/>
      </c>
      <c r="AA4" s="22" t="str">
        <f t="array" aca="1" ref="AA4" ca="1">IF(AND(COUNTIF('Control panel'!$A$4:$A$23,$T4)&gt;=COLUMN(D4),$T4&lt;&gt;""),INDIRECT("'Control panel'!B" &amp; SMALL(IF('Control panel'!$A$4:$A$23=$T4,'Control panel'!$C$4:$C$23,100),COLUMN(D4)),1),"")</f>
        <v/>
      </c>
      <c r="AB4" s="22" t="str">
        <f t="array" aca="1" ref="AB4" ca="1">IF(AND(COUNTIF('Control panel'!$A$4:$A$23,$T4)&gt;=COLUMN(G4),$T4&lt;&gt;""),INDIRECT("'Control panel'!B" &amp; SMALL(IF('Control panel'!$A$4:$A$23=$T4,'Control panel'!$C$4:$C$23,100),COLUMN(G4)),1),"")</f>
        <v/>
      </c>
    </row>
    <row r="5" spans="1:28" x14ac:dyDescent="0.2">
      <c r="A5" s="89"/>
      <c r="B5" s="89"/>
      <c r="C5" s="96"/>
      <c r="D5" s="90"/>
      <c r="E5" s="90"/>
      <c r="F5" s="90"/>
      <c r="G5" s="90"/>
      <c r="H5" s="255"/>
      <c r="I5" s="255"/>
      <c r="J5" s="256"/>
      <c r="K5" s="256"/>
      <c r="L5" s="256"/>
      <c r="M5" s="256" t="str">
        <f t="shared" si="0"/>
        <v/>
      </c>
      <c r="N5" s="256"/>
      <c r="O5" s="256" t="str">
        <f t="shared" si="1"/>
        <v/>
      </c>
      <c r="P5" s="255"/>
      <c r="Q5" s="255"/>
      <c r="R5" s="256"/>
      <c r="T5" s="28" t="s">
        <v>1134</v>
      </c>
      <c r="U5" s="28" t="str">
        <f ca="1">IF(ISERROR(SMALL('Control panel'!D$3:D$23,ROW()-1)),"",INDIRECT("'Control panel'!B" &amp; SMALL('Control panel'!D$3:D$23,ROW()-1),1))</f>
        <v/>
      </c>
      <c r="X5" s="22" t="str">
        <f t="array" aca="1" ref="X5" ca="1">IF(AND(COUNTIF('Control panel'!$A$4:$A$23,$T5)&gt;=COLUMN(A5),$T5&lt;&gt;""),INDIRECT("'Control panel'!B" &amp; SMALL(IF('Control panel'!$A$4:$A$23=$T5,'Control panel'!$C$4:$C$23,100),COLUMN(A5)),1),"")</f>
        <v>Hours</v>
      </c>
      <c r="Y5" s="22" t="str">
        <f t="array" aca="1" ref="Y5" ca="1">IF(AND(COUNTIF('Control panel'!$A$4:$A$23,$T5)&gt;=COLUMN(E5),$T5&lt;&gt;""),INDIRECT("'Control panel'!B" &amp; SMALL(IF('Control panel'!$A$4:$A$23=$T5,'Control panel'!$C$4:$C$23,100),COLUMN(E5)),1),"")</f>
        <v/>
      </c>
      <c r="Z5" s="22" t="str">
        <f t="array" aca="1" ref="Z5" ca="1">IF(AND(COUNTIF('Control panel'!$A$4:$A$23,$T5)&gt;=COLUMN(F5),$T5&lt;&gt;""),INDIRECT("'Control panel'!B" &amp; SMALL(IF('Control panel'!$A$4:$A$23=$T5,'Control panel'!$C$4:$C$23,100),COLUMN(F5)),1),"")</f>
        <v/>
      </c>
      <c r="AA5" s="22" t="str">
        <f t="array" aca="1" ref="AA5" ca="1">IF(AND(COUNTIF('Control panel'!$A$4:$A$23,$T5)&gt;=COLUMN(D5),$T5&lt;&gt;""),INDIRECT("'Control panel'!B" &amp; SMALL(IF('Control panel'!$A$4:$A$23=$T5,'Control panel'!$C$4:$C$23,100),COLUMN(D5)),1),"")</f>
        <v/>
      </c>
      <c r="AB5" s="22" t="str">
        <f t="array" aca="1" ref="AB5" ca="1">IF(AND(COUNTIF('Control panel'!$A$4:$A$23,$T5)&gt;=COLUMN(G5),$T5&lt;&gt;""),INDIRECT("'Control panel'!B" &amp; SMALL(IF('Control panel'!$A$4:$A$23=$T5,'Control panel'!$C$4:$C$23,100),COLUMN(G5)),1),"")</f>
        <v/>
      </c>
    </row>
    <row r="6" spans="1:28" x14ac:dyDescent="0.2">
      <c r="A6" s="89"/>
      <c r="B6" s="89"/>
      <c r="C6" s="96"/>
      <c r="D6" s="90"/>
      <c r="E6" s="90"/>
      <c r="F6" s="90"/>
      <c r="G6" s="90"/>
      <c r="H6" s="255"/>
      <c r="I6" s="255"/>
      <c r="J6" s="256"/>
      <c r="K6" s="256"/>
      <c r="L6" s="256"/>
      <c r="M6" s="256" t="str">
        <f t="shared" si="0"/>
        <v/>
      </c>
      <c r="N6" s="256"/>
      <c r="O6" s="256" t="str">
        <f t="shared" si="1"/>
        <v/>
      </c>
      <c r="P6" s="255"/>
      <c r="Q6" s="255"/>
      <c r="R6" s="256"/>
      <c r="T6" s="28" t="s">
        <v>1248</v>
      </c>
      <c r="U6" s="28" t="str">
        <f ca="1">IF(ISERROR(SMALL('Control panel'!D$3:D$23,ROW()-1)),"",INDIRECT("'Control panel'!B" &amp; SMALL('Control panel'!D$3:D$23,ROW()-1),1))</f>
        <v/>
      </c>
      <c r="X6" s="22" t="str">
        <f t="array" aca="1" ref="X6" ca="1">IF(AND(COUNTIF('Control panel'!$A$4:$A$23,$T6)&gt;=COLUMN(A6),$T6&lt;&gt;""),INDIRECT("'Control panel'!B" &amp; SMALL(IF('Control panel'!$A$4:$A$23=$T6,'Control panel'!$C$4:$C$23,100),COLUMN(A6)),1),"")</f>
        <v>Hours</v>
      </c>
      <c r="Y6" s="22" t="str">
        <f t="array" aca="1" ref="Y6" ca="1">IF(AND(COUNTIF('Control panel'!$A$4:$A$23,$T6)&gt;=COLUMN(E6),$T6&lt;&gt;""),INDIRECT("'Control panel'!B" &amp; SMALL(IF('Control panel'!$A$4:$A$23=$T6,'Control panel'!$C$4:$C$23,100),COLUMN(E6)),1),"")</f>
        <v/>
      </c>
      <c r="Z6" s="22" t="str">
        <f t="array" aca="1" ref="Z6" ca="1">IF(AND(COUNTIF('Control panel'!$A$4:$A$23,$T6)&gt;=COLUMN(F6),$T6&lt;&gt;""),INDIRECT("'Control panel'!B" &amp; SMALL(IF('Control panel'!$A$4:$A$23=$T6,'Control panel'!$C$4:$C$23,100),COLUMN(F6)),1),"")</f>
        <v/>
      </c>
      <c r="AA6" s="22" t="str">
        <f t="array" aca="1" ref="AA6" ca="1">IF(AND(COUNTIF('Control panel'!$A$4:$A$23,$T6)&gt;=COLUMN(D6),$T6&lt;&gt;""),INDIRECT("'Control panel'!B" &amp; SMALL(IF('Control panel'!$A$4:$A$23=$T6,'Control panel'!$C$4:$C$23,100),COLUMN(D6)),1),"")</f>
        <v/>
      </c>
      <c r="AB6" s="22" t="str">
        <f t="array" aca="1" ref="AB6" ca="1">IF(AND(COUNTIF('Control panel'!$A$4:$A$23,$T6)&gt;=COLUMN(G6),$T6&lt;&gt;""),INDIRECT("'Control panel'!B" &amp; SMALL(IF('Control panel'!$A$4:$A$23=$T6,'Control panel'!$C$4:$C$23,100),COLUMN(G6)),1),"")</f>
        <v/>
      </c>
    </row>
    <row r="7" spans="1:28" x14ac:dyDescent="0.2">
      <c r="A7" s="89"/>
      <c r="B7" s="89"/>
      <c r="C7" s="96"/>
      <c r="D7" s="90"/>
      <c r="E7" s="90"/>
      <c r="F7" s="90"/>
      <c r="G7" s="90"/>
      <c r="H7" s="255"/>
      <c r="I7" s="255"/>
      <c r="J7" s="256"/>
      <c r="K7" s="256"/>
      <c r="L7" s="256"/>
      <c r="M7" s="256" t="str">
        <f t="shared" si="0"/>
        <v/>
      </c>
      <c r="N7" s="256"/>
      <c r="O7" s="256" t="str">
        <f t="shared" si="1"/>
        <v/>
      </c>
      <c r="P7" s="255"/>
      <c r="Q7" s="255"/>
      <c r="R7" s="256"/>
      <c r="T7" s="28" t="s">
        <v>1249</v>
      </c>
      <c r="U7" s="28" t="str">
        <f ca="1">IF(ISERROR(SMALL('Control panel'!D$3:D$23,ROW()-1)),"",INDIRECT("'Control panel'!B" &amp; SMALL('Control panel'!D$3:D$23,ROW()-1),1))</f>
        <v/>
      </c>
      <c r="X7" s="22" t="str">
        <f t="array" aca="1" ref="X7" ca="1">IF(AND(COUNTIF('Control panel'!$A$4:$A$23,$T7)&gt;=COLUMN(A7),$T7&lt;&gt;""),INDIRECT("'Control panel'!B" &amp; SMALL(IF('Control panel'!$A$4:$A$23=$T7,'Control panel'!$C$4:$C$23,100),COLUMN(A7)),1),"")</f>
        <v/>
      </c>
      <c r="Y7" s="22" t="str">
        <f t="array" aca="1" ref="Y7" ca="1">IF(AND(COUNTIF('Control panel'!$A$4:$A$23,$T7)&gt;=COLUMN(E7),$T7&lt;&gt;""),INDIRECT("'Control panel'!B" &amp; SMALL(IF('Control panel'!$A$4:$A$23=$T7,'Control panel'!$C$4:$C$23,100),COLUMN(E7)),1),"")</f>
        <v/>
      </c>
      <c r="Z7" s="22" t="str">
        <f t="array" aca="1" ref="Z7" ca="1">IF(AND(COUNTIF('Control panel'!$A$4:$A$23,$T7)&gt;=COLUMN(F7),$T7&lt;&gt;""),INDIRECT("'Control panel'!B" &amp; SMALL(IF('Control panel'!$A$4:$A$23=$T7,'Control panel'!$C$4:$C$23,100),COLUMN(F7)),1),"")</f>
        <v/>
      </c>
      <c r="AA7" s="22" t="str">
        <f t="array" aca="1" ref="AA7" ca="1">IF(AND(COUNTIF('Control panel'!$A$4:$A$23,$T7)&gt;=COLUMN(D7),$T7&lt;&gt;""),INDIRECT("'Control panel'!B" &amp; SMALL(IF('Control panel'!$A$4:$A$23=$T7,'Control panel'!$C$4:$C$23,100),COLUMN(D7)),1),"")</f>
        <v/>
      </c>
      <c r="AB7" s="22" t="str">
        <f t="array" aca="1" ref="AB7" ca="1">IF(AND(COUNTIF('Control panel'!$A$4:$A$23,$T7)&gt;=COLUMN(G7),$T7&lt;&gt;""),INDIRECT("'Control panel'!B" &amp; SMALL(IF('Control panel'!$A$4:$A$23=$T7,'Control panel'!$C$4:$C$23,100),COLUMN(G7)),1),"")</f>
        <v/>
      </c>
    </row>
    <row r="8" spans="1:28" x14ac:dyDescent="0.2">
      <c r="A8" s="89"/>
      <c r="B8" s="89"/>
      <c r="C8" s="96"/>
      <c r="D8" s="90"/>
      <c r="E8" s="90"/>
      <c r="F8" s="90"/>
      <c r="G8" s="90"/>
      <c r="H8" s="255"/>
      <c r="I8" s="255"/>
      <c r="J8" s="256"/>
      <c r="K8" s="256"/>
      <c r="L8" s="256"/>
      <c r="M8" s="256" t="str">
        <f t="shared" si="0"/>
        <v/>
      </c>
      <c r="N8" s="256"/>
      <c r="O8" s="256" t="str">
        <f t="shared" si="1"/>
        <v/>
      </c>
      <c r="P8" s="255"/>
      <c r="Q8" s="255"/>
      <c r="R8" s="256"/>
      <c r="U8" s="28" t="str">
        <f ca="1">IF(ISERROR(SMALL('Control panel'!D$3:D$23,ROW()-1)),"",INDIRECT("'Control panel'!B" &amp; SMALL('Control panel'!D$3:D$23,ROW()-1),1))</f>
        <v/>
      </c>
      <c r="X8" s="22" t="str">
        <f t="array" aca="1" ref="X8" ca="1">IF(AND(COUNTIF('Control panel'!$A$4:$A$23,$T8)&gt;=COLUMN(A8),$T8&lt;&gt;""),INDIRECT("'Control panel'!B" &amp; SMALL(IF('Control panel'!$A$4:$A$23=$T8,'Control panel'!$C$4:$C$23,100),COLUMN(A8)),1),"")</f>
        <v/>
      </c>
      <c r="Y8" s="22" t="str">
        <f t="array" aca="1" ref="Y8" ca="1">IF(AND(COUNTIF('Control panel'!$A$4:$A$23,$T8)&gt;=COLUMN(E8),$T8&lt;&gt;""),INDIRECT("'Control panel'!B" &amp; SMALL(IF('Control panel'!$A$4:$A$23=$T8,'Control panel'!$C$4:$C$23,100),COLUMN(E8)),1),"")</f>
        <v/>
      </c>
      <c r="Z8" s="22" t="str">
        <f t="array" aca="1" ref="Z8" ca="1">IF(AND(COUNTIF('Control panel'!$A$4:$A$23,$T8)&gt;=COLUMN(F8),$T8&lt;&gt;""),INDIRECT("'Control panel'!B" &amp; SMALL(IF('Control panel'!$A$4:$A$23=$T8,'Control panel'!$C$4:$C$23,100),COLUMN(F8)),1),"")</f>
        <v/>
      </c>
      <c r="AA8" s="22" t="str">
        <f t="array" aca="1" ref="AA8" ca="1">IF(AND(COUNTIF('Control panel'!$A$4:$A$23,$T8)&gt;=COLUMN(D8),$T8&lt;&gt;""),INDIRECT("'Control panel'!B" &amp; SMALL(IF('Control panel'!$A$4:$A$23=$T8,'Control panel'!$C$4:$C$23,100),COLUMN(D8)),1),"")</f>
        <v/>
      </c>
      <c r="AB8" s="22" t="str">
        <f t="array" aca="1" ref="AB8" ca="1">IF(AND(COUNTIF('Control panel'!$A$4:$A$23,$T8)&gt;=COLUMN(G8),$T8&lt;&gt;""),INDIRECT("'Control panel'!B" &amp; SMALL(IF('Control panel'!$A$4:$A$23=$T8,'Control panel'!$C$4:$C$23,100),COLUMN(G8)),1),"")</f>
        <v/>
      </c>
    </row>
    <row r="9" spans="1:28" x14ac:dyDescent="0.2">
      <c r="A9" s="81"/>
      <c r="B9" s="81"/>
      <c r="C9" s="96"/>
      <c r="D9" s="90"/>
      <c r="E9" s="90"/>
      <c r="F9" s="90"/>
      <c r="G9" s="90"/>
      <c r="H9" s="255"/>
      <c r="I9" s="255"/>
      <c r="J9" s="256"/>
      <c r="K9" s="256"/>
      <c r="L9" s="256"/>
      <c r="M9" s="256" t="str">
        <f t="shared" si="0"/>
        <v/>
      </c>
      <c r="N9" s="256"/>
      <c r="O9" s="256" t="str">
        <f t="shared" si="1"/>
        <v/>
      </c>
      <c r="P9" s="255"/>
      <c r="Q9" s="255"/>
      <c r="R9" s="256"/>
      <c r="U9" s="28" t="str">
        <f ca="1">IF(ISERROR(SMALL('Control panel'!D$3:D$23,ROW()-1)),"",INDIRECT("'Control panel'!B" &amp; SMALL('Control panel'!D$3:D$23,ROW()-1),1))</f>
        <v/>
      </c>
      <c r="X9" s="22" t="str">
        <f t="array" aca="1" ref="X9" ca="1">IF(AND(COUNTIF('Control panel'!$A$4:$A$23,$T9)&gt;=COLUMN(A9),$T9&lt;&gt;""),INDIRECT("'Control panel'!B" &amp; SMALL(IF('Control panel'!$A$4:$A$23=$T9,'Control panel'!$C$4:$C$23,100),COLUMN(A9)),1),"")</f>
        <v/>
      </c>
      <c r="Y9" s="22" t="str">
        <f t="array" aca="1" ref="Y9" ca="1">IF(AND(COUNTIF('Control panel'!$A$4:$A$23,$T9)&gt;=COLUMN(E9),$T9&lt;&gt;""),INDIRECT("'Control panel'!B" &amp; SMALL(IF('Control panel'!$A$4:$A$23=$T9,'Control panel'!$C$4:$C$23,100),COLUMN(E9)),1),"")</f>
        <v/>
      </c>
      <c r="Z9" s="22" t="str">
        <f t="array" aca="1" ref="Z9" ca="1">IF(AND(COUNTIF('Control panel'!$A$4:$A$23,$T9)&gt;=COLUMN(F9),$T9&lt;&gt;""),INDIRECT("'Control panel'!B" &amp; SMALL(IF('Control panel'!$A$4:$A$23=$T9,'Control panel'!$C$4:$C$23,100),COLUMN(F9)),1),"")</f>
        <v/>
      </c>
      <c r="AA9" s="22" t="str">
        <f t="array" aca="1" ref="AA9" ca="1">IF(AND(COUNTIF('Control panel'!$A$4:$A$23,$T9)&gt;=COLUMN(D9),$T9&lt;&gt;""),INDIRECT("'Control panel'!B" &amp; SMALL(IF('Control panel'!$A$4:$A$23=$T9,'Control panel'!$C$4:$C$23,100),COLUMN(D9)),1),"")</f>
        <v/>
      </c>
      <c r="AB9" s="22" t="str">
        <f t="array" aca="1" ref="AB9" ca="1">IF(AND(COUNTIF('Control panel'!$A$4:$A$23,$T9)&gt;=COLUMN(G9),$T9&lt;&gt;""),INDIRECT("'Control panel'!B" &amp; SMALL(IF('Control panel'!$A$4:$A$23=$T9,'Control panel'!$C$4:$C$23,100),COLUMN(G9)),1),"")</f>
        <v/>
      </c>
    </row>
    <row r="10" spans="1:28" x14ac:dyDescent="0.2">
      <c r="A10" s="81"/>
      <c r="B10" s="81"/>
      <c r="C10" s="96"/>
      <c r="D10" s="90"/>
      <c r="E10" s="90"/>
      <c r="F10" s="90"/>
      <c r="G10" s="90"/>
      <c r="H10" s="255"/>
      <c r="I10" s="255"/>
      <c r="J10" s="256"/>
      <c r="K10" s="256"/>
      <c r="L10" s="256"/>
      <c r="M10" s="256" t="str">
        <f t="shared" si="0"/>
        <v/>
      </c>
      <c r="N10" s="256"/>
      <c r="O10" s="256" t="str">
        <f t="shared" si="1"/>
        <v/>
      </c>
      <c r="P10" s="255"/>
      <c r="Q10" s="255"/>
      <c r="R10" s="256"/>
      <c r="U10" s="28" t="str">
        <f ca="1">IF(ISERROR(SMALL('Control panel'!D$3:D$23,ROW()-1)),"",INDIRECT("'Control panel'!B" &amp; SMALL('Control panel'!D$3:D$23,ROW()-1),1))</f>
        <v/>
      </c>
      <c r="X10" s="22" t="str">
        <f t="array" aca="1" ref="X10" ca="1">IF(AND(COUNTIF('Control panel'!$A$4:$A$23,$T10)&gt;=COLUMN(A10),$T10&lt;&gt;""),INDIRECT("'Control panel'!B" &amp; SMALL(IF('Control panel'!$A$4:$A$23=$T10,'Control panel'!$C$4:$C$23,100),COLUMN(A10)),1),"")</f>
        <v/>
      </c>
      <c r="Y10" s="22" t="str">
        <f t="array" aca="1" ref="Y10" ca="1">IF(AND(COUNTIF('Control panel'!$A$4:$A$23,$T10)&gt;=COLUMN(E10),$T10&lt;&gt;""),INDIRECT("'Control panel'!B" &amp; SMALL(IF('Control panel'!$A$4:$A$23=$T10,'Control panel'!$C$4:$C$23,100),COLUMN(E10)),1),"")</f>
        <v/>
      </c>
      <c r="Z10" s="22" t="str">
        <f t="array" aca="1" ref="Z10" ca="1">IF(AND(COUNTIF('Control panel'!$A$4:$A$23,$T10)&gt;=COLUMN(F10),$T10&lt;&gt;""),INDIRECT("'Control panel'!B" &amp; SMALL(IF('Control panel'!$A$4:$A$23=$T10,'Control panel'!$C$4:$C$23,100),COLUMN(F10)),1),"")</f>
        <v/>
      </c>
      <c r="AA10" s="22" t="str">
        <f t="array" aca="1" ref="AA10" ca="1">IF(AND(COUNTIF('Control panel'!$A$4:$A$23,$T10)&gt;=COLUMN(D10),$T10&lt;&gt;""),INDIRECT("'Control panel'!B" &amp; SMALL(IF('Control panel'!$A$4:$A$23=$T10,'Control panel'!$C$4:$C$23,100),COLUMN(D10)),1),"")</f>
        <v/>
      </c>
      <c r="AB10" s="22" t="str">
        <f t="array" aca="1" ref="AB10" ca="1">IF(AND(COUNTIF('Control panel'!$A$4:$A$23,$T10)&gt;=COLUMN(G10),$T10&lt;&gt;""),INDIRECT("'Control panel'!B" &amp; SMALL(IF('Control panel'!$A$4:$A$23=$T10,'Control panel'!$C$4:$C$23,100),COLUMN(G10)),1),"")</f>
        <v/>
      </c>
    </row>
    <row r="11" spans="1:28" x14ac:dyDescent="0.2">
      <c r="A11" s="81"/>
      <c r="B11" s="81"/>
      <c r="C11" s="96"/>
      <c r="D11" s="90"/>
      <c r="E11" s="90"/>
      <c r="F11" s="90"/>
      <c r="G11" s="90"/>
      <c r="H11" s="255"/>
      <c r="I11" s="255"/>
      <c r="J11" s="256"/>
      <c r="K11" s="256"/>
      <c r="L11" s="256"/>
      <c r="M11" s="256" t="str">
        <f t="shared" si="0"/>
        <v/>
      </c>
      <c r="N11" s="256"/>
      <c r="O11" s="256" t="str">
        <f t="shared" si="1"/>
        <v/>
      </c>
      <c r="P11" s="255"/>
      <c r="Q11" s="255"/>
      <c r="R11" s="256"/>
      <c r="U11" s="28" t="str">
        <f ca="1">IF(ISERROR(SMALL('Control panel'!D$3:D$23,ROW()-1)),"",INDIRECT("'Control panel'!B" &amp; SMALL('Control panel'!D$3:D$23,ROW()-1),1))</f>
        <v/>
      </c>
      <c r="X11" s="22" t="str">
        <f t="array" aca="1" ref="X11" ca="1">IF(AND(COUNTIF('Control panel'!$A$4:$A$23,$T11)&gt;=COLUMN(A11),$T11&lt;&gt;""),INDIRECT("'Control panel'!B" &amp; SMALL(IF('Control panel'!$A$4:$A$23=$T11,'Control panel'!$C$4:$C$23,100),COLUMN(A11)),1),"")</f>
        <v/>
      </c>
      <c r="Y11" s="22" t="str">
        <f t="array" aca="1" ref="Y11" ca="1">IF(AND(COUNTIF('Control panel'!$A$4:$A$23,$T11)&gt;=COLUMN(E11),$T11&lt;&gt;""),INDIRECT("'Control panel'!B" &amp; SMALL(IF('Control panel'!$A$4:$A$23=$T11,'Control panel'!$C$4:$C$23,100),COLUMN(E11)),1),"")</f>
        <v/>
      </c>
      <c r="Z11" s="22" t="str">
        <f t="array" aca="1" ref="Z11" ca="1">IF(AND(COUNTIF('Control panel'!$A$4:$A$23,$T11)&gt;=COLUMN(F11),$T11&lt;&gt;""),INDIRECT("'Control panel'!B" &amp; SMALL(IF('Control panel'!$A$4:$A$23=$T11,'Control panel'!$C$4:$C$23,100),COLUMN(F11)),1),"")</f>
        <v/>
      </c>
      <c r="AA11" s="22" t="str">
        <f t="array" aca="1" ref="AA11" ca="1">IF(AND(COUNTIF('Control panel'!$A$4:$A$23,$T11)&gt;=COLUMN(D11),$T11&lt;&gt;""),INDIRECT("'Control panel'!B" &amp; SMALL(IF('Control panel'!$A$4:$A$23=$T11,'Control panel'!$C$4:$C$23,100),COLUMN(D11)),1),"")</f>
        <v/>
      </c>
      <c r="AB11" s="22" t="str">
        <f t="array" aca="1" ref="AB11" ca="1">IF(AND(COUNTIF('Control panel'!$A$4:$A$23,$T11)&gt;=COLUMN(G11),$T11&lt;&gt;""),INDIRECT("'Control panel'!B" &amp; SMALL(IF('Control panel'!$A$4:$A$23=$T11,'Control panel'!$C$4:$C$23,100),COLUMN(G11)),1),"")</f>
        <v/>
      </c>
    </row>
    <row r="12" spans="1:28" x14ac:dyDescent="0.2">
      <c r="A12" s="81"/>
      <c r="B12" s="81"/>
      <c r="C12" s="96"/>
      <c r="D12" s="90"/>
      <c r="E12" s="90"/>
      <c r="F12" s="90"/>
      <c r="G12" s="90"/>
      <c r="H12" s="255"/>
      <c r="I12" s="255"/>
      <c r="J12" s="256"/>
      <c r="K12" s="256"/>
      <c r="L12" s="256"/>
      <c r="M12" s="256" t="str">
        <f t="shared" si="0"/>
        <v/>
      </c>
      <c r="N12" s="256"/>
      <c r="O12" s="256" t="str">
        <f t="shared" si="1"/>
        <v/>
      </c>
      <c r="P12" s="255"/>
      <c r="Q12" s="255"/>
      <c r="R12" s="256"/>
      <c r="U12" s="28" t="str">
        <f ca="1">IF(ISERROR(SMALL('Control panel'!D$3:D$23,ROW()-1)),"",INDIRECT("'Control panel'!B" &amp; SMALL('Control panel'!D$3:D$23,ROW()-1),1))</f>
        <v/>
      </c>
      <c r="X12" s="22" t="str">
        <f t="array" aca="1" ref="X12" ca="1">IF(AND(COUNTIF('Control panel'!$A$4:$A$23,$T12)&gt;=COLUMN(A12),$T12&lt;&gt;""),INDIRECT("'Control panel'!B" &amp; SMALL(IF('Control panel'!$A$4:$A$23=$T12,'Control panel'!$C$4:$C$23,100),COLUMN(A12)),1),"")</f>
        <v/>
      </c>
      <c r="Y12" s="22" t="str">
        <f t="array" aca="1" ref="Y12" ca="1">IF(AND(COUNTIF('Control panel'!$A$4:$A$23,$T12)&gt;=COLUMN(E12),$T12&lt;&gt;""),INDIRECT("'Control panel'!B" &amp; SMALL(IF('Control panel'!$A$4:$A$23=$T12,'Control panel'!$C$4:$C$23,100),COLUMN(E12)),1),"")</f>
        <v/>
      </c>
      <c r="Z12" s="22" t="str">
        <f t="array" aca="1" ref="Z12" ca="1">IF(AND(COUNTIF('Control panel'!$A$4:$A$23,$T12)&gt;=COLUMN(F12),$T12&lt;&gt;""),INDIRECT("'Control panel'!B" &amp; SMALL(IF('Control panel'!$A$4:$A$23=$T12,'Control panel'!$C$4:$C$23,100),COLUMN(F12)),1),"")</f>
        <v/>
      </c>
      <c r="AA12" s="22" t="str">
        <f t="array" aca="1" ref="AA12" ca="1">IF(AND(COUNTIF('Control panel'!$A$4:$A$23,$T12)&gt;=COLUMN(D12),$T12&lt;&gt;""),INDIRECT("'Control panel'!B" &amp; SMALL(IF('Control panel'!$A$4:$A$23=$T12,'Control panel'!$C$4:$C$23,100),COLUMN(D12)),1),"")</f>
        <v/>
      </c>
      <c r="AB12" s="22" t="str">
        <f t="array" aca="1" ref="AB12" ca="1">IF(AND(COUNTIF('Control panel'!$A$4:$A$23,$T12)&gt;=COLUMN(G12),$T12&lt;&gt;""),INDIRECT("'Control panel'!B" &amp; SMALL(IF('Control panel'!$A$4:$A$23=$T12,'Control panel'!$C$4:$C$23,100),COLUMN(G12)),1),"")</f>
        <v/>
      </c>
    </row>
    <row r="13" spans="1:28" x14ac:dyDescent="0.2">
      <c r="A13" s="81"/>
      <c r="B13" s="81"/>
      <c r="C13" s="96"/>
      <c r="D13" s="90"/>
      <c r="E13" s="90"/>
      <c r="F13" s="90"/>
      <c r="G13" s="90"/>
      <c r="H13" s="255"/>
      <c r="I13" s="255"/>
      <c r="J13" s="256"/>
      <c r="K13" s="256"/>
      <c r="L13" s="256"/>
      <c r="M13" s="256" t="str">
        <f t="shared" si="0"/>
        <v/>
      </c>
      <c r="N13" s="256"/>
      <c r="O13" s="256" t="str">
        <f t="shared" si="1"/>
        <v/>
      </c>
      <c r="P13" s="255"/>
      <c r="Q13" s="255"/>
      <c r="R13" s="256"/>
      <c r="U13" s="28" t="str">
        <f ca="1">IF(ISERROR(SMALL('Control panel'!D$3:D$23,ROW()-1)),"",INDIRECT("'Control panel'!B" &amp; SMALL('Control panel'!D$3:D$23,ROW()-1),1))</f>
        <v/>
      </c>
      <c r="X13" s="22" t="str">
        <f t="array" aca="1" ref="X13" ca="1">IF(AND(COUNTIF('Control panel'!$A$4:$A$23,$T13)&gt;=COLUMN(A13),$T13&lt;&gt;""),INDIRECT("'Control panel'!B" &amp; SMALL(IF('Control panel'!$A$4:$A$23=$T13,'Control panel'!$C$4:$C$23,100),COLUMN(A13)),1),"")</f>
        <v/>
      </c>
      <c r="Y13" s="22" t="str">
        <f t="array" aca="1" ref="Y13" ca="1">IF(AND(COUNTIF('Control panel'!$A$4:$A$23,$T13)&gt;=COLUMN(E13),$T13&lt;&gt;""),INDIRECT("'Control panel'!B" &amp; SMALL(IF('Control panel'!$A$4:$A$23=$T13,'Control panel'!$C$4:$C$23,100),COLUMN(E13)),1),"")</f>
        <v/>
      </c>
      <c r="Z13" s="22" t="str">
        <f t="array" aca="1" ref="Z13" ca="1">IF(AND(COUNTIF('Control panel'!$A$4:$A$23,$T13)&gt;=COLUMN(F13),$T13&lt;&gt;""),INDIRECT("'Control panel'!B" &amp; SMALL(IF('Control panel'!$A$4:$A$23=$T13,'Control panel'!$C$4:$C$23,100),COLUMN(F13)),1),"")</f>
        <v/>
      </c>
      <c r="AA13" s="22" t="str">
        <f t="array" aca="1" ref="AA13" ca="1">IF(AND(COUNTIF('Control panel'!$A$4:$A$23,$T13)&gt;=COLUMN(D13),$T13&lt;&gt;""),INDIRECT("'Control panel'!B" &amp; SMALL(IF('Control panel'!$A$4:$A$23=$T13,'Control panel'!$C$4:$C$23,100),COLUMN(D13)),1),"")</f>
        <v/>
      </c>
      <c r="AB13" s="22" t="str">
        <f t="array" aca="1" ref="AB13" ca="1">IF(AND(COUNTIF('Control panel'!$A$4:$A$23,$T13)&gt;=COLUMN(G13),$T13&lt;&gt;""),INDIRECT("'Control panel'!B" &amp; SMALL(IF('Control panel'!$A$4:$A$23=$T13,'Control panel'!$C$4:$C$23,100),COLUMN(G13)),1),"")</f>
        <v/>
      </c>
    </row>
    <row r="14" spans="1:28" x14ac:dyDescent="0.2">
      <c r="A14" s="81"/>
      <c r="B14" s="81"/>
      <c r="C14" s="96"/>
      <c r="D14" s="90"/>
      <c r="E14" s="90"/>
      <c r="F14" s="90"/>
      <c r="G14" s="90"/>
      <c r="H14" s="255"/>
      <c r="I14" s="255"/>
      <c r="J14" s="256"/>
      <c r="K14" s="256"/>
      <c r="L14" s="256"/>
      <c r="M14" s="256" t="str">
        <f t="shared" si="0"/>
        <v/>
      </c>
      <c r="N14" s="256"/>
      <c r="O14" s="256" t="str">
        <f t="shared" si="1"/>
        <v/>
      </c>
      <c r="P14" s="255"/>
      <c r="Q14" s="255"/>
      <c r="R14" s="256"/>
      <c r="U14" s="28" t="str">
        <f ca="1">IF(ISERROR(SMALL('Control panel'!D$3:D$23,ROW()-1)),"",INDIRECT("'Control panel'!B" &amp; SMALL('Control panel'!D$3:D$23,ROW()-1),1))</f>
        <v/>
      </c>
      <c r="X14" s="22" t="str">
        <f t="array" aca="1" ref="X14" ca="1">IF(AND(COUNTIF('Control panel'!$A$4:$A$23,$T14)&gt;=COLUMN(A14),$T14&lt;&gt;""),INDIRECT("'Control panel'!B" &amp; SMALL(IF('Control panel'!$A$4:$A$23=$T14,'Control panel'!$C$4:$C$23,100),COLUMN(A14)),1),"")</f>
        <v/>
      </c>
      <c r="Y14" s="22" t="str">
        <f t="array" aca="1" ref="Y14" ca="1">IF(AND(COUNTIF('Control panel'!$A$4:$A$23,$T14)&gt;=COLUMN(E14),$T14&lt;&gt;""),INDIRECT("'Control panel'!B" &amp; SMALL(IF('Control panel'!$A$4:$A$23=$T14,'Control panel'!$C$4:$C$23,100),COLUMN(E14)),1),"")</f>
        <v/>
      </c>
      <c r="Z14" s="22" t="str">
        <f t="array" aca="1" ref="Z14" ca="1">IF(AND(COUNTIF('Control panel'!$A$4:$A$23,$T14)&gt;=COLUMN(F14),$T14&lt;&gt;""),INDIRECT("'Control panel'!B" &amp; SMALL(IF('Control panel'!$A$4:$A$23=$T14,'Control panel'!$C$4:$C$23,100),COLUMN(F14)),1),"")</f>
        <v/>
      </c>
      <c r="AA14" s="22" t="str">
        <f t="array" aca="1" ref="AA14" ca="1">IF(AND(COUNTIF('Control panel'!$A$4:$A$23,$T14)&gt;=COLUMN(D14),$T14&lt;&gt;""),INDIRECT("'Control panel'!B" &amp; SMALL(IF('Control panel'!$A$4:$A$23=$T14,'Control panel'!$C$4:$C$23,100),COLUMN(D14)),1),"")</f>
        <v/>
      </c>
      <c r="AB14" s="22" t="str">
        <f t="array" aca="1" ref="AB14" ca="1">IF(AND(COUNTIF('Control panel'!$A$4:$A$23,$T14)&gt;=COLUMN(G14),$T14&lt;&gt;""),INDIRECT("'Control panel'!B" &amp; SMALL(IF('Control panel'!$A$4:$A$23=$T14,'Control panel'!$C$4:$C$23,100),COLUMN(G14)),1),"")</f>
        <v/>
      </c>
    </row>
    <row r="15" spans="1:28" x14ac:dyDescent="0.2">
      <c r="A15" s="81"/>
      <c r="B15" s="81"/>
      <c r="C15" s="96"/>
      <c r="D15" s="90"/>
      <c r="E15" s="90"/>
      <c r="F15" s="90"/>
      <c r="G15" s="90"/>
      <c r="H15" s="255"/>
      <c r="I15" s="255"/>
      <c r="J15" s="256"/>
      <c r="K15" s="256"/>
      <c r="L15" s="256"/>
      <c r="M15" s="256" t="str">
        <f t="shared" si="0"/>
        <v/>
      </c>
      <c r="N15" s="256"/>
      <c r="O15" s="256" t="str">
        <f t="shared" si="1"/>
        <v/>
      </c>
      <c r="P15" s="255"/>
      <c r="Q15" s="255"/>
      <c r="R15" s="256"/>
      <c r="U15" s="28" t="str">
        <f ca="1">IF(ISERROR(SMALL('Control panel'!D$3:D$23,ROW()-1)),"",INDIRECT("'Control panel'!B" &amp; SMALL('Control panel'!D$3:D$23,ROW()-1),1))</f>
        <v/>
      </c>
      <c r="X15" s="22" t="str">
        <f t="array" aca="1" ref="X15" ca="1">IF(AND(COUNTIF('Control panel'!$A$4:$A$23,$T15)&gt;=COLUMN(A15),$T15&lt;&gt;""),INDIRECT("'Control panel'!B" &amp; SMALL(IF('Control panel'!$A$4:$A$23=$T15,'Control panel'!$C$4:$C$23,100),COLUMN(A15)),1),"")</f>
        <v/>
      </c>
      <c r="Y15" s="22" t="str">
        <f t="array" aca="1" ref="Y15" ca="1">IF(AND(COUNTIF('Control panel'!$A$4:$A$23,$T15)&gt;=COLUMN(E15),$T15&lt;&gt;""),INDIRECT("'Control panel'!B" &amp; SMALL(IF('Control panel'!$A$4:$A$23=$T15,'Control panel'!$C$4:$C$23,100),COLUMN(E15)),1),"")</f>
        <v/>
      </c>
      <c r="Z15" s="22" t="str">
        <f t="array" aca="1" ref="Z15" ca="1">IF(AND(COUNTIF('Control panel'!$A$4:$A$23,$T15)&gt;=COLUMN(F15),$T15&lt;&gt;""),INDIRECT("'Control panel'!B" &amp; SMALL(IF('Control panel'!$A$4:$A$23=$T15,'Control panel'!$C$4:$C$23,100),COLUMN(F15)),1),"")</f>
        <v/>
      </c>
      <c r="AA15" s="22" t="str">
        <f t="array" aca="1" ref="AA15" ca="1">IF(AND(COUNTIF('Control panel'!$A$4:$A$23,$T15)&gt;=COLUMN(D15),$T15&lt;&gt;""),INDIRECT("'Control panel'!B" &amp; SMALL(IF('Control panel'!$A$4:$A$23=$T15,'Control panel'!$C$4:$C$23,100),COLUMN(D15)),1),"")</f>
        <v/>
      </c>
      <c r="AB15" s="22" t="str">
        <f t="array" aca="1" ref="AB15" ca="1">IF(AND(COUNTIF('Control panel'!$A$4:$A$23,$T15)&gt;=COLUMN(G15),$T15&lt;&gt;""),INDIRECT("'Control panel'!B" &amp; SMALL(IF('Control panel'!$A$4:$A$23=$T15,'Control panel'!$C$4:$C$23,100),COLUMN(G15)),1),"")</f>
        <v/>
      </c>
    </row>
    <row r="16" spans="1:28" x14ac:dyDescent="0.2">
      <c r="A16" s="81"/>
      <c r="B16" s="81"/>
      <c r="C16" s="96"/>
      <c r="D16" s="90"/>
      <c r="E16" s="90"/>
      <c r="F16" s="90"/>
      <c r="G16" s="90"/>
      <c r="H16" s="255"/>
      <c r="I16" s="255"/>
      <c r="J16" s="256"/>
      <c r="K16" s="256"/>
      <c r="L16" s="256"/>
      <c r="M16" s="256" t="str">
        <f t="shared" si="0"/>
        <v/>
      </c>
      <c r="N16" s="256"/>
      <c r="O16" s="256" t="str">
        <f t="shared" si="1"/>
        <v/>
      </c>
      <c r="P16" s="255"/>
      <c r="Q16" s="255"/>
      <c r="R16" s="256"/>
      <c r="U16" s="28" t="str">
        <f ca="1">IF(ISERROR(SMALL('Control panel'!D$3:D$23,ROW()-1)),"",INDIRECT("'Control panel'!B" &amp; SMALL('Control panel'!D$3:D$23,ROW()-1),1))</f>
        <v/>
      </c>
      <c r="X16" s="22" t="str">
        <f t="array" aca="1" ref="X16" ca="1">IF(AND(COUNTIF('Control panel'!$A$4:$A$23,$T16)&gt;=COLUMN(A16),$T16&lt;&gt;""),INDIRECT("'Control panel'!B" &amp; SMALL(IF('Control panel'!$A$4:$A$23=$T16,'Control panel'!$C$4:$C$23,100),COLUMN(A16)),1),"")</f>
        <v/>
      </c>
      <c r="Y16" s="22" t="str">
        <f t="array" aca="1" ref="Y16" ca="1">IF(AND(COUNTIF('Control panel'!$A$4:$A$23,$T16)&gt;=COLUMN(E16),$T16&lt;&gt;""),INDIRECT("'Control panel'!B" &amp; SMALL(IF('Control panel'!$A$4:$A$23=$T16,'Control panel'!$C$4:$C$23,100),COLUMN(E16)),1),"")</f>
        <v/>
      </c>
      <c r="Z16" s="22" t="str">
        <f t="array" aca="1" ref="Z16" ca="1">IF(AND(COUNTIF('Control panel'!$A$4:$A$23,$T16)&gt;=COLUMN(F16),$T16&lt;&gt;""),INDIRECT("'Control panel'!B" &amp; SMALL(IF('Control panel'!$A$4:$A$23=$T16,'Control panel'!$C$4:$C$23,100),COLUMN(F16)),1),"")</f>
        <v/>
      </c>
      <c r="AA16" s="22" t="str">
        <f t="array" aca="1" ref="AA16" ca="1">IF(AND(COUNTIF('Control panel'!$A$4:$A$23,$T16)&gt;=COLUMN(D16),$T16&lt;&gt;""),INDIRECT("'Control panel'!B" &amp; SMALL(IF('Control panel'!$A$4:$A$23=$T16,'Control panel'!$C$4:$C$23,100),COLUMN(D16)),1),"")</f>
        <v/>
      </c>
      <c r="AB16" s="22" t="str">
        <f t="array" aca="1" ref="AB16" ca="1">IF(AND(COUNTIF('Control panel'!$A$4:$A$23,$T16)&gt;=COLUMN(G16),$T16&lt;&gt;""),INDIRECT("'Control panel'!B" &amp; SMALL(IF('Control panel'!$A$4:$A$23=$T16,'Control panel'!$C$4:$C$23,100),COLUMN(G16)),1),"")</f>
        <v/>
      </c>
    </row>
    <row r="17" spans="1:21" x14ac:dyDescent="0.2">
      <c r="A17" s="81"/>
      <c r="B17" s="81"/>
      <c r="C17" s="96"/>
      <c r="D17" s="90"/>
      <c r="E17" s="90"/>
      <c r="F17" s="90"/>
      <c r="G17" s="90"/>
      <c r="H17" s="255"/>
      <c r="I17" s="255"/>
      <c r="J17" s="256"/>
      <c r="K17" s="256"/>
      <c r="L17" s="256"/>
      <c r="M17" s="256" t="str">
        <f t="shared" si="0"/>
        <v/>
      </c>
      <c r="N17" s="256"/>
      <c r="O17" s="256" t="str">
        <f t="shared" si="1"/>
        <v/>
      </c>
      <c r="P17" s="255"/>
      <c r="Q17" s="255"/>
      <c r="R17" s="256"/>
      <c r="U17" s="28" t="str">
        <f ca="1">IF(ISERROR(SMALL('Control panel'!D$3:D$23,ROW()-1)),"",INDIRECT("'Control panel'!B" &amp; SMALL('Control panel'!D$3:D$23,ROW()-1),1))</f>
        <v/>
      </c>
    </row>
    <row r="18" spans="1:21" x14ac:dyDescent="0.2">
      <c r="A18" s="81"/>
      <c r="B18" s="81"/>
      <c r="C18" s="96"/>
      <c r="D18" s="90"/>
      <c r="E18" s="90"/>
      <c r="F18" s="90"/>
      <c r="G18" s="90"/>
      <c r="H18" s="255"/>
      <c r="I18" s="255"/>
      <c r="J18" s="256"/>
      <c r="K18" s="256"/>
      <c r="L18" s="256"/>
      <c r="M18" s="256" t="str">
        <f t="shared" si="0"/>
        <v/>
      </c>
      <c r="N18" s="256"/>
      <c r="O18" s="256" t="str">
        <f t="shared" si="1"/>
        <v/>
      </c>
      <c r="P18" s="255"/>
      <c r="Q18" s="255"/>
      <c r="R18" s="256"/>
      <c r="U18" s="28" t="str">
        <f ca="1">IF(ISERROR(SMALL('Control panel'!D$3:D$23,ROW()-1)),"",INDIRECT("'Control panel'!B" &amp; SMALL('Control panel'!D$3:D$23,ROW()-1),1))</f>
        <v/>
      </c>
    </row>
    <row r="19" spans="1:21" x14ac:dyDescent="0.2">
      <c r="A19" s="81"/>
      <c r="B19" s="81"/>
      <c r="C19" s="96"/>
      <c r="D19" s="90"/>
      <c r="E19" s="90"/>
      <c r="F19" s="90"/>
      <c r="G19" s="90"/>
      <c r="H19" s="255"/>
      <c r="I19" s="255"/>
      <c r="J19" s="256"/>
      <c r="K19" s="256"/>
      <c r="L19" s="256"/>
      <c r="M19" s="256" t="str">
        <f t="shared" si="0"/>
        <v/>
      </c>
      <c r="N19" s="256"/>
      <c r="O19" s="256" t="str">
        <f t="shared" si="1"/>
        <v/>
      </c>
      <c r="P19" s="255"/>
      <c r="Q19" s="255"/>
      <c r="R19" s="256"/>
      <c r="U19" s="28" t="str">
        <f ca="1">IF(ISERROR(SMALL('Control panel'!D$3:D$23,ROW()-1)),"",INDIRECT("'Control panel'!B" &amp; SMALL('Control panel'!D$3:D$23,ROW()-1),1))</f>
        <v/>
      </c>
    </row>
    <row r="20" spans="1:21" x14ac:dyDescent="0.2">
      <c r="A20" s="81"/>
      <c r="B20" s="81"/>
      <c r="C20" s="96"/>
      <c r="D20" s="90"/>
      <c r="E20" s="90"/>
      <c r="F20" s="90"/>
      <c r="G20" s="90"/>
      <c r="H20" s="255"/>
      <c r="I20" s="255"/>
      <c r="J20" s="256"/>
      <c r="K20" s="256"/>
      <c r="L20" s="256"/>
      <c r="M20" s="256" t="str">
        <f t="shared" si="0"/>
        <v/>
      </c>
      <c r="N20" s="256"/>
      <c r="O20" s="256" t="str">
        <f t="shared" si="1"/>
        <v/>
      </c>
      <c r="P20" s="255"/>
      <c r="Q20" s="255"/>
      <c r="R20" s="256"/>
      <c r="U20" s="28" t="str">
        <f ca="1">IF(ISERROR(SMALL('Control panel'!D$3:D$23,ROW()-1)),"",INDIRECT("'Control panel'!B" &amp; SMALL('Control panel'!D$3:D$23,ROW()-1),1))</f>
        <v/>
      </c>
    </row>
    <row r="21" spans="1:21" x14ac:dyDescent="0.2">
      <c r="A21" s="81"/>
      <c r="B21" s="81"/>
      <c r="C21" s="96"/>
      <c r="D21" s="90"/>
      <c r="E21" s="90"/>
      <c r="F21" s="90"/>
      <c r="G21" s="90"/>
      <c r="H21" s="255"/>
      <c r="I21" s="255"/>
      <c r="J21" s="256"/>
      <c r="K21" s="256"/>
      <c r="L21" s="256"/>
      <c r="M21" s="256" t="str">
        <f t="shared" si="0"/>
        <v/>
      </c>
      <c r="N21" s="256"/>
      <c r="O21" s="256" t="str">
        <f t="shared" si="1"/>
        <v/>
      </c>
      <c r="P21" s="255"/>
      <c r="Q21" s="255"/>
      <c r="R21" s="256"/>
      <c r="U21" s="28" t="str">
        <f ca="1">IF(ISERROR(SMALL('Control panel'!D$3:D$23,ROW()-1)),"",INDIRECT("'Control panel'!B" &amp; SMALL('Control panel'!D$3:D$23,ROW()-1),1))</f>
        <v/>
      </c>
    </row>
    <row r="22" spans="1:21" x14ac:dyDescent="0.2">
      <c r="A22" s="81"/>
      <c r="B22" s="81"/>
      <c r="C22" s="96"/>
      <c r="D22" s="90"/>
      <c r="E22" s="90"/>
      <c r="F22" s="90"/>
      <c r="G22" s="90"/>
      <c r="H22" s="255"/>
      <c r="I22" s="255"/>
      <c r="J22" s="256"/>
      <c r="K22" s="256"/>
      <c r="L22" s="256"/>
      <c r="M22" s="256" t="str">
        <f t="shared" si="0"/>
        <v/>
      </c>
      <c r="N22" s="256"/>
      <c r="O22" s="256" t="str">
        <f t="shared" si="1"/>
        <v/>
      </c>
      <c r="P22" s="255"/>
      <c r="Q22" s="255"/>
      <c r="R22" s="256"/>
      <c r="U22" s="28" t="str">
        <f ca="1">IF(ISERROR(SMALL('Control panel'!D$3:D$23,ROW()-1)),"",INDIRECT("'Control panel'!B" &amp; SMALL('Control panel'!D$3:D$23,ROW()-1),1))</f>
        <v/>
      </c>
    </row>
    <row r="23" spans="1:21" x14ac:dyDescent="0.2">
      <c r="A23" s="81"/>
      <c r="B23" s="81"/>
      <c r="C23" s="96"/>
      <c r="D23" s="90"/>
      <c r="E23" s="90"/>
      <c r="F23" s="90"/>
      <c r="G23" s="90"/>
      <c r="H23" s="255"/>
      <c r="I23" s="255"/>
      <c r="J23" s="256"/>
      <c r="K23" s="256"/>
      <c r="L23" s="256"/>
      <c r="M23" s="256" t="str">
        <f t="shared" si="0"/>
        <v/>
      </c>
      <c r="N23" s="256"/>
      <c r="O23" s="256" t="str">
        <f t="shared" si="1"/>
        <v/>
      </c>
      <c r="P23" s="255"/>
      <c r="Q23" s="255"/>
      <c r="R23" s="256"/>
      <c r="U23" s="28" t="str">
        <f ca="1">IF(ISERROR(SMALL('Control panel'!D$3:D$23,ROW()-1)),"",INDIRECT("'Control panel'!B" &amp; SMALL('Control panel'!D$3:D$23,ROW()-1),1))</f>
        <v/>
      </c>
    </row>
    <row r="24" spans="1:21" x14ac:dyDescent="0.2">
      <c r="A24" s="81"/>
      <c r="B24" s="81"/>
      <c r="C24" s="96"/>
      <c r="D24" s="90"/>
      <c r="E24" s="90"/>
      <c r="F24" s="90"/>
      <c r="G24" s="90"/>
      <c r="H24" s="255"/>
      <c r="I24" s="255"/>
      <c r="J24" s="256"/>
      <c r="K24" s="256"/>
      <c r="L24" s="256"/>
      <c r="M24" s="256" t="str">
        <f t="shared" si="0"/>
        <v/>
      </c>
      <c r="N24" s="256"/>
      <c r="O24" s="256" t="str">
        <f t="shared" si="1"/>
        <v/>
      </c>
      <c r="P24" s="255"/>
      <c r="Q24" s="255"/>
      <c r="R24" s="256"/>
    </row>
    <row r="25" spans="1:21" x14ac:dyDescent="0.2">
      <c r="A25" s="81"/>
      <c r="B25" s="81"/>
      <c r="C25" s="96"/>
      <c r="D25" s="90"/>
      <c r="E25" s="90"/>
      <c r="F25" s="90"/>
      <c r="G25" s="90"/>
      <c r="H25" s="255"/>
      <c r="I25" s="255"/>
      <c r="J25" s="256"/>
      <c r="K25" s="256"/>
      <c r="L25" s="256"/>
      <c r="M25" s="256" t="str">
        <f t="shared" si="0"/>
        <v/>
      </c>
      <c r="N25" s="256"/>
      <c r="O25" s="256" t="str">
        <f t="shared" si="1"/>
        <v/>
      </c>
      <c r="P25" s="255"/>
      <c r="Q25" s="255"/>
      <c r="R25" s="256"/>
    </row>
    <row r="26" spans="1:21" x14ac:dyDescent="0.2">
      <c r="A26" s="81"/>
      <c r="B26" s="81"/>
      <c r="C26" s="96"/>
      <c r="D26" s="90"/>
      <c r="E26" s="90"/>
      <c r="F26" s="90"/>
      <c r="G26" s="90"/>
      <c r="H26" s="255"/>
      <c r="I26" s="255"/>
      <c r="J26" s="256"/>
      <c r="K26" s="256"/>
      <c r="L26" s="256"/>
      <c r="M26" s="256" t="str">
        <f t="shared" si="0"/>
        <v/>
      </c>
      <c r="N26" s="256"/>
      <c r="O26" s="256" t="str">
        <f t="shared" si="1"/>
        <v/>
      </c>
      <c r="P26" s="255"/>
      <c r="Q26" s="255"/>
      <c r="R26" s="256"/>
    </row>
    <row r="27" spans="1:21" x14ac:dyDescent="0.2">
      <c r="A27" s="81"/>
      <c r="B27" s="81"/>
      <c r="C27" s="96"/>
      <c r="D27" s="90"/>
      <c r="E27" s="90"/>
      <c r="F27" s="90"/>
      <c r="G27" s="90"/>
      <c r="H27" s="255"/>
      <c r="I27" s="255"/>
      <c r="J27" s="256"/>
      <c r="K27" s="256"/>
      <c r="L27" s="256"/>
      <c r="M27" s="256" t="str">
        <f t="shared" si="0"/>
        <v/>
      </c>
      <c r="N27" s="256"/>
      <c r="O27" s="256" t="str">
        <f t="shared" si="1"/>
        <v/>
      </c>
      <c r="P27" s="255"/>
      <c r="Q27" s="255"/>
      <c r="R27" s="256"/>
    </row>
    <row r="28" spans="1:21" x14ac:dyDescent="0.2">
      <c r="A28" s="81"/>
      <c r="B28" s="81"/>
      <c r="C28" s="96"/>
      <c r="D28" s="90"/>
      <c r="E28" s="90"/>
      <c r="F28" s="90"/>
      <c r="G28" s="90"/>
      <c r="H28" s="255"/>
      <c r="I28" s="255"/>
      <c r="J28" s="256"/>
      <c r="K28" s="256"/>
      <c r="L28" s="256"/>
      <c r="M28" s="256" t="str">
        <f t="shared" si="0"/>
        <v/>
      </c>
      <c r="N28" s="256"/>
      <c r="O28" s="256" t="str">
        <f t="shared" si="1"/>
        <v/>
      </c>
      <c r="P28" s="255"/>
      <c r="Q28" s="255"/>
      <c r="R28" s="256"/>
    </row>
    <row r="29" spans="1:21" x14ac:dyDescent="0.2">
      <c r="A29" s="81"/>
      <c r="B29" s="81"/>
      <c r="C29" s="96"/>
      <c r="D29" s="90"/>
      <c r="E29" s="90"/>
      <c r="F29" s="90"/>
      <c r="G29" s="90"/>
      <c r="H29" s="255"/>
      <c r="I29" s="255"/>
      <c r="J29" s="256"/>
      <c r="K29" s="256"/>
      <c r="L29" s="256"/>
      <c r="M29" s="256" t="str">
        <f t="shared" si="0"/>
        <v/>
      </c>
      <c r="N29" s="256"/>
      <c r="O29" s="256" t="str">
        <f t="shared" si="1"/>
        <v/>
      </c>
      <c r="P29" s="255"/>
      <c r="Q29" s="255"/>
      <c r="R29" s="256"/>
    </row>
    <row r="30" spans="1:21" x14ac:dyDescent="0.2">
      <c r="C30"/>
    </row>
  </sheetData>
  <phoneticPr fontId="0" type="noConversion"/>
  <conditionalFormatting sqref="O2:O29 M2:M29">
    <cfRule type="cellIs" dxfId="0" priority="1" stopIfTrue="1" operator="notEqual">
      <formula>""</formula>
    </cfRule>
  </conditionalFormatting>
  <dataValidations count="9">
    <dataValidation type="list" allowBlank="1" showInputMessage="1" showErrorMessage="1" sqref="F30:F65536" xr:uid="{00000000-0002-0000-1100-000000000000}">
      <formula1>"Review-Peer review inspection,Review-Peer review walkthrough,Review-Offline review,Testing"</formula1>
    </dataValidation>
    <dataValidation type="list" allowBlank="1" showInputMessage="1" showErrorMessage="1" sqref="D2:D65536" xr:uid="{00000000-0002-0000-1100-000001000000}">
      <formula1>$T$2:$T$21</formula1>
    </dataValidation>
    <dataValidation type="list" allowBlank="1" showInputMessage="1" showErrorMessage="1" sqref="G2:G65536" xr:uid="{00000000-0002-0000-1100-000002000000}">
      <formula1>"Internal,Customer"</formula1>
    </dataValidation>
    <dataValidation allowBlank="1" showInputMessage="1" showErrorMessage="1" promptTitle="Note" prompt="The formula for computation of 'Total defects' can be copied to additional blank rows based on need." sqref="M2:M65536" xr:uid="{00000000-0002-0000-1100-000003000000}"/>
    <dataValidation allowBlank="1" showInputMessage="1" showErrorMessage="1" promptTitle="Note" prompt="The formula for computation of 'Weighted defects' can be copied to additional blank rows based on need." sqref="O2:O65536" xr:uid="{00000000-0002-0000-1100-000004000000}"/>
    <dataValidation type="date" operator="greaterThanOrEqual" allowBlank="1" showInputMessage="1" showErrorMessage="1" errorTitle="Data error" error="This field takes only date values." promptTitle="Note" prompt="Do not leave any rows blank - this will affect broadVu metric collation." sqref="A2:B65536 C31:C65536" xr:uid="{00000000-0002-0000-1100-000005000000}">
      <formula1>36892</formula1>
    </dataValidation>
    <dataValidation type="whole" operator="greaterThanOrEqual" allowBlank="1" showInputMessage="1" showErrorMessage="1" errorTitle="Data error" error="This field takes only numeric inputs." sqref="N2:N65536 J2:L65536" xr:uid="{00000000-0002-0000-1100-000006000000}">
      <formula1>0</formula1>
    </dataValidation>
    <dataValidation type="decimal" operator="greaterThanOrEqual" allowBlank="1" showInputMessage="1" showErrorMessage="1" errorTitle="Data error" error="This field takes only numeric inputs." sqref="H2:I65536 P2:Q65536" xr:uid="{00000000-0002-0000-1100-000007000000}">
      <formula1>0</formula1>
    </dataValidation>
    <dataValidation type="list" allowBlank="1" showInputMessage="1" showErrorMessage="1" sqref="F2:F29" xr:uid="{00000000-0002-0000-1100-000008000000}">
      <formula1>"Review-Peer review inspection,Review-Peer review walkthrough,Review-Offline review,Review-SME,Testing"</formula1>
    </dataValidation>
  </dataValidations>
  <pageMargins left="0.75" right="0.75" top="1" bottom="1" header="0.5" footer="0.5"/>
  <pageSetup paperSize="9" scale="95" orientation="landscape" r:id="rId1"/>
  <headerFooter alignWithMargins="0">
    <oddFooter>&amp;R&amp;P of &amp;N</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9"/>
  <dimension ref="A1:S43"/>
  <sheetViews>
    <sheetView zoomScale="80" zoomScaleNormal="80" workbookViewId="0">
      <selection activeCell="D10" sqref="D10"/>
    </sheetView>
  </sheetViews>
  <sheetFormatPr defaultColWidth="9.140625" defaultRowHeight="12.75" x14ac:dyDescent="0.2"/>
  <cols>
    <col min="1" max="1" width="16.28515625" style="1" customWidth="1"/>
    <col min="2" max="2" width="16.85546875" style="1" customWidth="1"/>
    <col min="3" max="3" width="11.140625" style="1" customWidth="1"/>
    <col min="4" max="4" width="16.28515625" style="1" bestFit="1" customWidth="1"/>
    <col min="5" max="6" width="10.7109375" style="1" customWidth="1"/>
    <col min="7" max="7" width="9.140625" style="1"/>
    <col min="8" max="8" width="14.5703125" style="1" customWidth="1"/>
    <col min="9" max="9" width="12.28515625" style="1" customWidth="1"/>
    <col min="10" max="13" width="9.140625" style="1"/>
    <col min="14" max="14" width="10.28515625" style="1" customWidth="1"/>
    <col min="15" max="15" width="9.140625" style="1"/>
    <col min="16" max="16" width="9.140625" style="22"/>
    <col min="17" max="19" width="9.140625" style="10"/>
    <col min="20" max="16384" width="9.140625" style="1"/>
  </cols>
  <sheetData>
    <row r="1" spans="1:19" x14ac:dyDescent="0.2">
      <c r="A1" s="233" t="str">
        <f>IF('Project information1'!A1&lt;&gt;"",'Project information1'!A1,"")</f>
        <v>Project Name</v>
      </c>
      <c r="B1" s="580" t="str">
        <f>IF('Project information1'!B1&lt;&gt;"",'Project information1'!B1,"")</f>
        <v/>
      </c>
      <c r="C1" s="581"/>
      <c r="D1" s="236" t="str">
        <f>IF('Project information1'!C1&lt;&gt;"",'Project information1'!C1,"")</f>
        <v>Customer name</v>
      </c>
      <c r="E1" s="580" t="str">
        <f>IF('Project information1'!D1&lt;&gt;"",'Project information1'!D1,"")</f>
        <v/>
      </c>
      <c r="F1" s="580"/>
      <c r="G1" s="581"/>
    </row>
    <row r="2" spans="1:19" ht="25.5" x14ac:dyDescent="0.2">
      <c r="A2" s="234" t="str">
        <f>IF('Project information1'!A3&lt;&gt;"",'Project information1'!A3,"")</f>
        <v>Business Unit (SAP)</v>
      </c>
      <c r="B2" s="582" t="str">
        <f>IF('Project information1'!B3&lt;&gt;"",'Project information1'!B3,"")</f>
        <v/>
      </c>
      <c r="C2" s="583"/>
      <c r="D2" s="237" t="str">
        <f>IF('Project information1'!A7&lt;&gt;"",'Project information1'!A7,"")</f>
        <v>Project Manager</v>
      </c>
      <c r="E2" s="582" t="str">
        <f>IF('Project information1'!B7&lt;&gt;"",'Project information1'!B7,"")</f>
        <v/>
      </c>
      <c r="F2" s="582"/>
      <c r="G2" s="583"/>
    </row>
    <row r="3" spans="1:19" x14ac:dyDescent="0.2">
      <c r="A3" s="234" t="str">
        <f>IF('Project information1'!A4&lt;&gt;"",'Project information1'!A4,"")</f>
        <v>Business Model</v>
      </c>
      <c r="B3" s="582" t="str">
        <f>IF('Project information1'!B4&lt;&gt;"",'Project information1'!B4,"")</f>
        <v/>
      </c>
      <c r="C3" s="583"/>
      <c r="D3" s="237" t="str">
        <f>IF('Project information1'!A8&lt;&gt;"",'Project information1'!A8,"")</f>
        <v>Senior Manager</v>
      </c>
      <c r="E3" s="582" t="str">
        <f>IF('Project information1'!B8&lt;&gt;"",'Project information1'!B8,"")</f>
        <v/>
      </c>
      <c r="F3" s="582"/>
      <c r="G3" s="583"/>
    </row>
    <row r="4" spans="1:19" ht="20.25" customHeight="1" thickBot="1" x14ac:dyDescent="0.25">
      <c r="A4" s="235" t="str">
        <f>IF('Project information1'!A5&lt;&gt;"",'Project information1'!A5,"")</f>
        <v>Project Type</v>
      </c>
      <c r="B4" s="584" t="str">
        <f>IF('Project information1'!B5&lt;&gt;"",'Project information1'!B5,"")</f>
        <v/>
      </c>
      <c r="C4" s="585"/>
      <c r="D4" s="238" t="str">
        <f>IF('Project information1'!A9&lt;&gt;"",'Project information1'!A9,"")</f>
        <v>Engineering Staff</v>
      </c>
      <c r="E4" s="584" t="str">
        <f>IF('Project information1'!B9&lt;&gt;"",'Project information1'!B9,"")</f>
        <v/>
      </c>
      <c r="F4" s="584"/>
      <c r="G4" s="585"/>
    </row>
    <row r="6" spans="1:19" ht="13.5" thickBot="1" x14ac:dyDescent="0.25"/>
    <row r="7" spans="1:19" ht="24.75" customHeight="1" thickBot="1" x14ac:dyDescent="0.25">
      <c r="A7" s="576" t="s">
        <v>1250</v>
      </c>
      <c r="B7" s="577"/>
      <c r="C7" s="9"/>
      <c r="D7" s="9"/>
      <c r="E7" s="9"/>
      <c r="F7" s="9"/>
      <c r="G7" s="9"/>
      <c r="H7" s="9"/>
    </row>
    <row r="8" spans="1:19" ht="23.25" customHeight="1" thickBot="1" x14ac:dyDescent="0.25">
      <c r="A8" s="239"/>
      <c r="B8" s="240"/>
      <c r="C8" s="578" t="s">
        <v>1251</v>
      </c>
      <c r="D8" s="578"/>
      <c r="E8" s="578"/>
      <c r="F8" s="578"/>
      <c r="G8" s="578"/>
      <c r="H8" s="578"/>
      <c r="I8" s="578" t="s">
        <v>1140</v>
      </c>
      <c r="J8" s="578"/>
      <c r="K8" s="578"/>
      <c r="L8" s="578"/>
      <c r="M8" s="578"/>
      <c r="N8" s="579"/>
    </row>
    <row r="9" spans="1:19" ht="44.25" customHeight="1" x14ac:dyDescent="0.2">
      <c r="A9" s="230" t="s">
        <v>1233</v>
      </c>
      <c r="B9" s="231" t="s">
        <v>1252</v>
      </c>
      <c r="C9" s="231" t="s">
        <v>1253</v>
      </c>
      <c r="D9" s="231" t="s">
        <v>1254</v>
      </c>
      <c r="E9" s="231" t="s">
        <v>1238</v>
      </c>
      <c r="F9" s="231" t="s">
        <v>1239</v>
      </c>
      <c r="G9" s="231" t="s">
        <v>1240</v>
      </c>
      <c r="H9" s="231" t="s">
        <v>1255</v>
      </c>
      <c r="I9" s="231" t="s">
        <v>1256</v>
      </c>
      <c r="J9" s="231" t="s">
        <v>1254</v>
      </c>
      <c r="K9" s="231" t="s">
        <v>1238</v>
      </c>
      <c r="L9" s="231" t="s">
        <v>1239</v>
      </c>
      <c r="M9" s="231" t="s">
        <v>1240</v>
      </c>
      <c r="N9" s="232" t="s">
        <v>1255</v>
      </c>
      <c r="P9" s="22" t="s">
        <v>1257</v>
      </c>
      <c r="Q9" s="22" t="s">
        <v>1258</v>
      </c>
      <c r="R9" s="22" t="s">
        <v>1259</v>
      </c>
      <c r="S9" s="22" t="s">
        <v>1260</v>
      </c>
    </row>
    <row r="10" spans="1:19" ht="25.5" x14ac:dyDescent="0.2">
      <c r="A10" s="25" t="str">
        <f>IF('Control panel'!A4&lt;&gt;"",'Control panel'!A4,"")</f>
        <v>Analysis and design</v>
      </c>
      <c r="B10" s="6" t="str">
        <f>IF('Control panel'!B4&lt;&gt;"",'Control panel'!B4,"")</f>
        <v>Hours</v>
      </c>
      <c r="C10" s="6">
        <f t="array" ref="C10">IF($A10&lt;&gt;"",SUM(IF('Verification data'!$D$2:$D$5000=$A10,IF(NOT(ISERR(SEARCH("Review",'Verification data'!$F$2:$F$5000,1))),IF('Verification data'!#REF! = 'Verification Summary'!B10, IF('Verification data'!$G$2:$G$5000="Internal",'Verification data'!$I$2:$I$5000,0),0),0),0)),"")</f>
        <v>0</v>
      </c>
      <c r="D10" s="6">
        <f t="array" ref="D10">IF($A10&lt;&gt;"",SUM(IF('Verification data'!$D$2:$D$5000=$A10,IF(NOT(ISERR(SEARCH("Review",'Verification data'!$F$2:$F$5000,1))),IF('Verification data'!#REF! = 'Verification Summary'!B10, IF('Verification data'!$G$2:$G$5000="Internal",'Verification data'!#REF!,0),0),0),0)),"")</f>
        <v>0</v>
      </c>
      <c r="E10" s="6">
        <f t="array" ref="E10">IF($A10&lt;&gt;"",SUM(IF('Verification data'!$D$2:$D$5000=$A10,IF(NOT(ISERR(SEARCH("Review",'Verification data'!$F$2:$F$5000,1))),IF('Verification data'!#REF! = 'Verification Summary'!B10, IF('Verification data'!$G$2:$G$5000="Internal",'Verification data'!$J$2:$J$5000,0),0),0),0)),"")</f>
        <v>0</v>
      </c>
      <c r="F10" s="6">
        <f t="array" ref="F10">IF($A10&lt;&gt;"",SUM(IF('Verification data'!$D$2:$D$5000=$A10,IF(NOT(ISERR(SEARCH("Review",'Verification data'!$F$2:$F$5000,1))),IF('Verification data'!#REF! = 'Verification Summary'!B10, IF('Verification data'!$G$2:$G$5000="Internal",'Verification data'!$K$2:$K$5000,0),0),0),0)),"")</f>
        <v>0</v>
      </c>
      <c r="G10" s="6">
        <f t="array" ref="G10">IF($A10&lt;&gt;"",SUM(IF('Verification data'!$D$2:$D$5000=$A10,IF(NOT(ISERR(SEARCH("Review",'Verification data'!$F$2:$F$5000,1))),IF('Verification data'!#REF! = 'Verification Summary'!B10, IF('Verification data'!$G$2:$G$5000="Internal",'Verification data'!$L$2:$L$5000,0),0),0),0)),"")</f>
        <v>0</v>
      </c>
      <c r="H10" s="6">
        <v>0</v>
      </c>
      <c r="I10" s="6">
        <f t="array" ref="I10">IF($A10&lt;&gt;"",SUM(IF('Verification data'!$D$2:$D$5000=$A10,IF('Verification data'!$F$2:$F$5000="Testing",IF('Verification data'!#REF! = 'Verification Summary'!$B10, IF('Verification data'!$G$2:$G$5000="Internal",'Verification data'!$I$2:$I$5000,0),0),0),0)),"")</f>
        <v>0</v>
      </c>
      <c r="J10" s="6">
        <f t="array" ref="J10">IF($A10&lt;&gt;"",SUM(IF('Verification data'!$D$2:$D$5000=$A10,IF('Verification data'!$F$2:$F$5000="Testing",IF('Verification data'!#REF! = 'Verification Summary'!$B10, IF('Verification data'!$G$2:$G$5000="Internal",'Verification data'!#REF!,0),0),0),0)),"")</f>
        <v>0</v>
      </c>
      <c r="K10" s="6">
        <f t="array" ref="K10">IF($A10&lt;&gt;"",SUM(IF('Verification data'!$D$2:$D$5000=$A10,IF('Verification data'!$F$2:$F$5000="Testing",IF('Verification data'!#REF! = 'Verification Summary'!$B10, IF('Verification data'!$G$2:$G$5000="Internal",'Verification data'!$J$2:$J$5000,0),0),0),0)),"")</f>
        <v>0</v>
      </c>
      <c r="L10" s="6">
        <f t="array" ref="L10">IF($A10&lt;&gt;"",SUM(IF('Verification data'!$D$2:$D$5000=$A10,IF('Verification data'!$F$2:$F$5000="Testing",IF('Verification data'!#REF! = 'Verification Summary'!$B10, IF('Verification data'!$G$2:$G$5000="Internal",'Verification data'!$K$2:$K$5000,0),0),0),0)),"")</f>
        <v>0</v>
      </c>
      <c r="M10" s="6">
        <f t="array" ref="M10">IF($A10&lt;&gt;"",SUM(IF('Verification data'!$D$2:$D$5000=$A10,IF('Verification data'!$F$2:$F$5000="Testing",IF('Verification data'!#REF! = 'Verification Summary'!$B10, IF('Verification data'!$G$2:$G$5000="Internal",'Verification data'!$L$2:$L$5000,0),0),0),0)),"")</f>
        <v>0</v>
      </c>
      <c r="N10" s="26">
        <f t="array" ref="N10">IF($A10&lt;&gt;"",SUM(IF('Verification data'!$D$2:$D$5000=$A10,IF('Verification data'!$F$2:$F$5000="Testing",IF('Verification data'!#REF! = 'Verification Summary'!$B10, IF('Verification data'!$G$2:$G$5000="Internal",'Verification data'!$Q$2:$Q$5000,0),0),0),0)),"")</f>
        <v>0</v>
      </c>
      <c r="P10" s="22" t="str">
        <f>IF(A10&lt;&gt;"",A10 &amp; "-" &amp; B10,"")</f>
        <v>Analysis and design-Hours</v>
      </c>
      <c r="Q10" s="10">
        <f>IF(A10&lt;&gt;"",SUM(E10,K10),"")</f>
        <v>0</v>
      </c>
      <c r="R10" s="10">
        <f>IF(B10&lt;&gt;"",SUM(F10,L10),"")</f>
        <v>0</v>
      </c>
      <c r="S10" s="10">
        <f>IF(C10&lt;&gt;"",SUM(G10,M10),"")</f>
        <v>0</v>
      </c>
    </row>
    <row r="11" spans="1:19" ht="25.5" x14ac:dyDescent="0.2">
      <c r="A11" s="25" t="str">
        <f>IF('Control panel'!A5&lt;&gt;"",'Control panel'!A5,"")</f>
        <v>Coding and unit testing</v>
      </c>
      <c r="B11" s="6" t="str">
        <f>IF('Control panel'!B5&lt;&gt;"",'Control panel'!B5,"")</f>
        <v>Hours</v>
      </c>
      <c r="C11" s="6">
        <f t="array" ref="C11">IF($A11&lt;&gt;"",SUM(IF('Verification data'!$D$2:$D$5000=$A11,IF(NOT(ISERR(SEARCH("Review",'Verification data'!$F$2:$F$5000,1))),IF('Verification data'!#REF! = 'Verification Summary'!B11, IF('Verification data'!$G$2:$G$5000="Internal",'Verification data'!$I$2:$I$5000,0),0),0),0)),"")</f>
        <v>0</v>
      </c>
      <c r="D11" s="6">
        <f t="array" ref="D11">IF($A11&lt;&gt;"",SUM(IF('Verification data'!$D$2:$D$5000=$A11,IF(NOT(ISERR(SEARCH("Review",'Verification data'!$F$2:$F$5000,1))),IF('Verification data'!#REF! = 'Verification Summary'!B11, IF('Verification data'!$G$2:$G$5000="Internal",'Verification data'!#REF!,0),0),0),0)),"")</f>
        <v>0</v>
      </c>
      <c r="E11" s="6">
        <f t="array" ref="E11">IF($A11&lt;&gt;"",SUM(IF('Verification data'!$D$2:$D$5000=$A11,IF(NOT(ISERR(SEARCH("Review",'Verification data'!$F$2:$F$5000,1))),IF('Verification data'!#REF! = 'Verification Summary'!B11, IF('Verification data'!$G$2:$G$5000="Internal",'Verification data'!$J$2:$J$5000,0),0),0),0)),"")</f>
        <v>0</v>
      </c>
      <c r="F11" s="6">
        <f t="array" ref="F11">IF($A11&lt;&gt;"",SUM(IF('Verification data'!$D$2:$D$5000=$A11,IF(NOT(ISERR(SEARCH("Review",'Verification data'!$F$2:$F$5000,1))),IF('Verification data'!#REF! = 'Verification Summary'!B11, IF('Verification data'!$G$2:$G$5000="Internal",'Verification data'!$K$2:$K$5000,0),0),0),0)),"")</f>
        <v>0</v>
      </c>
      <c r="G11" s="6">
        <f t="array" ref="G11">IF($A11&lt;&gt;"",SUM(IF('Verification data'!$D$2:$D$5000=$A11,IF(NOT(ISERR(SEARCH("Review",'Verification data'!$F$2:$F$5000,1))),IF('Verification data'!#REF! = 'Verification Summary'!B11, IF('Verification data'!$G$2:$G$5000="Internal",'Verification data'!$L$2:$L$5000,0),0),0),0)),"")</f>
        <v>0</v>
      </c>
      <c r="H11" s="6">
        <f t="array" ref="H11">IF($A11&lt;&gt;"",SUM(IF('Verification data'!$D$2:$D$5000=$A11,IF(NOT(ISERR(SEARCH("Review",'Verification data'!$F$2:$F$5000,1))),IF('Verification data'!#REF! = 'Verification Summary'!B11, IF('Verification data'!$G$2:$G$5000="Internal",'Verification data'!$Q$2:$Q$5000,0),0),0),0)),"")</f>
        <v>0</v>
      </c>
      <c r="I11" s="6">
        <f t="array" ref="I11">IF($A11&lt;&gt;"",SUM(IF('Verification data'!$D$2:$D$5000=$A11,IF('Verification data'!$F$2:$F$5000="Testing",IF('Verification data'!#REF! = 'Verification Summary'!$B11, IF('Verification data'!$G$2:$G$5000="Internal",'Verification data'!$I$2:$I$5000,0),0),0),0)),"")</f>
        <v>0</v>
      </c>
      <c r="J11" s="6">
        <f t="array" ref="J11">IF($A11&lt;&gt;"",SUM(IF('Verification data'!$D$2:$D$5000=$A11,IF('Verification data'!$F$2:$F$5000="Testing",IF('Verification data'!#REF! = 'Verification Summary'!$B11, IF('Verification data'!$G$2:$G$5000="Internal",'Verification data'!#REF!,0),0),0),0)),"")</f>
        <v>0</v>
      </c>
      <c r="K11" s="6">
        <f t="array" ref="K11">IF($A11&lt;&gt;"",SUM(IF('Verification data'!$D$2:$D$5000=$A11,IF('Verification data'!$F$2:$F$5000="Testing",IF('Verification data'!#REF! = 'Verification Summary'!$B11, IF('Verification data'!$G$2:$G$5000="Internal",'Verification data'!$J$2:$J$5000,0),0),0),0)),"")</f>
        <v>0</v>
      </c>
      <c r="L11" s="6">
        <f t="array" ref="L11">IF($A11&lt;&gt;"",SUM(IF('Verification data'!$D$2:$D$5000=$A11,IF('Verification data'!$F$2:$F$5000="Testing",IF('Verification data'!#REF! = 'Verification Summary'!$B11, IF('Verification data'!$G$2:$G$5000="Internal",'Verification data'!$K$2:$K$5000,0),0),0),0)),"")</f>
        <v>0</v>
      </c>
      <c r="M11" s="6">
        <f t="array" ref="M11">IF($A11&lt;&gt;"",SUM(IF('Verification data'!$D$2:$D$5000=$A11,IF('Verification data'!$F$2:$F$5000="Testing",IF('Verification data'!#REF! = 'Verification Summary'!$B11, IF('Verification data'!$G$2:$G$5000="Internal",'Verification data'!$L$2:$L$5000,0),0),0),0)),"")</f>
        <v>0</v>
      </c>
      <c r="N11" s="26">
        <f t="array" ref="N11">IF($A11&lt;&gt;"",SUM(IF('Verification data'!$D$2:$D$5000=$A11,IF('Verification data'!$F$2:$F$5000="Testing",IF('Verification data'!#REF! = 'Verification Summary'!$B11, IF('Verification data'!$G$2:$G$5000="Internal",'Verification data'!$Q$2:$Q$5000,0),0),0),0)),"")</f>
        <v>0</v>
      </c>
      <c r="P11" s="22" t="str">
        <f t="shared" ref="P11:P24" si="0">IF(A11&lt;&gt;"",A11 &amp; "-" &amp; B11,"")</f>
        <v>Coding and unit testing-Hours</v>
      </c>
      <c r="Q11" s="10">
        <f t="shared" ref="Q11:Q24" si="1">IF(A11&lt;&gt;"",SUM(E11,K11),"")</f>
        <v>0</v>
      </c>
      <c r="R11" s="10">
        <f t="shared" ref="R11:R24" si="2">IF(B11&lt;&gt;"",SUM(F11,L11),"")</f>
        <v>0</v>
      </c>
      <c r="S11" s="10">
        <f t="shared" ref="S11:S24" si="3">IF(C11&lt;&gt;"",SUM(G11,M11),"")</f>
        <v>0</v>
      </c>
    </row>
    <row r="12" spans="1:19" ht="25.5" x14ac:dyDescent="0.2">
      <c r="A12" s="25" t="str">
        <f>IF('Control panel'!A6&lt;&gt;"",'Control panel'!A6,"")</f>
        <v>System integration testing</v>
      </c>
      <c r="B12" s="6" t="str">
        <f>IF('Control panel'!B6&lt;&gt;"",'Control panel'!B6,"")</f>
        <v>Hours</v>
      </c>
      <c r="C12" s="6">
        <f t="array" ref="C12">IF($A12&lt;&gt;"",SUM(IF('Verification data'!$D$2:$D$5000=$A12,IF(NOT(ISERR(SEARCH("Review",'Verification data'!$F$2:$F$5000,1))),IF('Verification data'!#REF! = 'Verification Summary'!B12, IF('Verification data'!$G$2:$G$5000="Internal",'Verification data'!$I$2:$I$5000,0),0),0),0)),"")</f>
        <v>0</v>
      </c>
      <c r="D12" s="6">
        <f t="array" ref="D12">IF($A12&lt;&gt;"",SUM(IF('Verification data'!$D$2:$D$5000=$A12,IF(NOT(ISERR(SEARCH("Review",'Verification data'!$F$2:$F$5000,1))),IF('Verification data'!#REF! = 'Verification Summary'!B12, IF('Verification data'!$G$2:$G$5000="Internal",'Verification data'!#REF!,0),0),0),0)),"")</f>
        <v>0</v>
      </c>
      <c r="E12" s="6">
        <f t="array" ref="E12">IF($A12&lt;&gt;"",SUM(IF('Verification data'!$D$2:$D$5000=$A12,IF(NOT(ISERR(SEARCH("Review",'Verification data'!$F$2:$F$5000,1))),IF('Verification data'!#REF! = 'Verification Summary'!B12, IF('Verification data'!$G$2:$G$5000="Internal",'Verification data'!$J$2:$J$5000,0),0),0),0)),"")</f>
        <v>0</v>
      </c>
      <c r="F12" s="6">
        <f t="array" ref="F12">IF($A12&lt;&gt;"",SUM(IF('Verification data'!$D$2:$D$5000=$A12,IF(NOT(ISERR(SEARCH("Review",'Verification data'!$F$2:$F$5000,1))),IF('Verification data'!#REF! = 'Verification Summary'!B12, IF('Verification data'!$G$2:$G$5000="Internal",'Verification data'!$K$2:$K$5000,0),0),0),0)),"")</f>
        <v>0</v>
      </c>
      <c r="G12" s="6">
        <f t="array" ref="G12">IF($A12&lt;&gt;"",SUM(IF('Verification data'!$D$2:$D$5000=$A12,IF(NOT(ISERR(SEARCH("Review",'Verification data'!$F$2:$F$5000,1))),IF('Verification data'!#REF! = 'Verification Summary'!B12, IF('Verification data'!$G$2:$G$5000="Internal",'Verification data'!$L$2:$L$5000,0),0),0),0)),"")</f>
        <v>0</v>
      </c>
      <c r="H12" s="6">
        <f t="array" ref="H12">IF($A12&lt;&gt;"",SUM(IF('Verification data'!$D$2:$D$5000=$A12,IF(NOT(ISERR(SEARCH("Review",'Verification data'!$F$2:$F$5000,1))),IF('Verification data'!#REF! = 'Verification Summary'!B12, IF('Verification data'!$G$2:$G$5000="Internal",'Verification data'!$Q$2:$Q$5000,0),0),0),0)),"")</f>
        <v>0</v>
      </c>
      <c r="I12" s="6">
        <f t="array" ref="I12">IF($A12&lt;&gt;"",SUM(IF('Verification data'!$D$2:$D$5000=$A12,IF('Verification data'!$F$2:$F$5000="Testing",IF('Verification data'!#REF! = 'Verification Summary'!$B12, IF('Verification data'!$G$2:$G$5000="Internal",'Verification data'!$I$2:$I$5000,0),0),0),0)),"")</f>
        <v>0</v>
      </c>
      <c r="J12" s="6">
        <f t="array" ref="J12">IF($A12&lt;&gt;"",SUM(IF('Verification data'!$D$2:$D$5000=$A12,IF('Verification data'!$F$2:$F$5000="Testing",IF('Verification data'!#REF! = 'Verification Summary'!$B12, IF('Verification data'!$G$2:$G$5000="Internal",'Verification data'!#REF!,0),0),0),0)),"")</f>
        <v>0</v>
      </c>
      <c r="K12" s="6">
        <f t="array" ref="K12">IF($A12&lt;&gt;"",SUM(IF('Verification data'!$D$2:$D$5000=$A12,IF('Verification data'!$F$2:$F$5000="Testing",IF('Verification data'!#REF! = 'Verification Summary'!$B12, IF('Verification data'!$G$2:$G$5000="Internal",'Verification data'!$J$2:$J$5000,0),0),0),0)),"")</f>
        <v>0</v>
      </c>
      <c r="L12" s="6">
        <f t="array" ref="L12">IF($A12&lt;&gt;"",SUM(IF('Verification data'!$D$2:$D$5000=$A12,IF('Verification data'!$F$2:$F$5000="Testing",IF('Verification data'!#REF! = 'Verification Summary'!$B12, IF('Verification data'!$G$2:$G$5000="Internal",'Verification data'!$K$2:$K$5000,0),0),0),0)),"")</f>
        <v>0</v>
      </c>
      <c r="M12" s="6">
        <f t="array" ref="M12">IF($A12&lt;&gt;"",SUM(IF('Verification data'!$D$2:$D$5000=$A12,IF('Verification data'!$F$2:$F$5000="Testing",IF('Verification data'!#REF! = 'Verification Summary'!$B12, IF('Verification data'!$G$2:$G$5000="Internal",'Verification data'!$L$2:$L$5000,0),0),0),0)),"")</f>
        <v>0</v>
      </c>
      <c r="N12" s="26">
        <f t="array" ref="N12">IF($A12&lt;&gt;"",SUM(IF('Verification data'!$D$2:$D$5000=$A12,IF('Verification data'!$F$2:$F$5000="Testing",IF('Verification data'!#REF! = 'Verification Summary'!$B12, IF('Verification data'!$G$2:$G$5000="Internal",'Verification data'!$Q$2:$Q$5000,0),0),0),0)),"")</f>
        <v>0</v>
      </c>
      <c r="P12" s="22" t="str">
        <f t="shared" si="0"/>
        <v>System integration testing-Hours</v>
      </c>
      <c r="Q12" s="10">
        <f t="shared" si="1"/>
        <v>0</v>
      </c>
      <c r="R12" s="10">
        <f t="shared" si="2"/>
        <v>0</v>
      </c>
      <c r="S12" s="10">
        <f t="shared" si="3"/>
        <v>0</v>
      </c>
    </row>
    <row r="13" spans="1:19" ht="25.5" x14ac:dyDescent="0.2">
      <c r="A13" s="25" t="str">
        <f>IF('Control panel'!A7&lt;&gt;"",'Control panel'!A7,"")</f>
        <v>User acceptance testing</v>
      </c>
      <c r="B13" s="6" t="str">
        <f>IF('Control panel'!B7&lt;&gt;"",'Control panel'!B7,"")</f>
        <v>Hours</v>
      </c>
      <c r="C13" s="6">
        <f t="array" ref="C13">IF($A13&lt;&gt;"",SUM(IF('Verification data'!$D$2:$D$5000=$A13,IF(NOT(ISERR(SEARCH("Review",'Verification data'!$F$2:$F$5000,1))),IF('Verification data'!#REF! = 'Verification Summary'!B13, IF('Verification data'!$G$2:$G$5000="Internal",'Verification data'!$I$2:$I$5000,0),0),0),0)),"")</f>
        <v>0</v>
      </c>
      <c r="D13" s="6">
        <f t="array" ref="D13">IF($A13&lt;&gt;"",SUM(IF('Verification data'!$D$2:$D$5000=$A13,IF(NOT(ISERR(SEARCH("Review",'Verification data'!$F$2:$F$5000,1))),IF('Verification data'!#REF! = 'Verification Summary'!B13, IF('Verification data'!$G$2:$G$5000="Internal",'Verification data'!#REF!,0),0),0),0)),"")</f>
        <v>0</v>
      </c>
      <c r="E13" s="6">
        <f t="array" ref="E13">IF($A13&lt;&gt;"",SUM(IF('Verification data'!$D$2:$D$5000=$A13,IF(NOT(ISERR(SEARCH("Review",'Verification data'!$F$2:$F$5000,1))),IF('Verification data'!#REF! = 'Verification Summary'!B13, IF('Verification data'!$G$2:$G$5000="Internal",'Verification data'!$J$2:$J$5000,0),0),0),0)),"")</f>
        <v>0</v>
      </c>
      <c r="F13" s="6">
        <f t="array" ref="F13">IF($A13&lt;&gt;"",SUM(IF('Verification data'!$D$2:$D$5000=$A13,IF(NOT(ISERR(SEARCH("Review",'Verification data'!$F$2:$F$5000,1))),IF('Verification data'!#REF! = 'Verification Summary'!B13, IF('Verification data'!$G$2:$G$5000="Internal",'Verification data'!$K$2:$K$5000,0),0),0),0)),"")</f>
        <v>0</v>
      </c>
      <c r="G13" s="6">
        <f t="array" ref="G13">IF($A13&lt;&gt;"",SUM(IF('Verification data'!$D$2:$D$5000=$A13,IF(NOT(ISERR(SEARCH("Review",'Verification data'!$F$2:$F$5000,1))),IF('Verification data'!#REF! = 'Verification Summary'!B13, IF('Verification data'!$G$2:$G$5000="Internal",'Verification data'!$L$2:$L$5000,0),0),0),0)),"")</f>
        <v>0</v>
      </c>
      <c r="H13" s="6">
        <f t="array" ref="H13">IF($A13&lt;&gt;"",SUM(IF('Verification data'!$D$2:$D$5000=$A13,IF(NOT(ISERR(SEARCH("Review",'Verification data'!$F$2:$F$5000,1))),IF('Verification data'!#REF! = 'Verification Summary'!B13, IF('Verification data'!$G$2:$G$5000="Internal",'Verification data'!$Q$2:$Q$5000,0),0),0),0)),"")</f>
        <v>0</v>
      </c>
      <c r="I13" s="6">
        <f t="array" ref="I13">IF($A13&lt;&gt;"",SUM(IF('Verification data'!$D$2:$D$5000=$A13,IF('Verification data'!$F$2:$F$5000="Testing",IF('Verification data'!#REF! = 'Verification Summary'!$B13, IF('Verification data'!$G$2:$G$5000="Internal",'Verification data'!$I$2:$I$5000,0),0),0),0)),"")</f>
        <v>0</v>
      </c>
      <c r="J13" s="6">
        <f t="array" ref="J13">IF($A13&lt;&gt;"",SUM(IF('Verification data'!$D$2:$D$5000=$A13,IF('Verification data'!$F$2:$F$5000="Testing",IF('Verification data'!#REF! = 'Verification Summary'!$B13, IF('Verification data'!$G$2:$G$5000="Internal",'Verification data'!#REF!,0),0),0),0)),"")</f>
        <v>0</v>
      </c>
      <c r="K13" s="6">
        <f t="array" ref="K13">IF($A13&lt;&gt;"",SUM(IF('Verification data'!$D$2:$D$5000=$A13,IF('Verification data'!$F$2:$F$5000="Testing",IF('Verification data'!#REF! = 'Verification Summary'!$B13, IF('Verification data'!$G$2:$G$5000="Internal",'Verification data'!$J$2:$J$5000,0),0),0),0)),"")</f>
        <v>0</v>
      </c>
      <c r="L13" s="6">
        <f t="array" ref="L13">IF($A13&lt;&gt;"",SUM(IF('Verification data'!$D$2:$D$5000=$A13,IF('Verification data'!$F$2:$F$5000="Testing",IF('Verification data'!#REF! = 'Verification Summary'!$B13, IF('Verification data'!$G$2:$G$5000="Internal",'Verification data'!$K$2:$K$5000,0),0),0),0)),"")</f>
        <v>0</v>
      </c>
      <c r="M13" s="6">
        <f t="array" ref="M13">IF($A13&lt;&gt;"",SUM(IF('Verification data'!$D$2:$D$5000=$A13,IF('Verification data'!$F$2:$F$5000="Testing",IF('Verification data'!#REF! = 'Verification Summary'!$B13, IF('Verification data'!$G$2:$G$5000="Internal",'Verification data'!$L$2:$L$5000,0),0),0),0)),"")</f>
        <v>0</v>
      </c>
      <c r="N13" s="26">
        <f t="array" ref="N13">IF($A13&lt;&gt;"",SUM(IF('Verification data'!$D$2:$D$5000=$A13,IF('Verification data'!$F$2:$F$5000="Testing",IF('Verification data'!#REF! = 'Verification Summary'!$B13, IF('Verification data'!$G$2:$G$5000="Internal",'Verification data'!$Q$2:$Q$5000,0),0),0),0)),"")</f>
        <v>0</v>
      </c>
      <c r="P13" s="22" t="str">
        <f t="shared" si="0"/>
        <v>User acceptance testing-Hours</v>
      </c>
      <c r="Q13" s="10">
        <f t="shared" si="1"/>
        <v>0</v>
      </c>
      <c r="R13" s="10">
        <f t="shared" si="2"/>
        <v>0</v>
      </c>
      <c r="S13" s="10">
        <f t="shared" si="3"/>
        <v>0</v>
      </c>
    </row>
    <row r="14" spans="1:19" ht="25.5" x14ac:dyDescent="0.2">
      <c r="A14" s="25" t="str">
        <f>IF('Control panel'!A8&lt;&gt;"",'Control panel'!A8,"")</f>
        <v>Production Deployment</v>
      </c>
      <c r="B14" s="6" t="str">
        <f>IF('Control panel'!B8&lt;&gt;"",'Control panel'!B8,"")</f>
        <v>Hours</v>
      </c>
      <c r="C14" s="6">
        <f t="array" ref="C14">IF($A14&lt;&gt;"",SUM(IF('Verification data'!$D$2:$D$5000=$A14,IF(NOT(ISERR(SEARCH("Review",'Verification data'!$F$2:$F$5000,1))),IF('Verification data'!#REF! = 'Verification Summary'!B14, IF('Verification data'!$G$2:$G$5000="Internal",'Verification data'!$I$2:$I$5000,0),0),0),0)),"")</f>
        <v>0</v>
      </c>
      <c r="D14" s="6">
        <f t="array" ref="D14">IF($A14&lt;&gt;"",SUM(IF('Verification data'!$D$2:$D$5000=$A14,IF(NOT(ISERR(SEARCH("Review",'Verification data'!$F$2:$F$5000,1))),IF('Verification data'!#REF! = 'Verification Summary'!B14, IF('Verification data'!$G$2:$G$5000="Internal",'Verification data'!#REF!,0),0),0),0)),"")</f>
        <v>0</v>
      </c>
      <c r="E14" s="6">
        <f t="array" ref="E14">IF($A14&lt;&gt;"",SUM(IF('Verification data'!$D$2:$D$5000=$A14,IF(NOT(ISERR(SEARCH("Review",'Verification data'!$F$2:$F$5000,1))),IF('Verification data'!#REF! = 'Verification Summary'!B14, IF('Verification data'!$G$2:$G$5000="Internal",'Verification data'!$J$2:$J$5000,0),0),0),0)),"")</f>
        <v>0</v>
      </c>
      <c r="F14" s="6">
        <f t="array" ref="F14">IF($A14&lt;&gt;"",SUM(IF('Verification data'!$D$2:$D$5000=$A14,IF(NOT(ISERR(SEARCH("Review",'Verification data'!$F$2:$F$5000,1))),IF('Verification data'!#REF! = 'Verification Summary'!B14, IF('Verification data'!$G$2:$G$5000="Internal",'Verification data'!$K$2:$K$5000,0),0),0),0)),"")</f>
        <v>0</v>
      </c>
      <c r="G14" s="6">
        <f t="array" ref="G14">IF($A14&lt;&gt;"",SUM(IF('Verification data'!$D$2:$D$5000=$A14,IF(NOT(ISERR(SEARCH("Review",'Verification data'!$F$2:$F$5000,1))),IF('Verification data'!#REF! = 'Verification Summary'!B14, IF('Verification data'!$G$2:$G$5000="Internal",'Verification data'!$L$2:$L$5000,0),0),0),0)),"")</f>
        <v>0</v>
      </c>
      <c r="H14" s="6">
        <f t="array" ref="H14">IF($A14&lt;&gt;"",SUM(IF('Verification data'!$D$2:$D$5000=$A14,IF(NOT(ISERR(SEARCH("Review",'Verification data'!$F$2:$F$5000,1))),IF('Verification data'!#REF! = 'Verification Summary'!B14, IF('Verification data'!$G$2:$G$5000="Internal",'Verification data'!$Q$2:$Q$5000,0),0),0),0)),"")</f>
        <v>0</v>
      </c>
      <c r="I14" s="6">
        <f t="array" ref="I14">IF($A14&lt;&gt;"",SUM(IF('Verification data'!$D$2:$D$5000=$A14,IF('Verification data'!$F$2:$F$5000="Testing",IF('Verification data'!#REF! = 'Verification Summary'!$B14, IF('Verification data'!$G$2:$G$5000="Internal",'Verification data'!$I$2:$I$5000,0),0),0),0)),"")</f>
        <v>0</v>
      </c>
      <c r="J14" s="6">
        <f t="array" ref="J14">IF($A14&lt;&gt;"",SUM(IF('Verification data'!$D$2:$D$5000=$A14,IF('Verification data'!$F$2:$F$5000="Testing",IF('Verification data'!#REF! = 'Verification Summary'!$B14, IF('Verification data'!$G$2:$G$5000="Internal",'Verification data'!#REF!,0),0),0),0)),"")</f>
        <v>0</v>
      </c>
      <c r="K14" s="6">
        <f t="array" ref="K14">IF($A14&lt;&gt;"",SUM(IF('Verification data'!$D$2:$D$5000=$A14,IF('Verification data'!$F$2:$F$5000="Testing",IF('Verification data'!#REF! = 'Verification Summary'!$B14, IF('Verification data'!$G$2:$G$5000="Internal",'Verification data'!$J$2:$J$5000,0),0),0),0)),"")</f>
        <v>0</v>
      </c>
      <c r="L14" s="6">
        <f t="array" ref="L14">IF($A14&lt;&gt;"",SUM(IF('Verification data'!$D$2:$D$5000=$A14,IF('Verification data'!$F$2:$F$5000="Testing",IF('Verification data'!#REF! = 'Verification Summary'!$B14, IF('Verification data'!$G$2:$G$5000="Internal",'Verification data'!$K$2:$K$5000,0),0),0),0)),"")</f>
        <v>0</v>
      </c>
      <c r="M14" s="6">
        <f t="array" ref="M14">IF($A14&lt;&gt;"",SUM(IF('Verification data'!$D$2:$D$5000=$A14,IF('Verification data'!$F$2:$F$5000="Testing",IF('Verification data'!#REF! = 'Verification Summary'!$B14, IF('Verification data'!$G$2:$G$5000="Internal",'Verification data'!$L$2:$L$5000,0),0),0),0)),"")</f>
        <v>0</v>
      </c>
      <c r="N14" s="26">
        <f t="array" ref="N14">IF($A14&lt;&gt;"",SUM(IF('Verification data'!$D$2:$D$5000=$A14,IF('Verification data'!$F$2:$F$5000="Testing",IF('Verification data'!#REF! = 'Verification Summary'!$B14, IF('Verification data'!$G$2:$G$5000="Internal",'Verification data'!$Q$2:$Q$5000,0),0),0),0)),"")</f>
        <v>0</v>
      </c>
      <c r="P14" s="22" t="str">
        <f t="shared" si="0"/>
        <v>Production Deployment-Hours</v>
      </c>
      <c r="Q14" s="10">
        <f t="shared" si="1"/>
        <v>0</v>
      </c>
      <c r="R14" s="10">
        <f t="shared" si="2"/>
        <v>0</v>
      </c>
      <c r="S14" s="10">
        <f t="shared" si="3"/>
        <v>0</v>
      </c>
    </row>
    <row r="15" spans="1:19" ht="25.5" x14ac:dyDescent="0.2">
      <c r="A15" s="25" t="str">
        <f>IF('Control panel'!A9&lt;&gt;"",'Control panel'!A9,"")</f>
        <v xml:space="preserve">Post production support </v>
      </c>
      <c r="B15" s="6" t="str">
        <f>IF('Control panel'!B9&lt;&gt;"",'Control panel'!B9,"")</f>
        <v>Hours</v>
      </c>
      <c r="C15" s="6">
        <f t="array" ref="C15">IF($A15&lt;&gt;"",SUM(IF('Verification data'!$D$2:$D$5000=$A15,IF(NOT(ISERR(SEARCH("Review",'Verification data'!$F$2:$F$5000,1))),IF('Verification data'!#REF! = 'Verification Summary'!B15, IF('Verification data'!$G$2:$G$5000="Internal",'Verification data'!$I$2:$I$5000,0),0),0),0)),"")</f>
        <v>0</v>
      </c>
      <c r="D15" s="6">
        <f t="array" ref="D15">IF($A15&lt;&gt;"",SUM(IF('Verification data'!$D$2:$D$5000=$A15,IF(NOT(ISERR(SEARCH("Review",'Verification data'!$F$2:$F$5000,1))),IF('Verification data'!#REF! = 'Verification Summary'!B15, IF('Verification data'!$G$2:$G$5000="Internal",'Verification data'!#REF!,0),0),0),0)),"")</f>
        <v>0</v>
      </c>
      <c r="E15" s="6">
        <f t="array" ref="E15">IF($A15&lt;&gt;"",SUM(IF('Verification data'!$D$2:$D$5000=$A15,IF(NOT(ISERR(SEARCH("Review",'Verification data'!$F$2:$F$5000,1))),IF('Verification data'!#REF! = 'Verification Summary'!B15, IF('Verification data'!$G$2:$G$5000="Internal",'Verification data'!$J$2:$J$5000,0),0),0),0)),"")</f>
        <v>0</v>
      </c>
      <c r="F15" s="6">
        <f t="array" ref="F15">IF($A15&lt;&gt;"",SUM(IF('Verification data'!$D$2:$D$5000=$A15,IF(NOT(ISERR(SEARCH("Review",'Verification data'!$F$2:$F$5000,1))),IF('Verification data'!#REF! = 'Verification Summary'!B15, IF('Verification data'!$G$2:$G$5000="Internal",'Verification data'!$K$2:$K$5000,0),0),0),0)),"")</f>
        <v>0</v>
      </c>
      <c r="G15" s="6">
        <f t="array" ref="G15">IF($A15&lt;&gt;"",SUM(IF('Verification data'!$D$2:$D$5000=$A15,IF(NOT(ISERR(SEARCH("Review",'Verification data'!$F$2:$F$5000,1))),IF('Verification data'!#REF! = 'Verification Summary'!B15, IF('Verification data'!$G$2:$G$5000="Internal",'Verification data'!$L$2:$L$5000,0),0),0),0)),"")</f>
        <v>0</v>
      </c>
      <c r="H15" s="6">
        <f t="array" ref="H15">IF($A15&lt;&gt;"",SUM(IF('Verification data'!$D$2:$D$5000=$A15,IF(NOT(ISERR(SEARCH("Review",'Verification data'!$F$2:$F$5000,1))),IF('Verification data'!#REF! = 'Verification Summary'!B15, IF('Verification data'!$G$2:$G$5000="Internal",'Verification data'!$Q$2:$Q$5000,0),0),0),0)),"")</f>
        <v>0</v>
      </c>
      <c r="I15" s="6">
        <f t="array" ref="I15">IF($A15&lt;&gt;"",SUM(IF('Verification data'!$D$2:$D$5000=$A15,IF('Verification data'!$F$2:$F$5000="Testing",IF('Verification data'!#REF! = 'Verification Summary'!$B15, IF('Verification data'!$G$2:$G$5000="Internal",'Verification data'!$I$2:$I$5000,0),0),0),0)),"")</f>
        <v>0</v>
      </c>
      <c r="J15" s="6">
        <f t="array" ref="J15">IF($A15&lt;&gt;"",SUM(IF('Verification data'!$D$2:$D$5000=$A15,IF('Verification data'!$F$2:$F$5000="Testing",IF('Verification data'!#REF! = 'Verification Summary'!$B15, IF('Verification data'!$G$2:$G$5000="Internal",'Verification data'!#REF!,0),0),0),0)),"")</f>
        <v>0</v>
      </c>
      <c r="K15" s="6">
        <f t="array" ref="K15">IF($A15&lt;&gt;"",SUM(IF('Verification data'!$D$2:$D$5000=$A15,IF('Verification data'!$F$2:$F$5000="Testing",IF('Verification data'!#REF! = 'Verification Summary'!$B15, IF('Verification data'!$G$2:$G$5000="Internal",'Verification data'!$J$2:$J$5000,0),0),0),0)),"")</f>
        <v>0</v>
      </c>
      <c r="L15" s="6">
        <f t="array" ref="L15">IF($A15&lt;&gt;"",SUM(IF('Verification data'!$D$2:$D$5000=$A15,IF('Verification data'!$F$2:$F$5000="Testing",IF('Verification data'!#REF! = 'Verification Summary'!$B15, IF('Verification data'!$G$2:$G$5000="Internal",'Verification data'!$K$2:$K$5000,0),0),0),0)),"")</f>
        <v>0</v>
      </c>
      <c r="M15" s="6">
        <f t="array" ref="M15">IF($A15&lt;&gt;"",SUM(IF('Verification data'!$D$2:$D$5000=$A15,IF('Verification data'!$F$2:$F$5000="Testing",IF('Verification data'!#REF! = 'Verification Summary'!$B15, IF('Verification data'!$G$2:$G$5000="Internal",'Verification data'!$L$2:$L$5000,0),0),0),0)),"")</f>
        <v>0</v>
      </c>
      <c r="N15" s="26">
        <f t="array" ref="N15">IF($A15&lt;&gt;"",SUM(IF('Verification data'!$D$2:$D$5000=$A15,IF('Verification data'!$F$2:$F$5000="Testing",IF('Verification data'!#REF! = 'Verification Summary'!$B15, IF('Verification data'!$G$2:$G$5000="Internal",'Verification data'!$Q$2:$Q$5000,0),0),0),0)),"")</f>
        <v>0</v>
      </c>
      <c r="P15" s="22" t="str">
        <f t="shared" si="0"/>
        <v>Post production support -Hours</v>
      </c>
      <c r="Q15" s="10">
        <f t="shared" si="1"/>
        <v>0</v>
      </c>
      <c r="R15" s="10">
        <f t="shared" si="2"/>
        <v>0</v>
      </c>
      <c r="S15" s="10">
        <f t="shared" si="3"/>
        <v>0</v>
      </c>
    </row>
    <row r="16" spans="1:19" x14ac:dyDescent="0.2">
      <c r="A16" s="25" t="str">
        <f>IF('Control panel'!A10&lt;&gt;"",'Control panel'!A10,"")</f>
        <v/>
      </c>
      <c r="B16" s="6" t="str">
        <f>IF('Control panel'!B10&lt;&gt;"",'Control panel'!B10,"")</f>
        <v/>
      </c>
      <c r="C16" s="6" t="str">
        <f t="array" ref="C16">IF($A16&lt;&gt;"",SUM(IF('Verification data'!$D$2:$D$5000=$A16,IF(NOT(ISERR(SEARCH("Review",'Verification data'!$F$2:$F$5000,1))),IF('Verification data'!#REF! = 'Verification Summary'!B16, IF('Verification data'!$G$2:$G$5000="Internal",'Verification data'!$I$2:$I$5000,0),0),0),0)),"")</f>
        <v/>
      </c>
      <c r="D16" s="6" t="str">
        <f t="array" ref="D16">IF($A16&lt;&gt;"",SUM(IF('Verification data'!$D$2:$D$5000=$A16,IF(NOT(ISERR(SEARCH("Review",'Verification data'!$F$2:$F$5000,1))),IF('Verification data'!#REF! = 'Verification Summary'!B16, IF('Verification data'!$G$2:$G$5000="Internal",'Verification data'!#REF!,0),0),0),0)),"")</f>
        <v/>
      </c>
      <c r="E16" s="6" t="str">
        <f t="array" ref="E16">IF($A16&lt;&gt;"",SUM(IF('Verification data'!$D$2:$D$5000=$A16,IF(NOT(ISERR(SEARCH("Review",'Verification data'!$F$2:$F$5000,1))),IF('Verification data'!#REF! = 'Verification Summary'!B16, IF('Verification data'!$G$2:$G$5000="Internal",'Verification data'!$J$2:$J$5000,0),0),0),0)),"")</f>
        <v/>
      </c>
      <c r="F16" s="6" t="str">
        <f t="array" ref="F16">IF($A16&lt;&gt;"",SUM(IF('Verification data'!$D$2:$D$5000=$A16,IF(NOT(ISERR(SEARCH("Review",'Verification data'!$F$2:$F$5000,1))),IF('Verification data'!#REF! = 'Verification Summary'!B16, IF('Verification data'!$G$2:$G$5000="Internal",'Verification data'!$K$2:$K$5000,0),0),0),0)),"")</f>
        <v/>
      </c>
      <c r="G16" s="6" t="str">
        <f t="array" ref="G16">IF($A16&lt;&gt;"",SUM(IF('Verification data'!$D$2:$D$5000=$A16,IF(NOT(ISERR(SEARCH("Review",'Verification data'!$F$2:$F$5000,1))),IF('Verification data'!#REF! = 'Verification Summary'!B16, IF('Verification data'!$G$2:$G$5000="Internal",'Verification data'!$L$2:$L$5000,0),0),0),0)),"")</f>
        <v/>
      </c>
      <c r="H16" s="6" t="str">
        <f t="array" ref="H16">IF($A16&lt;&gt;"",SUM(IF('Verification data'!$D$2:$D$5000=$A16,IF(NOT(ISERR(SEARCH("Review",'Verification data'!$F$2:$F$5000,1))),IF('Verification data'!#REF! = 'Verification Summary'!B16, IF('Verification data'!$G$2:$G$5000="Internal",'Verification data'!$Q$2:$Q$5000,0),0),0),0)),"")</f>
        <v/>
      </c>
      <c r="I16" s="6" t="str">
        <f t="array" ref="I16">IF($A16&lt;&gt;"",SUM(IF('Verification data'!$D$2:$D$5000=$A16,IF('Verification data'!$F$2:$F$5000="Testing",IF('Verification data'!#REF! = 'Verification Summary'!$B16, IF('Verification data'!$G$2:$G$5000="Internal",'Verification data'!$I$2:$I$5000,0),0),0),0)),"")</f>
        <v/>
      </c>
      <c r="J16" s="6" t="str">
        <f t="array" ref="J16">IF($A16&lt;&gt;"",SUM(IF('Verification data'!$D$2:$D$5000=$A16,IF('Verification data'!$F$2:$F$5000="Testing",IF('Verification data'!#REF! = 'Verification Summary'!$B16, IF('Verification data'!$G$2:$G$5000="Internal",'Verification data'!#REF!,0),0),0),0)),"")</f>
        <v/>
      </c>
      <c r="K16" s="6" t="str">
        <f t="array" ref="K16">IF($A16&lt;&gt;"",SUM(IF('Verification data'!$D$2:$D$5000=$A16,IF('Verification data'!$F$2:$F$5000="Testing",IF('Verification data'!#REF! = 'Verification Summary'!$B16, IF('Verification data'!$G$2:$G$5000="Internal",'Verification data'!$J$2:$J$5000,0),0),0),0)),"")</f>
        <v/>
      </c>
      <c r="L16" s="6" t="str">
        <f t="array" ref="L16">IF($A16&lt;&gt;"",SUM(IF('Verification data'!$D$2:$D$5000=$A16,IF('Verification data'!$F$2:$F$5000="Testing",IF('Verification data'!#REF! = 'Verification Summary'!$B16, IF('Verification data'!$G$2:$G$5000="Internal",'Verification data'!$K$2:$K$5000,0),0),0),0)),"")</f>
        <v/>
      </c>
      <c r="M16" s="6" t="str">
        <f t="array" ref="M16">IF($A16&lt;&gt;"",SUM(IF('Verification data'!$D$2:$D$5000=$A16,IF('Verification data'!$F$2:$F$5000="Testing",IF('Verification data'!#REF! = 'Verification Summary'!$B16, IF('Verification data'!$G$2:$G$5000="Internal",'Verification data'!$L$2:$L$5000,0),0),0),0)),"")</f>
        <v/>
      </c>
      <c r="N16" s="26" t="str">
        <f t="array" ref="N16">IF($A16&lt;&gt;"",SUM(IF('Verification data'!$D$2:$D$5000=$A16,IF('Verification data'!$F$2:$F$5000="Testing",IF('Verification data'!#REF! = 'Verification Summary'!$B16, IF('Verification data'!$G$2:$G$5000="Internal",'Verification data'!$Q$2:$Q$5000,0),0),0),0)),"")</f>
        <v/>
      </c>
      <c r="P16" s="22" t="str">
        <f t="shared" si="0"/>
        <v/>
      </c>
      <c r="Q16" s="10" t="str">
        <f t="shared" si="1"/>
        <v/>
      </c>
      <c r="R16" s="10" t="str">
        <f t="shared" si="2"/>
        <v/>
      </c>
      <c r="S16" s="10" t="str">
        <f t="shared" si="3"/>
        <v/>
      </c>
    </row>
    <row r="17" spans="1:19" x14ac:dyDescent="0.2">
      <c r="A17" s="25" t="str">
        <f>IF('Control panel'!A11&lt;&gt;"",'Control panel'!A11,"")</f>
        <v/>
      </c>
      <c r="B17" s="6" t="str">
        <f>IF('Control panel'!B11&lt;&gt;"",'Control panel'!B11,"")</f>
        <v/>
      </c>
      <c r="C17" s="6" t="str">
        <f t="array" ref="C17">IF($A17&lt;&gt;"",SUM(IF('Verification data'!$D$2:$D$5000=$A17,IF(NOT(ISERR(SEARCH("Review",'Verification data'!$F$2:$F$5000,1))),IF('Verification data'!#REF! = 'Verification Summary'!B17, IF('Verification data'!$G$2:$G$5000="Internal",'Verification data'!$I$2:$I$5000,0),0),0),0)),"")</f>
        <v/>
      </c>
      <c r="D17" s="6" t="str">
        <f t="array" ref="D17">IF($A17&lt;&gt;"",SUM(IF('Verification data'!$D$2:$D$5000=$A17,IF(NOT(ISERR(SEARCH("Review",'Verification data'!$F$2:$F$5000,1))),IF('Verification data'!#REF! = 'Verification Summary'!B17, IF('Verification data'!$G$2:$G$5000="Internal",'Verification data'!#REF!,0),0),0),0)),"")</f>
        <v/>
      </c>
      <c r="E17" s="6" t="str">
        <f t="array" ref="E17">IF($A17&lt;&gt;"",SUM(IF('Verification data'!$D$2:$D$5000=$A17,IF(NOT(ISERR(SEARCH("Review",'Verification data'!$F$2:$F$5000,1))),IF('Verification data'!#REF! = 'Verification Summary'!B17, IF('Verification data'!$G$2:$G$5000="Internal",'Verification data'!$J$2:$J$5000,0),0),0),0)),"")</f>
        <v/>
      </c>
      <c r="F17" s="6" t="str">
        <f t="array" ref="F17">IF($A17&lt;&gt;"",SUM(IF('Verification data'!$D$2:$D$5000=$A17,IF(NOT(ISERR(SEARCH("Review",'Verification data'!$F$2:$F$5000,1))),IF('Verification data'!#REF! = 'Verification Summary'!B17, IF('Verification data'!$G$2:$G$5000="Internal",'Verification data'!$K$2:$K$5000,0),0),0),0)),"")</f>
        <v/>
      </c>
      <c r="G17" s="6" t="str">
        <f t="array" ref="G17">IF($A17&lt;&gt;"",SUM(IF('Verification data'!$D$2:$D$5000=$A17,IF(NOT(ISERR(SEARCH("Review",'Verification data'!$F$2:$F$5000,1))),IF('Verification data'!#REF! = 'Verification Summary'!B17, IF('Verification data'!$G$2:$G$5000="Internal",'Verification data'!$L$2:$L$5000,0),0),0),0)),"")</f>
        <v/>
      </c>
      <c r="H17" s="6" t="str">
        <f t="array" ref="H17">IF($A17&lt;&gt;"",SUM(IF('Verification data'!$D$2:$D$5000=$A17,IF(NOT(ISERR(SEARCH("Review",'Verification data'!$F$2:$F$5000,1))),IF('Verification data'!#REF! = 'Verification Summary'!B17, IF('Verification data'!$G$2:$G$5000="Internal",'Verification data'!$Q$2:$Q$5000,0),0),0),0)),"")</f>
        <v/>
      </c>
      <c r="I17" s="6" t="str">
        <f t="array" ref="I17">IF($A17&lt;&gt;"",SUM(IF('Verification data'!$D$2:$D$5000=$A17,IF('Verification data'!$F$2:$F$5000="Testing",IF('Verification data'!#REF! = 'Verification Summary'!$B17, IF('Verification data'!$G$2:$G$5000="Internal",'Verification data'!$I$2:$I$5000,0),0),0),0)),"")</f>
        <v/>
      </c>
      <c r="J17" s="6" t="str">
        <f t="array" ref="J17">IF($A17&lt;&gt;"",SUM(IF('Verification data'!$D$2:$D$5000=$A17,IF('Verification data'!$F$2:$F$5000="Testing",IF('Verification data'!#REF! = 'Verification Summary'!$B17, IF('Verification data'!$G$2:$G$5000="Internal",'Verification data'!#REF!,0),0),0),0)),"")</f>
        <v/>
      </c>
      <c r="K17" s="6" t="str">
        <f t="array" ref="K17">IF($A17&lt;&gt;"",SUM(IF('Verification data'!$D$2:$D$5000=$A17,IF('Verification data'!$F$2:$F$5000="Testing",IF('Verification data'!#REF! = 'Verification Summary'!$B17, IF('Verification data'!$G$2:$G$5000="Internal",'Verification data'!$J$2:$J$5000,0),0),0),0)),"")</f>
        <v/>
      </c>
      <c r="L17" s="6" t="str">
        <f t="array" ref="L17">IF($A17&lt;&gt;"",SUM(IF('Verification data'!$D$2:$D$5000=$A17,IF('Verification data'!$F$2:$F$5000="Testing",IF('Verification data'!#REF! = 'Verification Summary'!$B17, IF('Verification data'!$G$2:$G$5000="Internal",'Verification data'!$K$2:$K$5000,0),0),0),0)),"")</f>
        <v/>
      </c>
      <c r="M17" s="6" t="str">
        <f t="array" ref="M17">IF($A17&lt;&gt;"",SUM(IF('Verification data'!$D$2:$D$5000=$A17,IF('Verification data'!$F$2:$F$5000="Testing",IF('Verification data'!#REF! = 'Verification Summary'!$B17, IF('Verification data'!$G$2:$G$5000="Internal",'Verification data'!$L$2:$L$5000,0),0),0),0)),"")</f>
        <v/>
      </c>
      <c r="N17" s="26" t="str">
        <f t="array" ref="N17">IF($A17&lt;&gt;"",SUM(IF('Verification data'!$D$2:$D$5000=$A17,IF('Verification data'!$F$2:$F$5000="Testing",IF('Verification data'!#REF! = 'Verification Summary'!$B17, IF('Verification data'!$G$2:$G$5000="Internal",'Verification data'!$Q$2:$Q$5000,0),0),0),0)),"")</f>
        <v/>
      </c>
      <c r="P17" s="22" t="str">
        <f t="shared" si="0"/>
        <v/>
      </c>
      <c r="Q17" s="10" t="str">
        <f t="shared" si="1"/>
        <v/>
      </c>
      <c r="R17" s="10" t="str">
        <f t="shared" si="2"/>
        <v/>
      </c>
      <c r="S17" s="10" t="str">
        <f t="shared" si="3"/>
        <v/>
      </c>
    </row>
    <row r="18" spans="1:19" x14ac:dyDescent="0.2">
      <c r="A18" s="25" t="str">
        <f>IF('Control panel'!A12&lt;&gt;"",'Control panel'!A12,"")</f>
        <v/>
      </c>
      <c r="B18" s="6" t="str">
        <f>IF('Control panel'!B12&lt;&gt;"",'Control panel'!B12,"")</f>
        <v/>
      </c>
      <c r="C18" s="6" t="str">
        <f t="array" ref="C18">IF($A18&lt;&gt;"",SUM(IF('Verification data'!$D$2:$D$5000=$A18,IF(NOT(ISERR(SEARCH("Review",'Verification data'!$F$2:$F$5000,1))),IF('Verification data'!#REF! = 'Verification Summary'!B18, IF('Verification data'!$G$2:$G$5000="Internal",'Verification data'!$I$2:$I$5000,0),0),0),0)),"")</f>
        <v/>
      </c>
      <c r="D18" s="6" t="str">
        <f t="array" ref="D18">IF($A18&lt;&gt;"",SUM(IF('Verification data'!$D$2:$D$5000=$A18,IF(NOT(ISERR(SEARCH("Review",'Verification data'!$F$2:$F$5000,1))),IF('Verification data'!#REF! = 'Verification Summary'!B18, IF('Verification data'!$G$2:$G$5000="Internal",'Verification data'!#REF!,0),0),0),0)),"")</f>
        <v/>
      </c>
      <c r="E18" s="6" t="str">
        <f t="array" ref="E18">IF($A18&lt;&gt;"",SUM(IF('Verification data'!$D$2:$D$5000=$A18,IF(NOT(ISERR(SEARCH("Review",'Verification data'!$F$2:$F$5000,1))),IF('Verification data'!#REF! = 'Verification Summary'!B18, IF('Verification data'!$G$2:$G$5000="Internal",'Verification data'!$J$2:$J$5000,0),0),0),0)),"")</f>
        <v/>
      </c>
      <c r="F18" s="6" t="str">
        <f t="array" ref="F18">IF($A18&lt;&gt;"",SUM(IF('Verification data'!$D$2:$D$5000=$A18,IF(NOT(ISERR(SEARCH("Review",'Verification data'!$F$2:$F$5000,1))),IF('Verification data'!#REF! = 'Verification Summary'!B18, IF('Verification data'!$G$2:$G$5000="Internal",'Verification data'!$K$2:$K$5000,0),0),0),0)),"")</f>
        <v/>
      </c>
      <c r="G18" s="6" t="str">
        <f t="array" ref="G18">IF($A18&lt;&gt;"",SUM(IF('Verification data'!$D$2:$D$5000=$A18,IF(NOT(ISERR(SEARCH("Review",'Verification data'!$F$2:$F$5000,1))),IF('Verification data'!#REF! = 'Verification Summary'!B18, IF('Verification data'!$G$2:$G$5000="Internal",'Verification data'!$L$2:$L$5000,0),0),0),0)),"")</f>
        <v/>
      </c>
      <c r="H18" s="6" t="str">
        <f t="array" ref="H18">IF($A18&lt;&gt;"",SUM(IF('Verification data'!$D$2:$D$5000=$A18,IF(NOT(ISERR(SEARCH("Review",'Verification data'!$F$2:$F$5000,1))),IF('Verification data'!#REF! = 'Verification Summary'!B18, IF('Verification data'!$G$2:$G$5000="Internal",'Verification data'!$Q$2:$Q$5000,0),0),0),0)),"")</f>
        <v/>
      </c>
      <c r="I18" s="6" t="str">
        <f t="array" ref="I18">IF($A18&lt;&gt;"",SUM(IF('Verification data'!$D$2:$D$5000=$A18,IF('Verification data'!$F$2:$F$5000="Testing",IF('Verification data'!#REF! = 'Verification Summary'!$B18, IF('Verification data'!$G$2:$G$5000="Internal",'Verification data'!$I$2:$I$5000,0),0),0),0)),"")</f>
        <v/>
      </c>
      <c r="J18" s="6" t="str">
        <f t="array" ref="J18">IF($A18&lt;&gt;"",SUM(IF('Verification data'!$D$2:$D$5000=$A18,IF('Verification data'!$F$2:$F$5000="Testing",IF('Verification data'!#REF! = 'Verification Summary'!$B18, IF('Verification data'!$G$2:$G$5000="Internal",'Verification data'!#REF!,0),0),0),0)),"")</f>
        <v/>
      </c>
      <c r="K18" s="6" t="str">
        <f t="array" ref="K18">IF($A18&lt;&gt;"",SUM(IF('Verification data'!$D$2:$D$5000=$A18,IF('Verification data'!$F$2:$F$5000="Testing",IF('Verification data'!#REF! = 'Verification Summary'!$B18, IF('Verification data'!$G$2:$G$5000="Internal",'Verification data'!$J$2:$J$5000,0),0),0),0)),"")</f>
        <v/>
      </c>
      <c r="L18" s="6" t="str">
        <f t="array" ref="L18">IF($A18&lt;&gt;"",SUM(IF('Verification data'!$D$2:$D$5000=$A18,IF('Verification data'!$F$2:$F$5000="Testing",IF('Verification data'!#REF! = 'Verification Summary'!$B18, IF('Verification data'!$G$2:$G$5000="Internal",'Verification data'!$K$2:$K$5000,0),0),0),0)),"")</f>
        <v/>
      </c>
      <c r="M18" s="6" t="str">
        <f t="array" ref="M18">IF($A18&lt;&gt;"",SUM(IF('Verification data'!$D$2:$D$5000=$A18,IF('Verification data'!$F$2:$F$5000="Testing",IF('Verification data'!#REF! = 'Verification Summary'!$B18, IF('Verification data'!$G$2:$G$5000="Internal",'Verification data'!$L$2:$L$5000,0),0),0),0)),"")</f>
        <v/>
      </c>
      <c r="N18" s="26" t="str">
        <f t="array" ref="N18">IF($A18&lt;&gt;"",SUM(IF('Verification data'!$D$2:$D$5000=$A18,IF('Verification data'!$F$2:$F$5000="Testing",IF('Verification data'!#REF! = 'Verification Summary'!$B18, IF('Verification data'!$G$2:$G$5000="Internal",'Verification data'!$Q$2:$Q$5000,0),0),0),0)),"")</f>
        <v/>
      </c>
      <c r="P18" s="22" t="str">
        <f t="shared" si="0"/>
        <v/>
      </c>
      <c r="Q18" s="10" t="str">
        <f t="shared" si="1"/>
        <v/>
      </c>
      <c r="R18" s="10" t="str">
        <f t="shared" si="2"/>
        <v/>
      </c>
      <c r="S18" s="10" t="str">
        <f t="shared" si="3"/>
        <v/>
      </c>
    </row>
    <row r="19" spans="1:19" x14ac:dyDescent="0.2">
      <c r="A19" s="25" t="str">
        <f>IF('Control panel'!A13&lt;&gt;"",'Control panel'!A13,"")</f>
        <v/>
      </c>
      <c r="B19" s="6" t="str">
        <f>IF('Control panel'!B13&lt;&gt;"",'Control panel'!B13,"")</f>
        <v/>
      </c>
      <c r="C19" s="6" t="str">
        <f t="array" ref="C19">IF($A19&lt;&gt;"",SUM(IF('Verification data'!$D$2:$D$5000=$A19,IF(NOT(ISERR(SEARCH("Review",'Verification data'!$F$2:$F$5000,1))),IF('Verification data'!#REF! = 'Verification Summary'!B19, IF('Verification data'!$G$2:$G$5000="Internal",'Verification data'!$I$2:$I$5000,0),0),0),0)),"")</f>
        <v/>
      </c>
      <c r="D19" s="6" t="str">
        <f t="array" ref="D19">IF($A19&lt;&gt;"",SUM(IF('Verification data'!$D$2:$D$5000=$A19,IF(NOT(ISERR(SEARCH("Review",'Verification data'!$F$2:$F$5000,1))),IF('Verification data'!#REF! = 'Verification Summary'!B19, IF('Verification data'!$G$2:$G$5000="Internal",'Verification data'!#REF!,0),0),0),0)),"")</f>
        <v/>
      </c>
      <c r="E19" s="6" t="str">
        <f t="array" ref="E19">IF($A19&lt;&gt;"",SUM(IF('Verification data'!$D$2:$D$5000=$A19,IF(NOT(ISERR(SEARCH("Review",'Verification data'!$F$2:$F$5000,1))),IF('Verification data'!#REF! = 'Verification Summary'!B19, IF('Verification data'!$G$2:$G$5000="Internal",'Verification data'!$J$2:$J$5000,0),0),0),0)),"")</f>
        <v/>
      </c>
      <c r="F19" s="6" t="str">
        <f t="array" ref="F19">IF($A19&lt;&gt;"",SUM(IF('Verification data'!$D$2:$D$5000=$A19,IF(NOT(ISERR(SEARCH("Review",'Verification data'!$F$2:$F$5000,1))),IF('Verification data'!#REF! = 'Verification Summary'!B19, IF('Verification data'!$G$2:$G$5000="Internal",'Verification data'!$K$2:$K$5000,0),0),0),0)),"")</f>
        <v/>
      </c>
      <c r="G19" s="6" t="str">
        <f t="array" ref="G19">IF($A19&lt;&gt;"",SUM(IF('Verification data'!$D$2:$D$5000=$A19,IF(NOT(ISERR(SEARCH("Review",'Verification data'!$F$2:$F$5000,1))),IF('Verification data'!#REF! = 'Verification Summary'!B19, IF('Verification data'!$G$2:$G$5000="Internal",'Verification data'!$L$2:$L$5000,0),0),0),0)),"")</f>
        <v/>
      </c>
      <c r="H19" s="6" t="str">
        <f t="array" ref="H19">IF($A19&lt;&gt;"",SUM(IF('Verification data'!$D$2:$D$5000=$A19,IF(NOT(ISERR(SEARCH("Review",'Verification data'!$F$2:$F$5000,1))),IF('Verification data'!#REF! = 'Verification Summary'!B19, IF('Verification data'!$G$2:$G$5000="Internal",'Verification data'!$Q$2:$Q$5000,0),0),0),0)),"")</f>
        <v/>
      </c>
      <c r="I19" s="6" t="str">
        <f t="array" ref="I19">IF($A19&lt;&gt;"",SUM(IF('Verification data'!$D$2:$D$5000=$A19,IF('Verification data'!$F$2:$F$5000="Testing",IF('Verification data'!#REF! = 'Verification Summary'!$B19, IF('Verification data'!$G$2:$G$5000="Internal",'Verification data'!$I$2:$I$5000,0),0),0),0)),"")</f>
        <v/>
      </c>
      <c r="J19" s="6" t="str">
        <f t="array" ref="J19">IF($A19&lt;&gt;"",SUM(IF('Verification data'!$D$2:$D$5000=$A19,IF('Verification data'!$F$2:$F$5000="Testing",IF('Verification data'!#REF! = 'Verification Summary'!$B19, IF('Verification data'!$G$2:$G$5000="Internal",'Verification data'!#REF!,0),0),0),0)),"")</f>
        <v/>
      </c>
      <c r="K19" s="6" t="str">
        <f t="array" ref="K19">IF($A19&lt;&gt;"",SUM(IF('Verification data'!$D$2:$D$5000=$A19,IF('Verification data'!$F$2:$F$5000="Testing",IF('Verification data'!#REF! = 'Verification Summary'!$B19, IF('Verification data'!$G$2:$G$5000="Internal",'Verification data'!$J$2:$J$5000,0),0),0),0)),"")</f>
        <v/>
      </c>
      <c r="L19" s="6" t="str">
        <f t="array" ref="L19">IF($A19&lt;&gt;"",SUM(IF('Verification data'!$D$2:$D$5000=$A19,IF('Verification data'!$F$2:$F$5000="Testing",IF('Verification data'!#REF! = 'Verification Summary'!$B19, IF('Verification data'!$G$2:$G$5000="Internal",'Verification data'!$K$2:$K$5000,0),0),0),0)),"")</f>
        <v/>
      </c>
      <c r="M19" s="6" t="str">
        <f t="array" ref="M19">IF($A19&lt;&gt;"",SUM(IF('Verification data'!$D$2:$D$5000=$A19,IF('Verification data'!$F$2:$F$5000="Testing",IF('Verification data'!#REF! = 'Verification Summary'!$B19, IF('Verification data'!$G$2:$G$5000="Internal",'Verification data'!$L$2:$L$5000,0),0),0),0)),"")</f>
        <v/>
      </c>
      <c r="N19" s="26" t="str">
        <f t="array" ref="N19">IF($A19&lt;&gt;"",SUM(IF('Verification data'!$D$2:$D$5000=$A19,IF('Verification data'!$F$2:$F$5000="Testing",IF('Verification data'!#REF! = 'Verification Summary'!$B19, IF('Verification data'!$G$2:$G$5000="Internal",'Verification data'!$Q$2:$Q$5000,0),0),0),0)),"")</f>
        <v/>
      </c>
      <c r="P19" s="22" t="str">
        <f t="shared" si="0"/>
        <v/>
      </c>
      <c r="Q19" s="10" t="str">
        <f t="shared" si="1"/>
        <v/>
      </c>
      <c r="R19" s="10" t="str">
        <f t="shared" si="2"/>
        <v/>
      </c>
      <c r="S19" s="10" t="str">
        <f t="shared" si="3"/>
        <v/>
      </c>
    </row>
    <row r="20" spans="1:19" x14ac:dyDescent="0.2">
      <c r="A20" s="25" t="str">
        <f>IF('Control panel'!A14&lt;&gt;"",'Control panel'!A14,"")</f>
        <v/>
      </c>
      <c r="B20" s="6" t="str">
        <f>IF('Control panel'!B14&lt;&gt;"",'Control panel'!B14,"")</f>
        <v/>
      </c>
      <c r="C20" s="6" t="str">
        <f t="array" ref="C20">IF($A20&lt;&gt;"",SUM(IF('Verification data'!$D$2:$D$5000=$A20,IF(NOT(ISERR(SEARCH("Review",'Verification data'!$F$2:$F$5000,1))),IF('Verification data'!#REF! = 'Verification Summary'!B20, IF('Verification data'!$G$2:$G$5000="Internal",'Verification data'!$I$2:$I$5000,0),0),0),0)),"")</f>
        <v/>
      </c>
      <c r="D20" s="6" t="str">
        <f t="array" ref="D20">IF($A20&lt;&gt;"",SUM(IF('Verification data'!$D$2:$D$5000=$A20,IF(NOT(ISERR(SEARCH("Review",'Verification data'!$F$2:$F$5000,1))),IF('Verification data'!#REF! = 'Verification Summary'!B20, IF('Verification data'!$G$2:$G$5000="Internal",'Verification data'!#REF!,0),0),0),0)),"")</f>
        <v/>
      </c>
      <c r="E20" s="6" t="str">
        <f t="array" ref="E20">IF($A20&lt;&gt;"",SUM(IF('Verification data'!$D$2:$D$5000=$A20,IF(NOT(ISERR(SEARCH("Review",'Verification data'!$F$2:$F$5000,1))),IF('Verification data'!#REF! = 'Verification Summary'!B20, IF('Verification data'!$G$2:$G$5000="Internal",'Verification data'!$J$2:$J$5000,0),0),0),0)),"")</f>
        <v/>
      </c>
      <c r="F20" s="6" t="str">
        <f t="array" ref="F20">IF($A20&lt;&gt;"",SUM(IF('Verification data'!$D$2:$D$5000=$A20,IF(NOT(ISERR(SEARCH("Review",'Verification data'!$F$2:$F$5000,1))),IF('Verification data'!#REF! = 'Verification Summary'!B20, IF('Verification data'!$G$2:$G$5000="Internal",'Verification data'!$K$2:$K$5000,0),0),0),0)),"")</f>
        <v/>
      </c>
      <c r="G20" s="6" t="str">
        <f t="array" ref="G20">IF($A20&lt;&gt;"",SUM(IF('Verification data'!$D$2:$D$5000=$A20,IF(NOT(ISERR(SEARCH("Review",'Verification data'!$F$2:$F$5000,1))),IF('Verification data'!#REF! = 'Verification Summary'!B20, IF('Verification data'!$G$2:$G$5000="Internal",'Verification data'!$L$2:$L$5000,0),0),0),0)),"")</f>
        <v/>
      </c>
      <c r="H20" s="6" t="str">
        <f t="array" ref="H20">IF($A20&lt;&gt;"",SUM(IF('Verification data'!$D$2:$D$5000=$A20,IF(NOT(ISERR(SEARCH("Review",'Verification data'!$F$2:$F$5000,1))),IF('Verification data'!#REF! = 'Verification Summary'!B20, IF('Verification data'!$G$2:$G$5000="Internal",'Verification data'!$Q$2:$Q$5000,0),0),0),0)),"")</f>
        <v/>
      </c>
      <c r="I20" s="6" t="str">
        <f t="array" ref="I20">IF($A20&lt;&gt;"",SUM(IF('Verification data'!$D$2:$D$5000=$A20,IF('Verification data'!$F$2:$F$5000="Testing",IF('Verification data'!#REF! = 'Verification Summary'!$B20, IF('Verification data'!$G$2:$G$5000="Internal",'Verification data'!$I$2:$I$5000,0),0),0),0)),"")</f>
        <v/>
      </c>
      <c r="J20" s="6" t="str">
        <f t="array" ref="J20">IF($A20&lt;&gt;"",SUM(IF('Verification data'!$D$2:$D$5000=$A20,IF('Verification data'!$F$2:$F$5000="Testing",IF('Verification data'!#REF! = 'Verification Summary'!$B20, IF('Verification data'!$G$2:$G$5000="Internal",'Verification data'!#REF!,0),0),0),0)),"")</f>
        <v/>
      </c>
      <c r="K20" s="6" t="str">
        <f t="array" ref="K20">IF($A20&lt;&gt;"",SUM(IF('Verification data'!$D$2:$D$5000=$A20,IF('Verification data'!$F$2:$F$5000="Testing",IF('Verification data'!#REF! = 'Verification Summary'!$B20, IF('Verification data'!$G$2:$G$5000="Internal",'Verification data'!$J$2:$J$5000,0),0),0),0)),"")</f>
        <v/>
      </c>
      <c r="L20" s="6" t="str">
        <f t="array" ref="L20">IF($A20&lt;&gt;"",SUM(IF('Verification data'!$D$2:$D$5000=$A20,IF('Verification data'!$F$2:$F$5000="Testing",IF('Verification data'!#REF! = 'Verification Summary'!$B20, IF('Verification data'!$G$2:$G$5000="Internal",'Verification data'!$K$2:$K$5000,0),0),0),0)),"")</f>
        <v/>
      </c>
      <c r="M20" s="6" t="str">
        <f t="array" ref="M20">IF($A20&lt;&gt;"",SUM(IF('Verification data'!$D$2:$D$5000=$A20,IF('Verification data'!$F$2:$F$5000="Testing",IF('Verification data'!#REF! = 'Verification Summary'!$B20, IF('Verification data'!$G$2:$G$5000="Internal",'Verification data'!$L$2:$L$5000,0),0),0),0)),"")</f>
        <v/>
      </c>
      <c r="N20" s="26" t="str">
        <f t="array" ref="N20">IF($A20&lt;&gt;"",SUM(IF('Verification data'!$D$2:$D$5000=$A20,IF('Verification data'!$F$2:$F$5000="Testing",IF('Verification data'!#REF! = 'Verification Summary'!$B20, IF('Verification data'!$G$2:$G$5000="Internal",'Verification data'!$Q$2:$Q$5000,0),0),0),0)),"")</f>
        <v/>
      </c>
      <c r="P20" s="22" t="str">
        <f t="shared" si="0"/>
        <v/>
      </c>
      <c r="Q20" s="10" t="str">
        <f t="shared" si="1"/>
        <v/>
      </c>
      <c r="R20" s="10" t="str">
        <f t="shared" si="2"/>
        <v/>
      </c>
      <c r="S20" s="10" t="str">
        <f t="shared" si="3"/>
        <v/>
      </c>
    </row>
    <row r="21" spans="1:19" x14ac:dyDescent="0.2">
      <c r="A21" s="25" t="str">
        <f>IF('Control panel'!A15&lt;&gt;"",'Control panel'!A15,"")</f>
        <v/>
      </c>
      <c r="B21" s="6" t="str">
        <f>IF('Control panel'!B15&lt;&gt;"",'Control panel'!B15,"")</f>
        <v/>
      </c>
      <c r="C21" s="6" t="str">
        <f t="array" ref="C21">IF($A21&lt;&gt;"",SUM(IF('Verification data'!$D$2:$D$5000=$A21,IF(NOT(ISERR(SEARCH("Review",'Verification data'!$F$2:$F$5000,1))),IF('Verification data'!#REF! = 'Verification Summary'!B21, IF('Verification data'!$G$2:$G$5000="Internal",'Verification data'!$I$2:$I$5000,0),0),0),0)),"")</f>
        <v/>
      </c>
      <c r="D21" s="6" t="str">
        <f t="array" ref="D21">IF($A21&lt;&gt;"",SUM(IF('Verification data'!$D$2:$D$5000=$A21,IF(NOT(ISERR(SEARCH("Review",'Verification data'!$F$2:$F$5000,1))),IF('Verification data'!#REF! = 'Verification Summary'!B21, IF('Verification data'!$G$2:$G$5000="Internal",'Verification data'!#REF!,0),0),0),0)),"")</f>
        <v/>
      </c>
      <c r="E21" s="6" t="str">
        <f t="array" ref="E21">IF($A21&lt;&gt;"",SUM(IF('Verification data'!$D$2:$D$5000=$A21,IF(NOT(ISERR(SEARCH("Review",'Verification data'!$F$2:$F$5000,1))),IF('Verification data'!#REF! = 'Verification Summary'!B21, IF('Verification data'!$G$2:$G$5000="Internal",'Verification data'!$J$2:$J$5000,0),0),0),0)),"")</f>
        <v/>
      </c>
      <c r="F21" s="6" t="str">
        <f t="array" ref="F21">IF($A21&lt;&gt;"",SUM(IF('Verification data'!$D$2:$D$5000=$A21,IF(NOT(ISERR(SEARCH("Review",'Verification data'!$F$2:$F$5000,1))),IF('Verification data'!#REF! = 'Verification Summary'!B21, IF('Verification data'!$G$2:$G$5000="Internal",'Verification data'!$K$2:$K$5000,0),0),0),0)),"")</f>
        <v/>
      </c>
      <c r="G21" s="6" t="str">
        <f t="array" ref="G21">IF($A21&lt;&gt;"",SUM(IF('Verification data'!$D$2:$D$5000=$A21,IF(NOT(ISERR(SEARCH("Review",'Verification data'!$F$2:$F$5000,1))),IF('Verification data'!#REF! = 'Verification Summary'!B21, IF('Verification data'!$G$2:$G$5000="Internal",'Verification data'!$L$2:$L$5000,0),0),0),0)),"")</f>
        <v/>
      </c>
      <c r="H21" s="6" t="str">
        <f t="array" ref="H21">IF($A21&lt;&gt;"",SUM(IF('Verification data'!$D$2:$D$5000=$A21,IF(NOT(ISERR(SEARCH("Review",'Verification data'!$F$2:$F$5000,1))),IF('Verification data'!#REF! = 'Verification Summary'!B21, IF('Verification data'!$G$2:$G$5000="Internal",'Verification data'!$Q$2:$Q$5000,0),0),0),0)),"")</f>
        <v/>
      </c>
      <c r="I21" s="6" t="str">
        <f t="array" ref="I21">IF($A21&lt;&gt;"",SUM(IF('Verification data'!$D$2:$D$5000=$A21,IF('Verification data'!$F$2:$F$5000="Testing",IF('Verification data'!#REF! = 'Verification Summary'!$B21, IF('Verification data'!$G$2:$G$5000="Internal",'Verification data'!$I$2:$I$5000,0),0),0),0)),"")</f>
        <v/>
      </c>
      <c r="J21" s="6" t="str">
        <f t="array" ref="J21">IF($A21&lt;&gt;"",SUM(IF('Verification data'!$D$2:$D$5000=$A21,IF('Verification data'!$F$2:$F$5000="Testing",IF('Verification data'!#REF! = 'Verification Summary'!$B21, IF('Verification data'!$G$2:$G$5000="Internal",'Verification data'!#REF!,0),0),0),0)),"")</f>
        <v/>
      </c>
      <c r="K21" s="6" t="str">
        <f t="array" ref="K21">IF($A21&lt;&gt;"",SUM(IF('Verification data'!$D$2:$D$5000=$A21,IF('Verification data'!$F$2:$F$5000="Testing",IF('Verification data'!#REF! = 'Verification Summary'!$B21, IF('Verification data'!$G$2:$G$5000="Internal",'Verification data'!$J$2:$J$5000,0),0),0),0)),"")</f>
        <v/>
      </c>
      <c r="L21" s="6" t="str">
        <f t="array" ref="L21">IF($A21&lt;&gt;"",SUM(IF('Verification data'!$D$2:$D$5000=$A21,IF('Verification data'!$F$2:$F$5000="Testing",IF('Verification data'!#REF! = 'Verification Summary'!$B21, IF('Verification data'!$G$2:$G$5000="Internal",'Verification data'!$K$2:$K$5000,0),0),0),0)),"")</f>
        <v/>
      </c>
      <c r="M21" s="6" t="str">
        <f t="array" ref="M21">IF($A21&lt;&gt;"",SUM(IF('Verification data'!$D$2:$D$5000=$A21,IF('Verification data'!$F$2:$F$5000="Testing",IF('Verification data'!#REF! = 'Verification Summary'!$B21, IF('Verification data'!$G$2:$G$5000="Internal",'Verification data'!$L$2:$L$5000,0),0),0),0)),"")</f>
        <v/>
      </c>
      <c r="N21" s="26" t="str">
        <f t="array" ref="N21">IF($A21&lt;&gt;"",SUM(IF('Verification data'!$D$2:$D$5000=$A21,IF('Verification data'!$F$2:$F$5000="Testing",IF('Verification data'!#REF! = 'Verification Summary'!$B21, IF('Verification data'!$G$2:$G$5000="Internal",'Verification data'!$Q$2:$Q$5000,0),0),0),0)),"")</f>
        <v/>
      </c>
      <c r="P21" s="22" t="str">
        <f t="shared" si="0"/>
        <v/>
      </c>
      <c r="Q21" s="10" t="str">
        <f t="shared" si="1"/>
        <v/>
      </c>
      <c r="R21" s="10" t="str">
        <f t="shared" si="2"/>
        <v/>
      </c>
      <c r="S21" s="10" t="str">
        <f t="shared" si="3"/>
        <v/>
      </c>
    </row>
    <row r="22" spans="1:19" x14ac:dyDescent="0.2">
      <c r="A22" s="25" t="str">
        <f>IF('Control panel'!A16&lt;&gt;"",'Control panel'!A16,"")</f>
        <v/>
      </c>
      <c r="B22" s="6" t="str">
        <f>IF('Control panel'!B16&lt;&gt;"",'Control panel'!B16,"")</f>
        <v/>
      </c>
      <c r="C22" s="6" t="str">
        <f t="array" ref="C22">IF($A22&lt;&gt;"",SUM(IF('Verification data'!$D$2:$D$5000=$A22,IF(NOT(ISERR(SEARCH("Review",'Verification data'!$F$2:$F$5000,1))),IF('Verification data'!#REF! = 'Verification Summary'!B22, IF('Verification data'!$G$2:$G$5000="Internal",'Verification data'!$I$2:$I$5000,0),0),0),0)),"")</f>
        <v/>
      </c>
      <c r="D22" s="6" t="str">
        <f t="array" ref="D22">IF($A22&lt;&gt;"",SUM(IF('Verification data'!$D$2:$D$5000=$A22,IF(NOT(ISERR(SEARCH("Review",'Verification data'!$F$2:$F$5000,1))),IF('Verification data'!#REF! = 'Verification Summary'!B22, IF('Verification data'!$G$2:$G$5000="Internal",'Verification data'!#REF!,0),0),0),0)),"")</f>
        <v/>
      </c>
      <c r="E22" s="6" t="str">
        <f t="array" ref="E22">IF($A22&lt;&gt;"",SUM(IF('Verification data'!$D$2:$D$5000=$A22,IF(NOT(ISERR(SEARCH("Review",'Verification data'!$F$2:$F$5000,1))),IF('Verification data'!#REF! = 'Verification Summary'!B22, IF('Verification data'!$G$2:$G$5000="Internal",'Verification data'!$J$2:$J$5000,0),0),0),0)),"")</f>
        <v/>
      </c>
      <c r="F22" s="6" t="str">
        <f t="array" ref="F22">IF($A22&lt;&gt;"",SUM(IF('Verification data'!$D$2:$D$5000=$A22,IF(NOT(ISERR(SEARCH("Review",'Verification data'!$F$2:$F$5000,1))),IF('Verification data'!#REF! = 'Verification Summary'!B22, IF('Verification data'!$G$2:$G$5000="Internal",'Verification data'!$K$2:$K$5000,0),0),0),0)),"")</f>
        <v/>
      </c>
      <c r="G22" s="6" t="str">
        <f t="array" ref="G22">IF($A22&lt;&gt;"",SUM(IF('Verification data'!$D$2:$D$5000=$A22,IF(NOT(ISERR(SEARCH("Review",'Verification data'!$F$2:$F$5000,1))),IF('Verification data'!#REF! = 'Verification Summary'!B22, IF('Verification data'!$G$2:$G$5000="Internal",'Verification data'!$L$2:$L$5000,0),0),0),0)),"")</f>
        <v/>
      </c>
      <c r="H22" s="6" t="str">
        <f t="array" ref="H22">IF($A22&lt;&gt;"",SUM(IF('Verification data'!$D$2:$D$5000=$A22,IF(NOT(ISERR(SEARCH("Review",'Verification data'!$F$2:$F$5000,1))),IF('Verification data'!#REF! = 'Verification Summary'!B22, IF('Verification data'!$G$2:$G$5000="Internal",'Verification data'!$Q$2:$Q$5000,0),0),0),0)),"")</f>
        <v/>
      </c>
      <c r="I22" s="6" t="str">
        <f t="array" ref="I22">IF($A22&lt;&gt;"",SUM(IF('Verification data'!$D$2:$D$5000=$A22,IF('Verification data'!$F$2:$F$5000="Testing",IF('Verification data'!#REF! = 'Verification Summary'!$B22, IF('Verification data'!$G$2:$G$5000="Internal",'Verification data'!$I$2:$I$5000,0),0),0),0)),"")</f>
        <v/>
      </c>
      <c r="J22" s="6" t="str">
        <f t="array" ref="J22">IF($A22&lt;&gt;"",SUM(IF('Verification data'!$D$2:$D$5000=$A22,IF('Verification data'!$F$2:$F$5000="Testing",IF('Verification data'!#REF! = 'Verification Summary'!$B22, IF('Verification data'!$G$2:$G$5000="Internal",'Verification data'!#REF!,0),0),0),0)),"")</f>
        <v/>
      </c>
      <c r="K22" s="6" t="str">
        <f t="array" ref="K22">IF($A22&lt;&gt;"",SUM(IF('Verification data'!$D$2:$D$5000=$A22,IF('Verification data'!$F$2:$F$5000="Testing",IF('Verification data'!#REF! = 'Verification Summary'!$B22, IF('Verification data'!$G$2:$G$5000="Internal",'Verification data'!$J$2:$J$5000,0),0),0),0)),"")</f>
        <v/>
      </c>
      <c r="L22" s="6" t="str">
        <f t="array" ref="L22">IF($A22&lt;&gt;"",SUM(IF('Verification data'!$D$2:$D$5000=$A22,IF('Verification data'!$F$2:$F$5000="Testing",IF('Verification data'!#REF! = 'Verification Summary'!$B22, IF('Verification data'!$G$2:$G$5000="Internal",'Verification data'!$K$2:$K$5000,0),0),0),0)),"")</f>
        <v/>
      </c>
      <c r="M22" s="6" t="str">
        <f t="array" ref="M22">IF($A22&lt;&gt;"",SUM(IF('Verification data'!$D$2:$D$5000=$A22,IF('Verification data'!$F$2:$F$5000="Testing",IF('Verification data'!#REF! = 'Verification Summary'!$B22, IF('Verification data'!$G$2:$G$5000="Internal",'Verification data'!$L$2:$L$5000,0),0),0),0)),"")</f>
        <v/>
      </c>
      <c r="N22" s="26" t="str">
        <f t="array" ref="N22">IF($A22&lt;&gt;"",SUM(IF('Verification data'!$D$2:$D$5000=$A22,IF('Verification data'!$F$2:$F$5000="Testing",IF('Verification data'!#REF! = 'Verification Summary'!$B22, IF('Verification data'!$G$2:$G$5000="Internal",'Verification data'!$Q$2:$Q$5000,0),0),0),0)),"")</f>
        <v/>
      </c>
      <c r="P22" s="22" t="str">
        <f t="shared" si="0"/>
        <v/>
      </c>
      <c r="Q22" s="10" t="str">
        <f t="shared" si="1"/>
        <v/>
      </c>
      <c r="R22" s="10" t="str">
        <f t="shared" si="2"/>
        <v/>
      </c>
      <c r="S22" s="10" t="str">
        <f t="shared" si="3"/>
        <v/>
      </c>
    </row>
    <row r="23" spans="1:19" x14ac:dyDescent="0.2">
      <c r="A23" s="25" t="str">
        <f>IF('Control panel'!A17&lt;&gt;"",'Control panel'!A17,"")</f>
        <v/>
      </c>
      <c r="B23" s="6" t="str">
        <f>IF('Control panel'!B17&lt;&gt;"",'Control panel'!B17,"")</f>
        <v/>
      </c>
      <c r="C23" s="6" t="str">
        <f t="array" ref="C23">IF($A23&lt;&gt;"",SUM(IF('Verification data'!$D$2:$D$5000=$A23,IF(NOT(ISERR(SEARCH("Review",'Verification data'!$F$2:$F$5000,1))),IF('Verification data'!#REF! = 'Verification Summary'!B23, IF('Verification data'!$G$2:$G$5000="Internal",'Verification data'!$I$2:$I$5000,0),0),0),0)),"")</f>
        <v/>
      </c>
      <c r="D23" s="6" t="str">
        <f t="array" ref="D23">IF($A23&lt;&gt;"",SUM(IF('Verification data'!$D$2:$D$5000=$A23,IF(NOT(ISERR(SEARCH("Review",'Verification data'!$F$2:$F$5000,1))),IF('Verification data'!#REF! = 'Verification Summary'!B23, IF('Verification data'!$G$2:$G$5000="Internal",'Verification data'!#REF!,0),0),0),0)),"")</f>
        <v/>
      </c>
      <c r="E23" s="6" t="str">
        <f t="array" ref="E23">IF($A23&lt;&gt;"",SUM(IF('Verification data'!$D$2:$D$5000=$A23,IF(NOT(ISERR(SEARCH("Review",'Verification data'!$F$2:$F$5000,1))),IF('Verification data'!#REF! = 'Verification Summary'!B23, IF('Verification data'!$G$2:$G$5000="Internal",'Verification data'!$J$2:$J$5000,0),0),0),0)),"")</f>
        <v/>
      </c>
      <c r="F23" s="6" t="str">
        <f t="array" ref="F23">IF($A23&lt;&gt;"",SUM(IF('Verification data'!$D$2:$D$5000=$A23,IF(NOT(ISERR(SEARCH("Review",'Verification data'!$F$2:$F$5000,1))),IF('Verification data'!#REF! = 'Verification Summary'!B23, IF('Verification data'!$G$2:$G$5000="Internal",'Verification data'!$K$2:$K$5000,0),0),0),0)),"")</f>
        <v/>
      </c>
      <c r="G23" s="6" t="str">
        <f t="array" ref="G23">IF($A23&lt;&gt;"",SUM(IF('Verification data'!$D$2:$D$5000=$A23,IF(NOT(ISERR(SEARCH("Review",'Verification data'!$F$2:$F$5000,1))),IF('Verification data'!#REF! = 'Verification Summary'!B23, IF('Verification data'!$G$2:$G$5000="Internal",'Verification data'!$L$2:$L$5000,0),0),0),0)),"")</f>
        <v/>
      </c>
      <c r="H23" s="6" t="str">
        <f t="array" ref="H23">IF($A23&lt;&gt;"",SUM(IF('Verification data'!$D$2:$D$5000=$A23,IF(NOT(ISERR(SEARCH("Review",'Verification data'!$F$2:$F$5000,1))),IF('Verification data'!#REF! = 'Verification Summary'!B23, IF('Verification data'!$G$2:$G$5000="Internal",'Verification data'!$Q$2:$Q$5000,0),0),0),0)),"")</f>
        <v/>
      </c>
      <c r="I23" s="6" t="str">
        <f t="array" ref="I23">IF($A23&lt;&gt;"",SUM(IF('Verification data'!$D$2:$D$5000=$A23,IF('Verification data'!$F$2:$F$5000="Testing",IF('Verification data'!#REF! = 'Verification Summary'!$B23, IF('Verification data'!$G$2:$G$5000="Internal",'Verification data'!$I$2:$I$5000,0),0),0),0)),"")</f>
        <v/>
      </c>
      <c r="J23" s="6" t="str">
        <f t="array" ref="J23">IF($A23&lt;&gt;"",SUM(IF('Verification data'!$D$2:$D$5000=$A23,IF('Verification data'!$F$2:$F$5000="Testing",IF('Verification data'!#REF! = 'Verification Summary'!$B23, IF('Verification data'!$G$2:$G$5000="Internal",'Verification data'!#REF!,0),0),0),0)),"")</f>
        <v/>
      </c>
      <c r="K23" s="6" t="str">
        <f t="array" ref="K23">IF($A23&lt;&gt;"",SUM(IF('Verification data'!$D$2:$D$5000=$A23,IF('Verification data'!$F$2:$F$5000="Testing",IF('Verification data'!#REF! = 'Verification Summary'!$B23, IF('Verification data'!$G$2:$G$5000="Internal",'Verification data'!$J$2:$J$5000,0),0),0),0)),"")</f>
        <v/>
      </c>
      <c r="L23" s="6" t="str">
        <f t="array" ref="L23">IF($A23&lt;&gt;"",SUM(IF('Verification data'!$D$2:$D$5000=$A23,IF('Verification data'!$F$2:$F$5000="Testing",IF('Verification data'!#REF! = 'Verification Summary'!$B23, IF('Verification data'!$G$2:$G$5000="Internal",'Verification data'!$K$2:$K$5000,0),0),0),0)),"")</f>
        <v/>
      </c>
      <c r="M23" s="6" t="str">
        <f t="array" ref="M23">IF($A23&lt;&gt;"",SUM(IF('Verification data'!$D$2:$D$5000=$A23,IF('Verification data'!$F$2:$F$5000="Testing",IF('Verification data'!#REF! = 'Verification Summary'!$B23, IF('Verification data'!$G$2:$G$5000="Internal",'Verification data'!$L$2:$L$5000,0),0),0),0)),"")</f>
        <v/>
      </c>
      <c r="N23" s="26" t="str">
        <f t="array" ref="N23">IF($A23&lt;&gt;"",SUM(IF('Verification data'!$D$2:$D$5000=$A23,IF('Verification data'!$F$2:$F$5000="Testing",IF('Verification data'!#REF! = 'Verification Summary'!$B23, IF('Verification data'!$G$2:$G$5000="Internal",'Verification data'!$Q$2:$Q$5000,0),0),0),0)),"")</f>
        <v/>
      </c>
      <c r="P23" s="22" t="str">
        <f t="shared" si="0"/>
        <v/>
      </c>
      <c r="Q23" s="10" t="str">
        <f t="shared" si="1"/>
        <v/>
      </c>
      <c r="R23" s="10" t="str">
        <f t="shared" si="2"/>
        <v/>
      </c>
      <c r="S23" s="10" t="str">
        <f t="shared" si="3"/>
        <v/>
      </c>
    </row>
    <row r="24" spans="1:19" ht="13.5" thickBot="1" x14ac:dyDescent="0.25">
      <c r="A24" s="27" t="str">
        <f>IF('Control panel'!A18&lt;&gt;"",'Control panel'!A18,"")</f>
        <v/>
      </c>
      <c r="B24" s="24" t="str">
        <f>IF('Control panel'!B18&lt;&gt;"",'Control panel'!B18,"")</f>
        <v/>
      </c>
      <c r="C24" s="24" t="str">
        <f t="array" ref="C24">IF($A24&lt;&gt;"",SUM(IF('Verification data'!$D$2:$D$5000=$A24,IF(NOT(ISERR(SEARCH("Review",'Verification data'!$F$2:$F$5000,1))),IF('Verification data'!#REF! = 'Verification Summary'!B24, IF('Verification data'!$G$2:$G$5000="Internal",'Verification data'!$I$2:$I$5000,0),0),0),0)),"")</f>
        <v/>
      </c>
      <c r="D24" s="24" t="str">
        <f t="array" ref="D24">IF($A24&lt;&gt;"",SUM(IF('Verification data'!$D$2:$D$5000=$A24,IF(NOT(ISERR(SEARCH("Review",'Verification data'!$F$2:$F$5000,1))),IF('Verification data'!#REF! = 'Verification Summary'!B24, IF('Verification data'!$G$2:$G$5000="Internal",'Verification data'!#REF!,0),0),0),0)),"")</f>
        <v/>
      </c>
      <c r="E24" s="24" t="str">
        <f t="array" ref="E24">IF($A24&lt;&gt;"",SUM(IF('Verification data'!$D$2:$D$5000=$A24,IF(NOT(ISERR(SEARCH("Review",'Verification data'!$F$2:$F$5000,1))),IF('Verification data'!#REF! = 'Verification Summary'!B24, IF('Verification data'!$G$2:$G$5000="Internal",'Verification data'!$J$2:$J$5000,0),0),0),0)),"")</f>
        <v/>
      </c>
      <c r="F24" s="24" t="str">
        <f t="array" ref="F24">IF($A24&lt;&gt;"",SUM(IF('Verification data'!$D$2:$D$5000=$A24,IF(NOT(ISERR(SEARCH("Review",'Verification data'!$F$2:$F$5000,1))),IF('Verification data'!#REF! = 'Verification Summary'!B24, IF('Verification data'!$G$2:$G$5000="Internal",'Verification data'!$K$2:$K$5000,0),0),0),0)),"")</f>
        <v/>
      </c>
      <c r="G24" s="24" t="str">
        <f t="array" ref="G24">IF($A24&lt;&gt;"",SUM(IF('Verification data'!$D$2:$D$5000=$A24,IF(NOT(ISERR(SEARCH("Review",'Verification data'!$F$2:$F$5000,1))),IF('Verification data'!#REF! = 'Verification Summary'!B24, IF('Verification data'!$G$2:$G$5000="Internal",'Verification data'!$L$2:$L$5000,0),0),0),0)),"")</f>
        <v/>
      </c>
      <c r="H24" s="24" t="str">
        <f t="array" ref="H24">IF($A24&lt;&gt;"",SUM(IF('Verification data'!$D$2:$D$5000=$A24,IF(NOT(ISERR(SEARCH("Review",'Verification data'!$F$2:$F$5000,1))),IF('Verification data'!#REF! = 'Verification Summary'!B24, IF('Verification data'!$G$2:$G$5000="Internal",'Verification data'!$Q$2:$Q$5000,0),0),0),0)),"")</f>
        <v/>
      </c>
      <c r="I24" s="24" t="str">
        <f t="array" ref="I24">IF($A24&lt;&gt;"",SUM(IF('Verification data'!$D$2:$D$5000=$A24,IF('Verification data'!$F$2:$F$5000="Testing",IF('Verification data'!#REF! = 'Verification Summary'!$B24, IF('Verification data'!$G$2:$G$5000="Internal",'Verification data'!$I$2:$I$5000,0),0),0),0)),"")</f>
        <v/>
      </c>
      <c r="J24" s="24" t="str">
        <f t="array" ref="J24">IF($A24&lt;&gt;"",SUM(IF('Verification data'!$D$2:$D$5000=$A24,IF('Verification data'!$F$2:$F$5000="Testing",IF('Verification data'!#REF! = 'Verification Summary'!$B24, IF('Verification data'!$G$2:$G$5000="Internal",'Verification data'!#REF!,0),0),0),0)),"")</f>
        <v/>
      </c>
      <c r="K24" s="24" t="str">
        <f t="array" ref="K24">IF($A24&lt;&gt;"",SUM(IF('Verification data'!$D$2:$D$5000=$A24,IF('Verification data'!$F$2:$F$5000="Testing",IF('Verification data'!#REF! = 'Verification Summary'!$B24, IF('Verification data'!$G$2:$G$5000="Internal",'Verification data'!$J$2:$J$5000,0),0),0),0)),"")</f>
        <v/>
      </c>
      <c r="L24" s="24" t="str">
        <f t="array" ref="L24">IF($A24&lt;&gt;"",SUM(IF('Verification data'!$D$2:$D$5000=$A24,IF('Verification data'!$F$2:$F$5000="Testing",IF('Verification data'!#REF! = 'Verification Summary'!$B24, IF('Verification data'!$G$2:$G$5000="Internal",'Verification data'!$K$2:$K$5000,0),0),0),0)),"")</f>
        <v/>
      </c>
      <c r="M24" s="24" t="str">
        <f t="array" ref="M24">IF($A24&lt;&gt;"",SUM(IF('Verification data'!$D$2:$D$5000=$A24,IF('Verification data'!$F$2:$F$5000="Testing",IF('Verification data'!#REF! = 'Verification Summary'!$B24, IF('Verification data'!$G$2:$G$5000="Internal",'Verification data'!$L$2:$L$5000,0),0),0),0)),"")</f>
        <v/>
      </c>
      <c r="N24" s="30" t="str">
        <f t="array" ref="N24">IF($A24&lt;&gt;"",SUM(IF('Verification data'!$D$2:$D$5000=$A24,IF('Verification data'!$F$2:$F$5000="Testing",IF('Verification data'!#REF! = 'Verification Summary'!$B24, IF('Verification data'!$G$2:$G$5000="Internal",'Verification data'!$Q$2:$Q$5000,0),0),0),0)),"")</f>
        <v/>
      </c>
      <c r="P24" s="22" t="str">
        <f t="shared" si="0"/>
        <v/>
      </c>
      <c r="Q24" s="10" t="str">
        <f t="shared" si="1"/>
        <v/>
      </c>
      <c r="R24" s="10" t="str">
        <f t="shared" si="2"/>
        <v/>
      </c>
      <c r="S24" s="10" t="str">
        <f t="shared" si="3"/>
        <v/>
      </c>
    </row>
    <row r="25" spans="1:19" ht="13.5" thickBot="1" x14ac:dyDescent="0.25"/>
    <row r="26" spans="1:19" ht="24" customHeight="1" thickBot="1" x14ac:dyDescent="0.25">
      <c r="A26" s="576" t="s">
        <v>1261</v>
      </c>
      <c r="B26" s="577"/>
    </row>
    <row r="27" spans="1:19" ht="24.75" customHeight="1" thickBot="1" x14ac:dyDescent="0.25">
      <c r="A27" s="239"/>
      <c r="B27" s="240"/>
      <c r="C27" s="578" t="s">
        <v>1251</v>
      </c>
      <c r="D27" s="578"/>
      <c r="E27" s="578"/>
      <c r="F27" s="578"/>
      <c r="G27" s="578"/>
      <c r="H27" s="578"/>
      <c r="I27" s="578" t="s">
        <v>1140</v>
      </c>
      <c r="J27" s="578"/>
      <c r="K27" s="578"/>
      <c r="L27" s="578"/>
      <c r="M27" s="578"/>
      <c r="N27" s="579"/>
    </row>
    <row r="28" spans="1:19" ht="39" customHeight="1" x14ac:dyDescent="0.2">
      <c r="A28" s="230" t="s">
        <v>1233</v>
      </c>
      <c r="B28" s="231" t="s">
        <v>1252</v>
      </c>
      <c r="C28" s="231" t="s">
        <v>1253</v>
      </c>
      <c r="D28" s="231" t="s">
        <v>1254</v>
      </c>
      <c r="E28" s="231" t="s">
        <v>1238</v>
      </c>
      <c r="F28" s="231" t="s">
        <v>1239</v>
      </c>
      <c r="G28" s="231" t="s">
        <v>1240</v>
      </c>
      <c r="H28" s="231" t="s">
        <v>1255</v>
      </c>
      <c r="I28" s="231" t="s">
        <v>1256</v>
      </c>
      <c r="J28" s="231" t="s">
        <v>1254</v>
      </c>
      <c r="K28" s="231" t="s">
        <v>1238</v>
      </c>
      <c r="L28" s="231" t="s">
        <v>1239</v>
      </c>
      <c r="M28" s="231" t="s">
        <v>1240</v>
      </c>
      <c r="N28" s="232" t="s">
        <v>1255</v>
      </c>
    </row>
    <row r="29" spans="1:19" ht="25.5" x14ac:dyDescent="0.2">
      <c r="A29" s="25" t="str">
        <f>IF('Control panel'!A4&lt;&gt;"",'Control panel'!A4,"")</f>
        <v>Analysis and design</v>
      </c>
      <c r="B29" s="6" t="str">
        <f>IF('Control panel'!B4&lt;&gt;"",'Control panel'!B4,"")</f>
        <v>Hours</v>
      </c>
      <c r="C29" s="6">
        <f t="array" ref="C29">IF($A29&lt;&gt;"",SUM(IF('Verification data'!$D$2:$D$5000=$A29,IF(NOT(ISERR(SEARCH("Review",'Verification data'!$F$2:$F$5000,1))),IF('Verification data'!#REF! = 'Verification Summary'!B29, IF('Verification data'!$G$2:$G$5000="Customer",'Verification data'!$I$2:$I$5000,0),0),0),0)),"")</f>
        <v>0</v>
      </c>
      <c r="D29" s="6">
        <f t="array" ref="D29">IF($A29&lt;&gt;"",SUM(IF('Verification data'!$D$2:$D$5000=$A29,IF(NOT(ISERR(SEARCH("Review",'Verification data'!$F$2:$F$5000,1))),IF('Verification data'!#REF! = 'Verification Summary'!B29, IF('Verification data'!$G$2:$G$5000="Customer",'Verification data'!#REF!,0),0),0),0)),"")</f>
        <v>0</v>
      </c>
      <c r="E29" s="6">
        <f t="array" ref="E29">IF($A29&lt;&gt;"",SUM(IF('Verification data'!$D$2:$D$5000=$A29,IF(NOT(ISERR(SEARCH("Review",'Verification data'!$F$2:$F$5000,1))),IF('Verification data'!#REF! = 'Verification Summary'!B29, IF('Verification data'!$G$2:$G$5000="Customer",'Verification data'!$J$2:$J$5000,0),0),0),0)),"")</f>
        <v>0</v>
      </c>
      <c r="F29" s="6">
        <f t="array" ref="F29">IF($A29&lt;&gt;"",SUM(IF('Verification data'!$D$2:$D$5000=$A29,IF(NOT(ISERR(SEARCH("Review",'Verification data'!$F$2:$F$5000,1))),IF('Verification data'!#REF! = 'Verification Summary'!B29, IF('Verification data'!$G$2:$G$5000="Customer",'Verification data'!$K$2:$K$5000,0),0),0),0)),"")</f>
        <v>0</v>
      </c>
      <c r="G29" s="6">
        <f t="array" ref="G29">IF($A29&lt;&gt;"",SUM(IF('Verification data'!$D$2:$D$5000=$A29,IF(NOT(ISERR(SEARCH("Review",'Verification data'!$F$2:$F$5000,1))),IF('Verification data'!#REF! = 'Verification Summary'!B29, IF('Verification data'!$G$2:$G$5000="Customer",'Verification data'!$L$2:$L$5000,0),0),0),0)),"")</f>
        <v>0</v>
      </c>
      <c r="H29" s="6">
        <f t="array" ref="H29">IF($A29&lt;&gt;"",SUM(IF('Verification data'!$D$2:$D$5000=$A29,IF(NOT(ISERR(SEARCH("Review",'Verification data'!$F$2:$F$5000,1))),IF('Verification data'!#REF! = 'Verification Summary'!B29, IF('Verification data'!$G$2:$G$5000="Customer",'Verification data'!$Q$2:$Q$5000,0),0),0),0)),"")</f>
        <v>0</v>
      </c>
      <c r="I29" s="6">
        <f t="array" ref="I29">IF($A29&lt;&gt;"",SUM(IF('Verification data'!$D$2:$D$5000=$A29,IF('Verification data'!$F$2:$F$5000="Testing",IF('Verification data'!#REF! = 'Verification Summary'!$B29, IF('Verification data'!$G$2:$G$5000="Customer",'Verification data'!$I$2:$I$5000,0),0),0),0)),"")</f>
        <v>0</v>
      </c>
      <c r="J29" s="6">
        <f t="array" ref="J29">IF($A29&lt;&gt;"",SUM(IF('Verification data'!$D$2:$D$5000=$A29,IF('Verification data'!$F$2:$F$5000="Testing",IF('Verification data'!#REF! = 'Verification Summary'!$B29, IF('Verification data'!$G$2:$G$5000="Customer",'Verification data'!#REF!,0),0),0),0)),"")</f>
        <v>0</v>
      </c>
      <c r="K29" s="6">
        <f t="array" ref="K29">IF($A29&lt;&gt;"",SUM(IF('Verification data'!$D$2:$D$5000=$A29,IF('Verification data'!$F$2:$F$5000="Testing",IF('Verification data'!#REF! = 'Verification Summary'!$B29, IF('Verification data'!$G$2:$G$5000="Customer",'Verification data'!$J$2:$J$5000,0),0),0),0)),"")</f>
        <v>0</v>
      </c>
      <c r="L29" s="6">
        <f t="array" ref="L29">IF($A29&lt;&gt;"",SUM(IF('Verification data'!$D$2:$D$5000=$A29,IF('Verification data'!$F$2:$F$5000="Testing",IF('Verification data'!#REF! = 'Verification Summary'!$B29, IF('Verification data'!$G$2:$G$5000="Customer",'Verification data'!$K$2:$K$5000,0),0),0),0)),"")</f>
        <v>0</v>
      </c>
      <c r="M29" s="6">
        <f t="array" ref="M29">IF($A29&lt;&gt;"",SUM(IF('Verification data'!$D$2:$D$5000=$A29,IF('Verification data'!$F$2:$F$5000="Testing",IF('Verification data'!#REF! = 'Verification Summary'!$B29, IF('Verification data'!$G$2:$G$5000="Customer",'Verification data'!$L$2:$L$5000,0),0),0),0)),"")</f>
        <v>0</v>
      </c>
      <c r="N29" s="26">
        <f t="array" ref="N29">IF($A29&lt;&gt;"",SUM(IF('Verification data'!$D$2:$D$5000=$A29,IF('Verification data'!$F$2:$F$5000="Testing",IF('Verification data'!#REF! = 'Verification Summary'!$B29, IF('Verification data'!$G$2:$G$5000="Customer",'Verification data'!$Q$2:$Q$5000,0),0),0),0)),"")</f>
        <v>0</v>
      </c>
    </row>
    <row r="30" spans="1:19" ht="25.5" x14ac:dyDescent="0.2">
      <c r="A30" s="25" t="str">
        <f>IF('Control panel'!A5&lt;&gt;"",'Control panel'!A5,"")</f>
        <v>Coding and unit testing</v>
      </c>
      <c r="B30" s="6" t="str">
        <f>IF('Control panel'!B5&lt;&gt;"",'Control panel'!B5,"")</f>
        <v>Hours</v>
      </c>
      <c r="C30" s="6">
        <f t="array" ref="C30">IF($A30&lt;&gt;"",SUM(IF('Verification data'!$D$2:$D$5000=$A30,IF(NOT(ISERR(SEARCH("Review",'Verification data'!$F$2:$F$5000,1))),IF('Verification data'!#REF! = 'Verification Summary'!B30, IF('Verification data'!$G$2:$G$5000="Customer",'Verification data'!$I$2:$I$5000,0),0),0),0)),"")</f>
        <v>0</v>
      </c>
      <c r="D30" s="6">
        <f t="array" ref="D30">IF($A30&lt;&gt;"",SUM(IF('Verification data'!$D$2:$D$5000=$A30,IF(NOT(ISERR(SEARCH("Review",'Verification data'!$F$2:$F$5000,1))),IF('Verification data'!#REF! = 'Verification Summary'!B30, IF('Verification data'!$G$2:$G$5000="Customer",'Verification data'!#REF!,0),0),0),0)),"")</f>
        <v>0</v>
      </c>
      <c r="E30" s="6">
        <f t="array" ref="E30">IF($A30&lt;&gt;"",SUM(IF('Verification data'!$D$2:$D$5000=$A30,IF(NOT(ISERR(SEARCH("Review",'Verification data'!$F$2:$F$5000,1))),IF('Verification data'!#REF! = 'Verification Summary'!B30, IF('Verification data'!$G$2:$G$5000="Customer",'Verification data'!$J$2:$J$5000,0),0),0),0)),"")</f>
        <v>0</v>
      </c>
      <c r="F30" s="6">
        <f t="array" ref="F30">IF($A30&lt;&gt;"",SUM(IF('Verification data'!$D$2:$D$5000=$A30,IF(NOT(ISERR(SEARCH("Review",'Verification data'!$F$2:$F$5000,1))),IF('Verification data'!#REF! = 'Verification Summary'!B30, IF('Verification data'!$G$2:$G$5000="Customer",'Verification data'!$K$2:$K$5000,0),0),0),0)),"")</f>
        <v>0</v>
      </c>
      <c r="G30" s="6">
        <f t="array" ref="G30">IF($A30&lt;&gt;"",SUM(IF('Verification data'!$D$2:$D$5000=$A30,IF(NOT(ISERR(SEARCH("Review",'Verification data'!$F$2:$F$5000,1))),IF('Verification data'!#REF! = 'Verification Summary'!B30, IF('Verification data'!$G$2:$G$5000="Customer",'Verification data'!$L$2:$L$5000,0),0),0),0)),"")</f>
        <v>0</v>
      </c>
      <c r="H30" s="6">
        <f t="array" ref="H30">IF($A30&lt;&gt;"",SUM(IF('Verification data'!$D$2:$D$5000=$A30,IF(NOT(ISERR(SEARCH("Review",'Verification data'!$F$2:$F$5000,1))),IF('Verification data'!#REF! = 'Verification Summary'!B30, IF('Verification data'!$G$2:$G$5000="Customer",'Verification data'!$Q$2:$Q$5000,0),0),0),0)),"")</f>
        <v>0</v>
      </c>
      <c r="I30" s="6">
        <f t="array" ref="I30">IF($A30&lt;&gt;"",SUM(IF('Verification data'!$D$2:$D$5000=$A30,IF('Verification data'!$F$2:$F$5000="Testing",IF('Verification data'!#REF! = 'Verification Summary'!$B30, IF('Verification data'!$G$2:$G$5000="Customer",'Verification data'!$I$2:$I$5000,0),0),0),0)),"")</f>
        <v>0</v>
      </c>
      <c r="J30" s="6">
        <f t="array" ref="J30">IF($A30&lt;&gt;"",SUM(IF('Verification data'!$D$2:$D$5000=$A30,IF('Verification data'!$F$2:$F$5000="Testing",IF('Verification data'!#REF! = 'Verification Summary'!$B30, IF('Verification data'!$G$2:$G$5000="Customer",'Verification data'!#REF!,0),0),0),0)),"")</f>
        <v>0</v>
      </c>
      <c r="K30" s="6">
        <f t="array" ref="K30">IF($A30&lt;&gt;"",SUM(IF('Verification data'!$D$2:$D$5000=$A30,IF('Verification data'!$F$2:$F$5000="Testing",IF('Verification data'!#REF! = 'Verification Summary'!$B30, IF('Verification data'!$G$2:$G$5000="Customer",'Verification data'!$J$2:$J$5000,0),0),0),0)),"")</f>
        <v>0</v>
      </c>
      <c r="L30" s="6">
        <f t="array" ref="L30">IF($A30&lt;&gt;"",SUM(IF('Verification data'!$D$2:$D$5000=$A30,IF('Verification data'!$F$2:$F$5000="Testing",IF('Verification data'!#REF! = 'Verification Summary'!$B30, IF('Verification data'!$G$2:$G$5000="Customer",'Verification data'!$K$2:$K$5000,0),0),0),0)),"")</f>
        <v>0</v>
      </c>
      <c r="M30" s="6">
        <f t="array" ref="M30">IF($A30&lt;&gt;"",SUM(IF('Verification data'!$D$2:$D$5000=$A30,IF('Verification data'!$F$2:$F$5000="Testing",IF('Verification data'!#REF! = 'Verification Summary'!$B30, IF('Verification data'!$G$2:$G$5000="Customer",'Verification data'!$L$2:$L$5000,0),0),0),0)),"")</f>
        <v>0</v>
      </c>
      <c r="N30" s="26">
        <f t="array" ref="N30">IF($A30&lt;&gt;"",SUM(IF('Verification data'!$D$2:$D$5000=$A30,IF('Verification data'!$F$2:$F$5000="Testing",IF('Verification data'!#REF! = 'Verification Summary'!$B30, IF('Verification data'!$G$2:$G$5000="Customer",'Verification data'!$Q$2:$Q$5000,0),0),0),0)),"")</f>
        <v>0</v>
      </c>
    </row>
    <row r="31" spans="1:19" ht="25.5" x14ac:dyDescent="0.2">
      <c r="A31" s="25" t="str">
        <f>IF('Control panel'!A6&lt;&gt;"",'Control panel'!A6,"")</f>
        <v>System integration testing</v>
      </c>
      <c r="B31" s="6" t="str">
        <f>IF('Control panel'!B6&lt;&gt;"",'Control panel'!B6,"")</f>
        <v>Hours</v>
      </c>
      <c r="C31" s="6">
        <f t="array" ref="C31">IF($A31&lt;&gt;"",SUM(IF('Verification data'!$D$2:$D$5000=$A31,IF(NOT(ISERR(SEARCH("Review",'Verification data'!$F$2:$F$5000,1))),IF('Verification data'!#REF! = 'Verification Summary'!B31, IF('Verification data'!$G$2:$G$5000="Customer",'Verification data'!$I$2:$I$5000,0),0),0),0)),"")</f>
        <v>0</v>
      </c>
      <c r="D31" s="6">
        <f t="array" ref="D31">IF($A31&lt;&gt;"",SUM(IF('Verification data'!$D$2:$D$5000=$A31,IF(NOT(ISERR(SEARCH("Review",'Verification data'!$F$2:$F$5000,1))),IF('Verification data'!#REF! = 'Verification Summary'!B31, IF('Verification data'!$G$2:$G$5000="Customer",'Verification data'!#REF!,0),0),0),0)),"")</f>
        <v>0</v>
      </c>
      <c r="E31" s="6">
        <f t="array" ref="E31">IF($A31&lt;&gt;"",SUM(IF('Verification data'!$D$2:$D$5000=$A31,IF(NOT(ISERR(SEARCH("Review",'Verification data'!$F$2:$F$5000,1))),IF('Verification data'!#REF! = 'Verification Summary'!B31, IF('Verification data'!$G$2:$G$5000="Customer",'Verification data'!$J$2:$J$5000,0),0),0),0)),"")</f>
        <v>0</v>
      </c>
      <c r="F31" s="6">
        <f t="array" ref="F31">IF($A31&lt;&gt;"",SUM(IF('Verification data'!$D$2:$D$5000=$A31,IF(NOT(ISERR(SEARCH("Review",'Verification data'!$F$2:$F$5000,1))),IF('Verification data'!#REF! = 'Verification Summary'!B31, IF('Verification data'!$G$2:$G$5000="Customer",'Verification data'!$K$2:$K$5000,0),0),0),0)),"")</f>
        <v>0</v>
      </c>
      <c r="G31" s="6">
        <f t="array" ref="G31">IF($A31&lt;&gt;"",SUM(IF('Verification data'!$D$2:$D$5000=$A31,IF(NOT(ISERR(SEARCH("Review",'Verification data'!$F$2:$F$5000,1))),IF('Verification data'!#REF! = 'Verification Summary'!B31, IF('Verification data'!$G$2:$G$5000="Customer",'Verification data'!$L$2:$L$5000,0),0),0),0)),"")</f>
        <v>0</v>
      </c>
      <c r="H31" s="6">
        <f t="array" ref="H31">IF($A31&lt;&gt;"",SUM(IF('Verification data'!$D$2:$D$5000=$A31,IF(NOT(ISERR(SEARCH("Review",'Verification data'!$F$2:$F$5000,1))),IF('Verification data'!#REF! = 'Verification Summary'!B31, IF('Verification data'!$G$2:$G$5000="Customer",'Verification data'!$Q$2:$Q$5000,0),0),0),0)),"")</f>
        <v>0</v>
      </c>
      <c r="I31" s="6">
        <f t="array" ref="I31">IF($A31&lt;&gt;"",SUM(IF('Verification data'!$D$2:$D$5000=$A31,IF('Verification data'!$F$2:$F$5000="Testing",IF('Verification data'!#REF! = 'Verification Summary'!$B31, IF('Verification data'!$G$2:$G$5000="Customer",'Verification data'!$I$2:$I$5000,0),0),0),0)),"")</f>
        <v>0</v>
      </c>
      <c r="J31" s="6">
        <f t="array" ref="J31">IF($A31&lt;&gt;"",SUM(IF('Verification data'!$D$2:$D$5000=$A31,IF('Verification data'!$F$2:$F$5000="Testing",IF('Verification data'!#REF! = 'Verification Summary'!$B31, IF('Verification data'!$G$2:$G$5000="Customer",'Verification data'!#REF!,0),0),0),0)),"")</f>
        <v>0</v>
      </c>
      <c r="K31" s="6">
        <f t="array" ref="K31">IF($A31&lt;&gt;"",SUM(IF('Verification data'!$D$2:$D$5000=$A31,IF('Verification data'!$F$2:$F$5000="Testing",IF('Verification data'!#REF! = 'Verification Summary'!$B31, IF('Verification data'!$G$2:$G$5000="Customer",'Verification data'!$J$2:$J$5000,0),0),0),0)),"")</f>
        <v>0</v>
      </c>
      <c r="L31" s="6">
        <f t="array" ref="L31">IF($A31&lt;&gt;"",SUM(IF('Verification data'!$D$2:$D$5000=$A31,IF('Verification data'!$F$2:$F$5000="Testing",IF('Verification data'!#REF! = 'Verification Summary'!$B31, IF('Verification data'!$G$2:$G$5000="Customer",'Verification data'!$K$2:$K$5000,0),0),0),0)),"")</f>
        <v>0</v>
      </c>
      <c r="M31" s="6">
        <f t="array" ref="M31">IF($A31&lt;&gt;"",SUM(IF('Verification data'!$D$2:$D$5000=$A31,IF('Verification data'!$F$2:$F$5000="Testing",IF('Verification data'!#REF! = 'Verification Summary'!$B31, IF('Verification data'!$G$2:$G$5000="Customer",'Verification data'!$L$2:$L$5000,0),0),0),0)),"")</f>
        <v>0</v>
      </c>
      <c r="N31" s="26">
        <f t="array" ref="N31">IF($A31&lt;&gt;"",SUM(IF('Verification data'!$D$2:$D$5000=$A31,IF('Verification data'!$F$2:$F$5000="Testing",IF('Verification data'!#REF! = 'Verification Summary'!$B31, IF('Verification data'!$G$2:$G$5000="Customer",'Verification data'!$Q$2:$Q$5000,0),0),0),0)),"")</f>
        <v>0</v>
      </c>
    </row>
    <row r="32" spans="1:19" ht="25.5" x14ac:dyDescent="0.2">
      <c r="A32" s="25" t="str">
        <f>IF('Control panel'!A7&lt;&gt;"",'Control panel'!A7,"")</f>
        <v>User acceptance testing</v>
      </c>
      <c r="B32" s="6" t="str">
        <f>IF('Control panel'!B7&lt;&gt;"",'Control panel'!B7,"")</f>
        <v>Hours</v>
      </c>
      <c r="C32" s="6">
        <f t="array" ref="C32">IF($A32&lt;&gt;"",SUM(IF('Verification data'!$D$2:$D$5000=$A32,IF(NOT(ISERR(SEARCH("Review",'Verification data'!$F$2:$F$5000,1))),IF('Verification data'!#REF! = 'Verification Summary'!B32, IF('Verification data'!$G$2:$G$5000="Customer",'Verification data'!$I$2:$I$5000,0),0),0),0)),"")</f>
        <v>0</v>
      </c>
      <c r="D32" s="6">
        <f t="array" ref="D32">IF($A32&lt;&gt;"",SUM(IF('Verification data'!$D$2:$D$5000=$A32,IF(NOT(ISERR(SEARCH("Review",'Verification data'!$F$2:$F$5000,1))),IF('Verification data'!#REF! = 'Verification Summary'!B32, IF('Verification data'!$G$2:$G$5000="Customer",'Verification data'!#REF!,0),0),0),0)),"")</f>
        <v>0</v>
      </c>
      <c r="E32" s="6">
        <f t="array" ref="E32">IF($A32&lt;&gt;"",SUM(IF('Verification data'!$D$2:$D$5000=$A32,IF(NOT(ISERR(SEARCH("Review",'Verification data'!$F$2:$F$5000,1))),IF('Verification data'!#REF! = 'Verification Summary'!B32, IF('Verification data'!$G$2:$G$5000="Customer",'Verification data'!$J$2:$J$5000,0),0),0),0)),"")</f>
        <v>0</v>
      </c>
      <c r="F32" s="6">
        <f t="array" ref="F32">IF($A32&lt;&gt;"",SUM(IF('Verification data'!$D$2:$D$5000=$A32,IF(NOT(ISERR(SEARCH("Review",'Verification data'!$F$2:$F$5000,1))),IF('Verification data'!#REF! = 'Verification Summary'!B32, IF('Verification data'!$G$2:$G$5000="Customer",'Verification data'!$K$2:$K$5000,0),0),0),0)),"")</f>
        <v>0</v>
      </c>
      <c r="G32" s="6">
        <f t="array" ref="G32">IF($A32&lt;&gt;"",SUM(IF('Verification data'!$D$2:$D$5000=$A32,IF(NOT(ISERR(SEARCH("Review",'Verification data'!$F$2:$F$5000,1))),IF('Verification data'!#REF! = 'Verification Summary'!B32, IF('Verification data'!$G$2:$G$5000="Customer",'Verification data'!$L$2:$L$5000,0),0),0),0)),"")</f>
        <v>0</v>
      </c>
      <c r="H32" s="6">
        <f t="array" ref="H32">IF($A32&lt;&gt;"",SUM(IF('Verification data'!$D$2:$D$5000=$A32,IF(NOT(ISERR(SEARCH("Review",'Verification data'!$F$2:$F$5000,1))),IF('Verification data'!#REF! = 'Verification Summary'!B32, IF('Verification data'!$G$2:$G$5000="Customer",'Verification data'!$Q$2:$Q$5000,0),0),0),0)),"")</f>
        <v>0</v>
      </c>
      <c r="I32" s="6">
        <f t="array" ref="I32">IF($A32&lt;&gt;"",SUM(IF('Verification data'!$D$2:$D$5000=$A32,IF('Verification data'!$F$2:$F$5000="Testing",IF('Verification data'!#REF! = 'Verification Summary'!$B32, IF('Verification data'!$G$2:$G$5000="Customer",'Verification data'!$I$2:$I$5000,0),0),0),0)),"")</f>
        <v>0</v>
      </c>
      <c r="J32" s="6">
        <f t="array" ref="J32">IF($A32&lt;&gt;"",SUM(IF('Verification data'!$D$2:$D$5000=$A32,IF('Verification data'!$F$2:$F$5000="Testing",IF('Verification data'!#REF! = 'Verification Summary'!$B32, IF('Verification data'!$G$2:$G$5000="Customer",'Verification data'!#REF!,0),0),0),0)),"")</f>
        <v>0</v>
      </c>
      <c r="K32" s="6">
        <f t="array" ref="K32">IF($A32&lt;&gt;"",SUM(IF('Verification data'!$D$2:$D$5000=$A32,IF('Verification data'!$F$2:$F$5000="Testing",IF('Verification data'!#REF! = 'Verification Summary'!$B32, IF('Verification data'!$G$2:$G$5000="Customer",'Verification data'!$J$2:$J$5000,0),0),0),0)),"")</f>
        <v>0</v>
      </c>
      <c r="L32" s="6">
        <f t="array" ref="L32">IF($A32&lt;&gt;"",SUM(IF('Verification data'!$D$2:$D$5000=$A32,IF('Verification data'!$F$2:$F$5000="Testing",IF('Verification data'!#REF! = 'Verification Summary'!$B32, IF('Verification data'!$G$2:$G$5000="Customer",'Verification data'!$K$2:$K$5000,0),0),0),0)),"")</f>
        <v>0</v>
      </c>
      <c r="M32" s="6">
        <f t="array" ref="M32">IF($A32&lt;&gt;"",SUM(IF('Verification data'!$D$2:$D$5000=$A32,IF('Verification data'!$F$2:$F$5000="Testing",IF('Verification data'!#REF! = 'Verification Summary'!$B32, IF('Verification data'!$G$2:$G$5000="Customer",'Verification data'!$L$2:$L$5000,0),0),0),0)),"")</f>
        <v>0</v>
      </c>
      <c r="N32" s="26">
        <f t="array" ref="N32">IF($A32&lt;&gt;"",SUM(IF('Verification data'!$D$2:$D$5000=$A32,IF('Verification data'!$F$2:$F$5000="Testing",IF('Verification data'!#REF! = 'Verification Summary'!$B32, IF('Verification data'!$G$2:$G$5000="Customer",'Verification data'!$Q$2:$Q$5000,0),0),0),0)),"")</f>
        <v>0</v>
      </c>
    </row>
    <row r="33" spans="1:14" ht="25.5" x14ac:dyDescent="0.2">
      <c r="A33" s="25" t="str">
        <f>IF('Control panel'!A8&lt;&gt;"",'Control panel'!A8,"")</f>
        <v>Production Deployment</v>
      </c>
      <c r="B33" s="6" t="str">
        <f>IF('Control panel'!B8&lt;&gt;"",'Control panel'!B8,"")</f>
        <v>Hours</v>
      </c>
      <c r="C33" s="6">
        <f t="array" ref="C33">IF($A33&lt;&gt;"",SUM(IF('Verification data'!$D$2:$D$5000=$A33,IF(NOT(ISERR(SEARCH("Review",'Verification data'!$F$2:$F$5000,1))),IF('Verification data'!#REF! = 'Verification Summary'!B33, IF('Verification data'!$G$2:$G$5000="Customer",'Verification data'!$I$2:$I$5000,0),0),0),0)),"")</f>
        <v>0</v>
      </c>
      <c r="D33" s="6">
        <f t="array" ref="D33">IF($A33&lt;&gt;"",SUM(IF('Verification data'!$D$2:$D$5000=$A33,IF(NOT(ISERR(SEARCH("Review",'Verification data'!$F$2:$F$5000,1))),IF('Verification data'!#REF! = 'Verification Summary'!B33, IF('Verification data'!$G$2:$G$5000="Customer",'Verification data'!#REF!,0),0),0),0)),"")</f>
        <v>0</v>
      </c>
      <c r="E33" s="6">
        <f t="array" ref="E33">IF($A33&lt;&gt;"",SUM(IF('Verification data'!$D$2:$D$5000=$A33,IF(NOT(ISERR(SEARCH("Review",'Verification data'!$F$2:$F$5000,1))),IF('Verification data'!#REF! = 'Verification Summary'!B33, IF('Verification data'!$G$2:$G$5000="Customer",'Verification data'!$J$2:$J$5000,0),0),0),0)),"")</f>
        <v>0</v>
      </c>
      <c r="F33" s="6">
        <f t="array" ref="F33">IF($A33&lt;&gt;"",SUM(IF('Verification data'!$D$2:$D$5000=$A33,IF(NOT(ISERR(SEARCH("Review",'Verification data'!$F$2:$F$5000,1))),IF('Verification data'!#REF! = 'Verification Summary'!B33, IF('Verification data'!$G$2:$G$5000="Customer",'Verification data'!$K$2:$K$5000,0),0),0),0)),"")</f>
        <v>0</v>
      </c>
      <c r="G33" s="6">
        <f t="array" ref="G33">IF($A33&lt;&gt;"",SUM(IF('Verification data'!$D$2:$D$5000=$A33,IF(NOT(ISERR(SEARCH("Review",'Verification data'!$F$2:$F$5000,1))),IF('Verification data'!#REF! = 'Verification Summary'!B33, IF('Verification data'!$G$2:$G$5000="Customer",'Verification data'!$L$2:$L$5000,0),0),0),0)),"")</f>
        <v>0</v>
      </c>
      <c r="H33" s="6">
        <f t="array" ref="H33">IF($A33&lt;&gt;"",SUM(IF('Verification data'!$D$2:$D$5000=$A33,IF(NOT(ISERR(SEARCH("Review",'Verification data'!$F$2:$F$5000,1))),IF('Verification data'!#REF! = 'Verification Summary'!B33, IF('Verification data'!$G$2:$G$5000="Customer",'Verification data'!$Q$2:$Q$5000,0),0),0),0)),"")</f>
        <v>0</v>
      </c>
      <c r="I33" s="6">
        <f t="array" ref="I33">IF($A33&lt;&gt;"",SUM(IF('Verification data'!$D$2:$D$5000=$A33,IF('Verification data'!$F$2:$F$5000="Testing",IF('Verification data'!#REF! = 'Verification Summary'!$B33, IF('Verification data'!$G$2:$G$5000="Customer",'Verification data'!$I$2:$I$5000,0),0),0),0)),"")</f>
        <v>0</v>
      </c>
      <c r="J33" s="6">
        <f t="array" ref="J33">IF($A33&lt;&gt;"",SUM(IF('Verification data'!$D$2:$D$5000=$A33,IF('Verification data'!$F$2:$F$5000="Testing",IF('Verification data'!#REF! = 'Verification Summary'!$B33, IF('Verification data'!$G$2:$G$5000="Customer",'Verification data'!#REF!,0),0),0),0)),"")</f>
        <v>0</v>
      </c>
      <c r="K33" s="6">
        <f t="array" ref="K33">IF($A33&lt;&gt;"",SUM(IF('Verification data'!$D$2:$D$5000=$A33,IF('Verification data'!$F$2:$F$5000="Testing",IF('Verification data'!#REF! = 'Verification Summary'!$B33, IF('Verification data'!$G$2:$G$5000="Customer",'Verification data'!$J$2:$J$5000,0),0),0),0)),"")</f>
        <v>0</v>
      </c>
      <c r="L33" s="6">
        <f t="array" ref="L33">IF($A33&lt;&gt;"",SUM(IF('Verification data'!$D$2:$D$5000=$A33,IF('Verification data'!$F$2:$F$5000="Testing",IF('Verification data'!#REF! = 'Verification Summary'!$B33, IF('Verification data'!$G$2:$G$5000="Customer",'Verification data'!$K$2:$K$5000,0),0),0),0)),"")</f>
        <v>0</v>
      </c>
      <c r="M33" s="6">
        <f t="array" ref="M33">IF($A33&lt;&gt;"",SUM(IF('Verification data'!$D$2:$D$5000=$A33,IF('Verification data'!$F$2:$F$5000="Testing",IF('Verification data'!#REF! = 'Verification Summary'!$B33, IF('Verification data'!$G$2:$G$5000="Customer",'Verification data'!$L$2:$L$5000,0),0),0),0)),"")</f>
        <v>0</v>
      </c>
      <c r="N33" s="26">
        <f t="array" ref="N33">IF($A33&lt;&gt;"",SUM(IF('Verification data'!$D$2:$D$5000=$A33,IF('Verification data'!$F$2:$F$5000="Testing",IF('Verification data'!#REF! = 'Verification Summary'!$B33, IF('Verification data'!$G$2:$G$5000="Customer",'Verification data'!$Q$2:$Q$5000,0),0),0),0)),"")</f>
        <v>0</v>
      </c>
    </row>
    <row r="34" spans="1:14" ht="25.5" x14ac:dyDescent="0.2">
      <c r="A34" s="25" t="str">
        <f>IF('Control panel'!A9&lt;&gt;"",'Control panel'!A9,"")</f>
        <v xml:space="preserve">Post production support </v>
      </c>
      <c r="B34" s="6" t="str">
        <f>IF('Control panel'!B9&lt;&gt;"",'Control panel'!B9,"")</f>
        <v>Hours</v>
      </c>
      <c r="C34" s="6">
        <f t="array" ref="C34">IF($A34&lt;&gt;"",SUM(IF('Verification data'!$D$2:$D$5000=$A34,IF(NOT(ISERR(SEARCH("Review",'Verification data'!$F$2:$F$5000,1))),IF('Verification data'!#REF! = 'Verification Summary'!B34, IF('Verification data'!$G$2:$G$5000="Customer",'Verification data'!$I$2:$I$5000,0),0),0),0)),"")</f>
        <v>0</v>
      </c>
      <c r="D34" s="6">
        <f t="array" ref="D34">IF($A34&lt;&gt;"",SUM(IF('Verification data'!$D$2:$D$5000=$A34,IF(NOT(ISERR(SEARCH("Review",'Verification data'!$F$2:$F$5000,1))),IF('Verification data'!#REF! = 'Verification Summary'!B34, IF('Verification data'!$G$2:$G$5000="Customer",'Verification data'!#REF!,0),0),0),0)),"")</f>
        <v>0</v>
      </c>
      <c r="E34" s="6">
        <f t="array" ref="E34">IF($A34&lt;&gt;"",SUM(IF('Verification data'!$D$2:$D$5000=$A34,IF(NOT(ISERR(SEARCH("Review",'Verification data'!$F$2:$F$5000,1))),IF('Verification data'!#REF! = 'Verification Summary'!B34, IF('Verification data'!$G$2:$G$5000="Customer",'Verification data'!$J$2:$J$5000,0),0),0),0)),"")</f>
        <v>0</v>
      </c>
      <c r="F34" s="6">
        <f t="array" ref="F34">IF($A34&lt;&gt;"",SUM(IF('Verification data'!$D$2:$D$5000=$A34,IF(NOT(ISERR(SEARCH("Review",'Verification data'!$F$2:$F$5000,1))),IF('Verification data'!#REF! = 'Verification Summary'!B34, IF('Verification data'!$G$2:$G$5000="Customer",'Verification data'!$K$2:$K$5000,0),0),0),0)),"")</f>
        <v>0</v>
      </c>
      <c r="G34" s="6">
        <f t="array" ref="G34">IF($A34&lt;&gt;"",SUM(IF('Verification data'!$D$2:$D$5000=$A34,IF(NOT(ISERR(SEARCH("Review",'Verification data'!$F$2:$F$5000,1))),IF('Verification data'!#REF! = 'Verification Summary'!B34, IF('Verification data'!$G$2:$G$5000="Customer",'Verification data'!$L$2:$L$5000,0),0),0),0)),"")</f>
        <v>0</v>
      </c>
      <c r="H34" s="6">
        <f t="array" ref="H34">IF($A34&lt;&gt;"",SUM(IF('Verification data'!$D$2:$D$5000=$A34,IF(NOT(ISERR(SEARCH("Review",'Verification data'!$F$2:$F$5000,1))),IF('Verification data'!#REF! = 'Verification Summary'!B34, IF('Verification data'!$G$2:$G$5000="Customer",'Verification data'!$Q$2:$Q$5000,0),0),0),0)),"")</f>
        <v>0</v>
      </c>
      <c r="I34" s="6">
        <f t="array" ref="I34">IF($A34&lt;&gt;"",SUM(IF('Verification data'!$D$2:$D$5000=$A34,IF('Verification data'!$F$2:$F$5000="Testing",IF('Verification data'!#REF! = 'Verification Summary'!$B34, IF('Verification data'!$G$2:$G$5000="Customer",'Verification data'!$I$2:$I$5000,0),0),0),0)),"")</f>
        <v>0</v>
      </c>
      <c r="J34" s="6">
        <f t="array" ref="J34">IF($A34&lt;&gt;"",SUM(IF('Verification data'!$D$2:$D$5000=$A34,IF('Verification data'!$F$2:$F$5000="Testing",IF('Verification data'!#REF! = 'Verification Summary'!$B34, IF('Verification data'!$G$2:$G$5000="Customer",'Verification data'!#REF!,0),0),0),0)),"")</f>
        <v>0</v>
      </c>
      <c r="K34" s="6">
        <f t="array" ref="K34">IF($A34&lt;&gt;"",SUM(IF('Verification data'!$D$2:$D$5000=$A34,IF('Verification data'!$F$2:$F$5000="Testing",IF('Verification data'!#REF! = 'Verification Summary'!$B34, IF('Verification data'!$G$2:$G$5000="Customer",'Verification data'!$J$2:$J$5000,0),0),0),0)),"")</f>
        <v>0</v>
      </c>
      <c r="L34" s="6">
        <f t="array" ref="L34">IF($A34&lt;&gt;"",SUM(IF('Verification data'!$D$2:$D$5000=$A34,IF('Verification data'!$F$2:$F$5000="Testing",IF('Verification data'!#REF! = 'Verification Summary'!$B34, IF('Verification data'!$G$2:$G$5000="Customer",'Verification data'!$K$2:$K$5000,0),0),0),0)),"")</f>
        <v>0</v>
      </c>
      <c r="M34" s="6">
        <f t="array" ref="M34">IF($A34&lt;&gt;"",SUM(IF('Verification data'!$D$2:$D$5000=$A34,IF('Verification data'!$F$2:$F$5000="Testing",IF('Verification data'!#REF! = 'Verification Summary'!$B34, IF('Verification data'!$G$2:$G$5000="Customer",'Verification data'!$L$2:$L$5000,0),0),0),0)),"")</f>
        <v>0</v>
      </c>
      <c r="N34" s="26">
        <f t="array" ref="N34">IF($A34&lt;&gt;"",SUM(IF('Verification data'!$D$2:$D$5000=$A34,IF('Verification data'!$F$2:$F$5000="Testing",IF('Verification data'!#REF! = 'Verification Summary'!$B34, IF('Verification data'!$G$2:$G$5000="Customer",'Verification data'!$Q$2:$Q$5000,0),0),0),0)),"")</f>
        <v>0</v>
      </c>
    </row>
    <row r="35" spans="1:14" x14ac:dyDescent="0.2">
      <c r="A35" s="25" t="str">
        <f>IF('Control panel'!A10&lt;&gt;"",'Control panel'!A10,"")</f>
        <v/>
      </c>
      <c r="B35" s="6" t="str">
        <f>IF('Control panel'!B10&lt;&gt;"",'Control panel'!B10,"")</f>
        <v/>
      </c>
      <c r="C35" s="6" t="str">
        <f t="array" ref="C35">IF($A35&lt;&gt;"",SUM(IF('Verification data'!$D$2:$D$5000=$A35,IF(NOT(ISERR(SEARCH("Review",'Verification data'!$F$2:$F$5000,1))),IF('Verification data'!#REF! = 'Verification Summary'!B35, IF('Verification data'!$G$2:$G$5000="Customer",'Verification data'!$I$2:$I$5000,0),0),0),0)),"")</f>
        <v/>
      </c>
      <c r="D35" s="6" t="str">
        <f t="array" ref="D35">IF($A35&lt;&gt;"",SUM(IF('Verification data'!$D$2:$D$5000=$A35,IF(NOT(ISERR(SEARCH("Review",'Verification data'!$F$2:$F$5000,1))),IF('Verification data'!#REF! = 'Verification Summary'!B35, IF('Verification data'!$G$2:$G$5000="Customer",'Verification data'!#REF!,0),0),0),0)),"")</f>
        <v/>
      </c>
      <c r="E35" s="6" t="str">
        <f t="array" ref="E35">IF($A35&lt;&gt;"",SUM(IF('Verification data'!$D$2:$D$5000=$A35,IF(NOT(ISERR(SEARCH("Review",'Verification data'!$F$2:$F$5000,1))),IF('Verification data'!#REF! = 'Verification Summary'!B35, IF('Verification data'!$G$2:$G$5000="Customer",'Verification data'!$J$2:$J$5000,0),0),0),0)),"")</f>
        <v/>
      </c>
      <c r="F35" s="6" t="str">
        <f t="array" ref="F35">IF($A35&lt;&gt;"",SUM(IF('Verification data'!$D$2:$D$5000=$A35,IF(NOT(ISERR(SEARCH("Review",'Verification data'!$F$2:$F$5000,1))),IF('Verification data'!#REF! = 'Verification Summary'!B35, IF('Verification data'!$G$2:$G$5000="Customer",'Verification data'!$K$2:$K$5000,0),0),0),0)),"")</f>
        <v/>
      </c>
      <c r="G35" s="6" t="str">
        <f t="array" ref="G35">IF($A35&lt;&gt;"",SUM(IF('Verification data'!$D$2:$D$5000=$A35,IF(NOT(ISERR(SEARCH("Review",'Verification data'!$F$2:$F$5000,1))),IF('Verification data'!#REF! = 'Verification Summary'!B35, IF('Verification data'!$G$2:$G$5000="Customer",'Verification data'!$L$2:$L$5000,0),0),0),0)),"")</f>
        <v/>
      </c>
      <c r="H35" s="6" t="str">
        <f t="array" ref="H35">IF($A35&lt;&gt;"",SUM(IF('Verification data'!$D$2:$D$5000=$A35,IF(NOT(ISERR(SEARCH("Review",'Verification data'!$F$2:$F$5000,1))),IF('Verification data'!#REF! = 'Verification Summary'!B35, IF('Verification data'!$G$2:$G$5000="Customer",'Verification data'!$Q$2:$Q$5000,0),0),0),0)),"")</f>
        <v/>
      </c>
      <c r="I35" s="6" t="str">
        <f t="array" ref="I35">IF($A35&lt;&gt;"",SUM(IF('Verification data'!$D$2:$D$5000=$A35,IF('Verification data'!$F$2:$F$5000="Testing",IF('Verification data'!#REF! = 'Verification Summary'!$B35, IF('Verification data'!$G$2:$G$5000="Customer",'Verification data'!$I$2:$I$5000,0),0),0),0)),"")</f>
        <v/>
      </c>
      <c r="J35" s="6" t="str">
        <f t="array" ref="J35">IF($A35&lt;&gt;"",SUM(IF('Verification data'!$D$2:$D$5000=$A35,IF('Verification data'!$F$2:$F$5000="Testing",IF('Verification data'!#REF! = 'Verification Summary'!$B35, IF('Verification data'!$G$2:$G$5000="Customer",'Verification data'!#REF!,0),0),0),0)),"")</f>
        <v/>
      </c>
      <c r="K35" s="6" t="str">
        <f t="array" ref="K35">IF($A35&lt;&gt;"",SUM(IF('Verification data'!$D$2:$D$5000=$A35,IF('Verification data'!$F$2:$F$5000="Testing",IF('Verification data'!#REF! = 'Verification Summary'!$B35, IF('Verification data'!$G$2:$G$5000="Customer",'Verification data'!$J$2:$J$5000,0),0),0),0)),"")</f>
        <v/>
      </c>
      <c r="L35" s="6" t="str">
        <f t="array" ref="L35">IF($A35&lt;&gt;"",SUM(IF('Verification data'!$D$2:$D$5000=$A35,IF('Verification data'!$F$2:$F$5000="Testing",IF('Verification data'!#REF! = 'Verification Summary'!$B35, IF('Verification data'!$G$2:$G$5000="Customer",'Verification data'!$K$2:$K$5000,0),0),0),0)),"")</f>
        <v/>
      </c>
      <c r="M35" s="6" t="str">
        <f t="array" ref="M35">IF($A35&lt;&gt;"",SUM(IF('Verification data'!$D$2:$D$5000=$A35,IF('Verification data'!$F$2:$F$5000="Testing",IF('Verification data'!#REF! = 'Verification Summary'!$B35, IF('Verification data'!$G$2:$G$5000="Customer",'Verification data'!$L$2:$L$5000,0),0),0),0)),"")</f>
        <v/>
      </c>
      <c r="N35" s="26" t="str">
        <f t="array" ref="N35">IF($A35&lt;&gt;"",SUM(IF('Verification data'!$D$2:$D$5000=$A35,IF('Verification data'!$F$2:$F$5000="Testing",IF('Verification data'!#REF! = 'Verification Summary'!$B35, IF('Verification data'!$G$2:$G$5000="Customer",'Verification data'!$Q$2:$Q$5000,0),0),0),0)),"")</f>
        <v/>
      </c>
    </row>
    <row r="36" spans="1:14" x14ac:dyDescent="0.2">
      <c r="A36" s="25" t="str">
        <f>IF('Control panel'!A11&lt;&gt;"",'Control panel'!A11,"")</f>
        <v/>
      </c>
      <c r="B36" s="6" t="str">
        <f>IF('Control panel'!B11&lt;&gt;"",'Control panel'!B11,"")</f>
        <v/>
      </c>
      <c r="C36" s="6" t="str">
        <f t="array" ref="C36">IF($A36&lt;&gt;"",SUM(IF('Verification data'!$D$2:$D$5000=$A36,IF(NOT(ISERR(SEARCH("Review",'Verification data'!$F$2:$F$5000,1))),IF('Verification data'!#REF! = 'Verification Summary'!B36, IF('Verification data'!$G$2:$G$5000="Customer",'Verification data'!$I$2:$I$5000,0),0),0),0)),"")</f>
        <v/>
      </c>
      <c r="D36" s="6" t="str">
        <f t="array" ref="D36">IF($A36&lt;&gt;"",SUM(IF('Verification data'!$D$2:$D$5000=$A36,IF(NOT(ISERR(SEARCH("Review",'Verification data'!$F$2:$F$5000,1))),IF('Verification data'!#REF! = 'Verification Summary'!B36, IF('Verification data'!$G$2:$G$5000="Customer",'Verification data'!#REF!,0),0),0),0)),"")</f>
        <v/>
      </c>
      <c r="E36" s="6" t="str">
        <f t="array" ref="E36">IF($A36&lt;&gt;"",SUM(IF('Verification data'!$D$2:$D$5000=$A36,IF(NOT(ISERR(SEARCH("Review",'Verification data'!$F$2:$F$5000,1))),IF('Verification data'!#REF! = 'Verification Summary'!B36, IF('Verification data'!$G$2:$G$5000="Customer",'Verification data'!$J$2:$J$5000,0),0),0),0)),"")</f>
        <v/>
      </c>
      <c r="F36" s="6" t="str">
        <f t="array" ref="F36">IF($A36&lt;&gt;"",SUM(IF('Verification data'!$D$2:$D$5000=$A36,IF(NOT(ISERR(SEARCH("Review",'Verification data'!$F$2:$F$5000,1))),IF('Verification data'!#REF! = 'Verification Summary'!B36, IF('Verification data'!$G$2:$G$5000="Customer",'Verification data'!$K$2:$K$5000,0),0),0),0)),"")</f>
        <v/>
      </c>
      <c r="G36" s="6" t="str">
        <f t="array" ref="G36">IF($A36&lt;&gt;"",SUM(IF('Verification data'!$D$2:$D$5000=$A36,IF(NOT(ISERR(SEARCH("Review",'Verification data'!$F$2:$F$5000,1))),IF('Verification data'!#REF! = 'Verification Summary'!B36, IF('Verification data'!$G$2:$G$5000="Customer",'Verification data'!$L$2:$L$5000,0),0),0),0)),"")</f>
        <v/>
      </c>
      <c r="H36" s="6" t="str">
        <f t="array" ref="H36">IF($A36&lt;&gt;"",SUM(IF('Verification data'!$D$2:$D$5000=$A36,IF(NOT(ISERR(SEARCH("Review",'Verification data'!$F$2:$F$5000,1))),IF('Verification data'!#REF! = 'Verification Summary'!B36, IF('Verification data'!$G$2:$G$5000="Customer",'Verification data'!$Q$2:$Q$5000,0),0),0),0)),"")</f>
        <v/>
      </c>
      <c r="I36" s="6" t="str">
        <f t="array" ref="I36">IF($A36&lt;&gt;"",SUM(IF('Verification data'!$D$2:$D$5000=$A36,IF('Verification data'!$F$2:$F$5000="Testing",IF('Verification data'!#REF! = 'Verification Summary'!$B36, IF('Verification data'!$G$2:$G$5000="Customer",'Verification data'!$I$2:$I$5000,0),0),0),0)),"")</f>
        <v/>
      </c>
      <c r="J36" s="6" t="str">
        <f t="array" ref="J36">IF($A36&lt;&gt;"",SUM(IF('Verification data'!$D$2:$D$5000=$A36,IF('Verification data'!$F$2:$F$5000="Testing",IF('Verification data'!#REF! = 'Verification Summary'!$B36, IF('Verification data'!$G$2:$G$5000="Customer",'Verification data'!#REF!,0),0),0),0)),"")</f>
        <v/>
      </c>
      <c r="K36" s="6" t="str">
        <f t="array" ref="K36">IF($A36&lt;&gt;"",SUM(IF('Verification data'!$D$2:$D$5000=$A36,IF('Verification data'!$F$2:$F$5000="Testing",IF('Verification data'!#REF! = 'Verification Summary'!$B36, IF('Verification data'!$G$2:$G$5000="Customer",'Verification data'!$J$2:$J$5000,0),0),0),0)),"")</f>
        <v/>
      </c>
      <c r="L36" s="6" t="str">
        <f t="array" ref="L36">IF($A36&lt;&gt;"",SUM(IF('Verification data'!$D$2:$D$5000=$A36,IF('Verification data'!$F$2:$F$5000="Testing",IF('Verification data'!#REF! = 'Verification Summary'!$B36, IF('Verification data'!$G$2:$G$5000="Customer",'Verification data'!$K$2:$K$5000,0),0),0),0)),"")</f>
        <v/>
      </c>
      <c r="M36" s="6" t="str">
        <f t="array" ref="M36">IF($A36&lt;&gt;"",SUM(IF('Verification data'!$D$2:$D$5000=$A36,IF('Verification data'!$F$2:$F$5000="Testing",IF('Verification data'!#REF! = 'Verification Summary'!$B36, IF('Verification data'!$G$2:$G$5000="Customer",'Verification data'!$L$2:$L$5000,0),0),0),0)),"")</f>
        <v/>
      </c>
      <c r="N36" s="26" t="str">
        <f t="array" ref="N36">IF($A36&lt;&gt;"",SUM(IF('Verification data'!$D$2:$D$5000=$A36,IF('Verification data'!$F$2:$F$5000="Testing",IF('Verification data'!#REF! = 'Verification Summary'!$B36, IF('Verification data'!$G$2:$G$5000="Customer",'Verification data'!$Q$2:$Q$5000,0),0),0),0)),"")</f>
        <v/>
      </c>
    </row>
    <row r="37" spans="1:14" x14ac:dyDescent="0.2">
      <c r="A37" s="25" t="str">
        <f>IF('Control panel'!A12&lt;&gt;"",'Control panel'!A12,"")</f>
        <v/>
      </c>
      <c r="B37" s="6" t="str">
        <f>IF('Control panel'!B12&lt;&gt;"",'Control panel'!B12,"")</f>
        <v/>
      </c>
      <c r="C37" s="6" t="str">
        <f t="array" ref="C37">IF($A37&lt;&gt;"",SUM(IF('Verification data'!$D$2:$D$5000=$A37,IF(NOT(ISERR(SEARCH("Review",'Verification data'!$F$2:$F$5000,1))),IF('Verification data'!#REF! = 'Verification Summary'!B37, IF('Verification data'!$G$2:$G$5000="Customer",'Verification data'!$I$2:$I$5000,0),0),0),0)),"")</f>
        <v/>
      </c>
      <c r="D37" s="6" t="str">
        <f t="array" ref="D37">IF($A37&lt;&gt;"",SUM(IF('Verification data'!$D$2:$D$5000=$A37,IF(NOT(ISERR(SEARCH("Review",'Verification data'!$F$2:$F$5000,1))),IF('Verification data'!#REF! = 'Verification Summary'!B37, IF('Verification data'!$G$2:$G$5000="Customer",'Verification data'!#REF!,0),0),0),0)),"")</f>
        <v/>
      </c>
      <c r="E37" s="6" t="str">
        <f t="array" ref="E37">IF($A37&lt;&gt;"",SUM(IF('Verification data'!$D$2:$D$5000=$A37,IF(NOT(ISERR(SEARCH("Review",'Verification data'!$F$2:$F$5000,1))),IF('Verification data'!#REF! = 'Verification Summary'!B37, IF('Verification data'!$G$2:$G$5000="Customer",'Verification data'!$J$2:$J$5000,0),0),0),0)),"")</f>
        <v/>
      </c>
      <c r="F37" s="6" t="str">
        <f t="array" ref="F37">IF($A37&lt;&gt;"",SUM(IF('Verification data'!$D$2:$D$5000=$A37,IF(NOT(ISERR(SEARCH("Review",'Verification data'!$F$2:$F$5000,1))),IF('Verification data'!#REF! = 'Verification Summary'!B37, IF('Verification data'!$G$2:$G$5000="Customer",'Verification data'!$K$2:$K$5000,0),0),0),0)),"")</f>
        <v/>
      </c>
      <c r="G37" s="6" t="str">
        <f t="array" ref="G37">IF($A37&lt;&gt;"",SUM(IF('Verification data'!$D$2:$D$5000=$A37,IF(NOT(ISERR(SEARCH("Review",'Verification data'!$F$2:$F$5000,1))),IF('Verification data'!#REF! = 'Verification Summary'!B37, IF('Verification data'!$G$2:$G$5000="Customer",'Verification data'!$L$2:$L$5000,0),0),0),0)),"")</f>
        <v/>
      </c>
      <c r="H37" s="6" t="str">
        <f t="array" ref="H37">IF($A37&lt;&gt;"",SUM(IF('Verification data'!$D$2:$D$5000=$A37,IF(NOT(ISERR(SEARCH("Review",'Verification data'!$F$2:$F$5000,1))),IF('Verification data'!#REF! = 'Verification Summary'!B37, IF('Verification data'!$G$2:$G$5000="Customer",'Verification data'!$Q$2:$Q$5000,0),0),0),0)),"")</f>
        <v/>
      </c>
      <c r="I37" s="6" t="str">
        <f t="array" ref="I37">IF($A37&lt;&gt;"",SUM(IF('Verification data'!$D$2:$D$5000=$A37,IF('Verification data'!$F$2:$F$5000="Testing",IF('Verification data'!#REF! = 'Verification Summary'!$B37, IF('Verification data'!$G$2:$G$5000="Customer",'Verification data'!$I$2:$I$5000,0),0),0),0)),"")</f>
        <v/>
      </c>
      <c r="J37" s="6" t="str">
        <f t="array" ref="J37">IF($A37&lt;&gt;"",SUM(IF('Verification data'!$D$2:$D$5000=$A37,IF('Verification data'!$F$2:$F$5000="Testing",IF('Verification data'!#REF! = 'Verification Summary'!$B37, IF('Verification data'!$G$2:$G$5000="Customer",'Verification data'!#REF!,0),0),0),0)),"")</f>
        <v/>
      </c>
      <c r="K37" s="6" t="str">
        <f t="array" ref="K37">IF($A37&lt;&gt;"",SUM(IF('Verification data'!$D$2:$D$5000=$A37,IF('Verification data'!$F$2:$F$5000="Testing",IF('Verification data'!#REF! = 'Verification Summary'!$B37, IF('Verification data'!$G$2:$G$5000="Customer",'Verification data'!$J$2:$J$5000,0),0),0),0)),"")</f>
        <v/>
      </c>
      <c r="L37" s="6" t="str">
        <f t="array" ref="L37">IF($A37&lt;&gt;"",SUM(IF('Verification data'!$D$2:$D$5000=$A37,IF('Verification data'!$F$2:$F$5000="Testing",IF('Verification data'!#REF! = 'Verification Summary'!$B37, IF('Verification data'!$G$2:$G$5000="Customer",'Verification data'!$K$2:$K$5000,0),0),0),0)),"")</f>
        <v/>
      </c>
      <c r="M37" s="6" t="str">
        <f t="array" ref="M37">IF($A37&lt;&gt;"",SUM(IF('Verification data'!$D$2:$D$5000=$A37,IF('Verification data'!$F$2:$F$5000="Testing",IF('Verification data'!#REF! = 'Verification Summary'!$B37, IF('Verification data'!$G$2:$G$5000="Customer",'Verification data'!$L$2:$L$5000,0),0),0),0)),"")</f>
        <v/>
      </c>
      <c r="N37" s="26" t="str">
        <f t="array" ref="N37">IF($A37&lt;&gt;"",SUM(IF('Verification data'!$D$2:$D$5000=$A37,IF('Verification data'!$F$2:$F$5000="Testing",IF('Verification data'!#REF! = 'Verification Summary'!$B37, IF('Verification data'!$G$2:$G$5000="Customer",'Verification data'!$Q$2:$Q$5000,0),0),0),0)),"")</f>
        <v/>
      </c>
    </row>
    <row r="38" spans="1:14" x14ac:dyDescent="0.2">
      <c r="A38" s="25" t="str">
        <f>IF('Control panel'!A13&lt;&gt;"",'Control panel'!A13,"")</f>
        <v/>
      </c>
      <c r="B38" s="6" t="str">
        <f>IF('Control panel'!B13&lt;&gt;"",'Control panel'!B13,"")</f>
        <v/>
      </c>
      <c r="C38" s="6" t="str">
        <f t="array" ref="C38">IF($A38&lt;&gt;"",SUM(IF('Verification data'!$D$2:$D$5000=$A38,IF(NOT(ISERR(SEARCH("Review",'Verification data'!$F$2:$F$5000,1))),IF('Verification data'!#REF! = 'Verification Summary'!B38, IF('Verification data'!$G$2:$G$5000="Customer",'Verification data'!$I$2:$I$5000,0),0),0),0)),"")</f>
        <v/>
      </c>
      <c r="D38" s="6" t="str">
        <f t="array" ref="D38">IF($A38&lt;&gt;"",SUM(IF('Verification data'!$D$2:$D$5000=$A38,IF(NOT(ISERR(SEARCH("Review",'Verification data'!$F$2:$F$5000,1))),IF('Verification data'!#REF! = 'Verification Summary'!B38, IF('Verification data'!$G$2:$G$5000="Customer",'Verification data'!#REF!,0),0),0),0)),"")</f>
        <v/>
      </c>
      <c r="E38" s="6" t="str">
        <f t="array" ref="E38">IF($A38&lt;&gt;"",SUM(IF('Verification data'!$D$2:$D$5000=$A38,IF(NOT(ISERR(SEARCH("Review",'Verification data'!$F$2:$F$5000,1))),IF('Verification data'!#REF! = 'Verification Summary'!B38, IF('Verification data'!$G$2:$G$5000="Customer",'Verification data'!$J$2:$J$5000,0),0),0),0)),"")</f>
        <v/>
      </c>
      <c r="F38" s="6" t="str">
        <f t="array" ref="F38">IF($A38&lt;&gt;"",SUM(IF('Verification data'!$D$2:$D$5000=$A38,IF(NOT(ISERR(SEARCH("Review",'Verification data'!$F$2:$F$5000,1))),IF('Verification data'!#REF! = 'Verification Summary'!B38, IF('Verification data'!$G$2:$G$5000="Customer",'Verification data'!$K$2:$K$5000,0),0),0),0)),"")</f>
        <v/>
      </c>
      <c r="G38" s="6" t="str">
        <f t="array" ref="G38">IF($A38&lt;&gt;"",SUM(IF('Verification data'!$D$2:$D$5000=$A38,IF(NOT(ISERR(SEARCH("Review",'Verification data'!$F$2:$F$5000,1))),IF('Verification data'!#REF! = 'Verification Summary'!B38, IF('Verification data'!$G$2:$G$5000="Customer",'Verification data'!$L$2:$L$5000,0),0),0),0)),"")</f>
        <v/>
      </c>
      <c r="H38" s="6" t="str">
        <f t="array" ref="H38">IF($A38&lt;&gt;"",SUM(IF('Verification data'!$D$2:$D$5000=$A38,IF(NOT(ISERR(SEARCH("Review",'Verification data'!$F$2:$F$5000,1))),IF('Verification data'!#REF! = 'Verification Summary'!B38, IF('Verification data'!$G$2:$G$5000="Customer",'Verification data'!$Q$2:$Q$5000,0),0),0),0)),"")</f>
        <v/>
      </c>
      <c r="I38" s="6" t="str">
        <f t="array" ref="I38">IF($A38&lt;&gt;"",SUM(IF('Verification data'!$D$2:$D$5000=$A38,IF('Verification data'!$F$2:$F$5000="Testing",IF('Verification data'!#REF! = 'Verification Summary'!$B38, IF('Verification data'!$G$2:$G$5000="Customer",'Verification data'!$I$2:$I$5000,0),0),0),0)),"")</f>
        <v/>
      </c>
      <c r="J38" s="6" t="str">
        <f t="array" ref="J38">IF($A38&lt;&gt;"",SUM(IF('Verification data'!$D$2:$D$5000=$A38,IF('Verification data'!$F$2:$F$5000="Testing",IF('Verification data'!#REF! = 'Verification Summary'!$B38, IF('Verification data'!$G$2:$G$5000="Customer",'Verification data'!#REF!,0),0),0),0)),"")</f>
        <v/>
      </c>
      <c r="K38" s="6" t="str">
        <f t="array" ref="K38">IF($A38&lt;&gt;"",SUM(IF('Verification data'!$D$2:$D$5000=$A38,IF('Verification data'!$F$2:$F$5000="Testing",IF('Verification data'!#REF! = 'Verification Summary'!$B38, IF('Verification data'!$G$2:$G$5000="Customer",'Verification data'!$J$2:$J$5000,0),0),0),0)),"")</f>
        <v/>
      </c>
      <c r="L38" s="6" t="str">
        <f t="array" ref="L38">IF($A38&lt;&gt;"",SUM(IF('Verification data'!$D$2:$D$5000=$A38,IF('Verification data'!$F$2:$F$5000="Testing",IF('Verification data'!#REF! = 'Verification Summary'!$B38, IF('Verification data'!$G$2:$G$5000="Customer",'Verification data'!$K$2:$K$5000,0),0),0),0)),"")</f>
        <v/>
      </c>
      <c r="M38" s="6" t="str">
        <f t="array" ref="M38">IF($A38&lt;&gt;"",SUM(IF('Verification data'!$D$2:$D$5000=$A38,IF('Verification data'!$F$2:$F$5000="Testing",IF('Verification data'!#REF! = 'Verification Summary'!$B38, IF('Verification data'!$G$2:$G$5000="Customer",'Verification data'!$L$2:$L$5000,0),0),0),0)),"")</f>
        <v/>
      </c>
      <c r="N38" s="26" t="str">
        <f t="array" ref="N38">IF($A38&lt;&gt;"",SUM(IF('Verification data'!$D$2:$D$5000=$A38,IF('Verification data'!$F$2:$F$5000="Testing",IF('Verification data'!#REF! = 'Verification Summary'!$B38, IF('Verification data'!$G$2:$G$5000="Customer",'Verification data'!$Q$2:$Q$5000,0),0),0),0)),"")</f>
        <v/>
      </c>
    </row>
    <row r="39" spans="1:14" x14ac:dyDescent="0.2">
      <c r="A39" s="25" t="str">
        <f>IF('Control panel'!A14&lt;&gt;"",'Control panel'!A14,"")</f>
        <v/>
      </c>
      <c r="B39" s="6" t="str">
        <f>IF('Control panel'!B14&lt;&gt;"",'Control panel'!B14,"")</f>
        <v/>
      </c>
      <c r="C39" s="6" t="str">
        <f t="array" ref="C39">IF($A39&lt;&gt;"",SUM(IF('Verification data'!$D$2:$D$5000=$A39,IF(NOT(ISERR(SEARCH("Review",'Verification data'!$F$2:$F$5000,1))),IF('Verification data'!#REF! = 'Verification Summary'!B39, IF('Verification data'!$G$2:$G$5000="Customer",'Verification data'!$I$2:$I$5000,0),0),0),0)),"")</f>
        <v/>
      </c>
      <c r="D39" s="6" t="str">
        <f t="array" ref="D39">IF($A39&lt;&gt;"",SUM(IF('Verification data'!$D$2:$D$5000=$A39,IF(NOT(ISERR(SEARCH("Review",'Verification data'!$F$2:$F$5000,1))),IF('Verification data'!#REF! = 'Verification Summary'!B39, IF('Verification data'!$G$2:$G$5000="Customer",'Verification data'!#REF!,0),0),0),0)),"")</f>
        <v/>
      </c>
      <c r="E39" s="6" t="str">
        <f t="array" ref="E39">IF($A39&lt;&gt;"",SUM(IF('Verification data'!$D$2:$D$5000=$A39,IF(NOT(ISERR(SEARCH("Review",'Verification data'!$F$2:$F$5000,1))),IF('Verification data'!#REF! = 'Verification Summary'!B39, IF('Verification data'!$G$2:$G$5000="Customer",'Verification data'!$J$2:$J$5000,0),0),0),0)),"")</f>
        <v/>
      </c>
      <c r="F39" s="6" t="str">
        <f t="array" ref="F39">IF($A39&lt;&gt;"",SUM(IF('Verification data'!$D$2:$D$5000=$A39,IF(NOT(ISERR(SEARCH("Review",'Verification data'!$F$2:$F$5000,1))),IF('Verification data'!#REF! = 'Verification Summary'!B39, IF('Verification data'!$G$2:$G$5000="Customer",'Verification data'!$K$2:$K$5000,0),0),0),0)),"")</f>
        <v/>
      </c>
      <c r="G39" s="6" t="str">
        <f t="array" ref="G39">IF($A39&lt;&gt;"",SUM(IF('Verification data'!$D$2:$D$5000=$A39,IF(NOT(ISERR(SEARCH("Review",'Verification data'!$F$2:$F$5000,1))),IF('Verification data'!#REF! = 'Verification Summary'!B39, IF('Verification data'!$G$2:$G$5000="Customer",'Verification data'!$L$2:$L$5000,0),0),0),0)),"")</f>
        <v/>
      </c>
      <c r="H39" s="6" t="str">
        <f t="array" ref="H39">IF($A39&lt;&gt;"",SUM(IF('Verification data'!$D$2:$D$5000=$A39,IF(NOT(ISERR(SEARCH("Review",'Verification data'!$F$2:$F$5000,1))),IF('Verification data'!#REF! = 'Verification Summary'!B39, IF('Verification data'!$G$2:$G$5000="Customer",'Verification data'!$Q$2:$Q$5000,0),0),0),0)),"")</f>
        <v/>
      </c>
      <c r="I39" s="6" t="str">
        <f t="array" ref="I39">IF($A39&lt;&gt;"",SUM(IF('Verification data'!$D$2:$D$5000=$A39,IF('Verification data'!$F$2:$F$5000="Testing",IF('Verification data'!#REF! = 'Verification Summary'!$B39, IF('Verification data'!$G$2:$G$5000="Customer",'Verification data'!$I$2:$I$5000,0),0),0),0)),"")</f>
        <v/>
      </c>
      <c r="J39" s="6" t="str">
        <f t="array" ref="J39">IF($A39&lt;&gt;"",SUM(IF('Verification data'!$D$2:$D$5000=$A39,IF('Verification data'!$F$2:$F$5000="Testing",IF('Verification data'!#REF! = 'Verification Summary'!$B39, IF('Verification data'!$G$2:$G$5000="Customer",'Verification data'!#REF!,0),0),0),0)),"")</f>
        <v/>
      </c>
      <c r="K39" s="6" t="str">
        <f t="array" ref="K39">IF($A39&lt;&gt;"",SUM(IF('Verification data'!$D$2:$D$5000=$A39,IF('Verification data'!$F$2:$F$5000="Testing",IF('Verification data'!#REF! = 'Verification Summary'!$B39, IF('Verification data'!$G$2:$G$5000="Customer",'Verification data'!$J$2:$J$5000,0),0),0),0)),"")</f>
        <v/>
      </c>
      <c r="L39" s="6" t="str">
        <f t="array" ref="L39">IF($A39&lt;&gt;"",SUM(IF('Verification data'!$D$2:$D$5000=$A39,IF('Verification data'!$F$2:$F$5000="Testing",IF('Verification data'!#REF! = 'Verification Summary'!$B39, IF('Verification data'!$G$2:$G$5000="Customer",'Verification data'!$K$2:$K$5000,0),0),0),0)),"")</f>
        <v/>
      </c>
      <c r="M39" s="6" t="str">
        <f t="array" ref="M39">IF($A39&lt;&gt;"",SUM(IF('Verification data'!$D$2:$D$5000=$A39,IF('Verification data'!$F$2:$F$5000="Testing",IF('Verification data'!#REF! = 'Verification Summary'!$B39, IF('Verification data'!$G$2:$G$5000="Customer",'Verification data'!$L$2:$L$5000,0),0),0),0)),"")</f>
        <v/>
      </c>
      <c r="N39" s="26" t="str">
        <f t="array" ref="N39">IF($A39&lt;&gt;"",SUM(IF('Verification data'!$D$2:$D$5000=$A39,IF('Verification data'!$F$2:$F$5000="Testing",IF('Verification data'!#REF! = 'Verification Summary'!$B39, IF('Verification data'!$G$2:$G$5000="Customer",'Verification data'!$Q$2:$Q$5000,0),0),0),0)),"")</f>
        <v/>
      </c>
    </row>
    <row r="40" spans="1:14" x14ac:dyDescent="0.2">
      <c r="A40" s="25" t="str">
        <f>IF('Control panel'!A15&lt;&gt;"",'Control panel'!A15,"")</f>
        <v/>
      </c>
      <c r="B40" s="6" t="str">
        <f>IF('Control panel'!B15&lt;&gt;"",'Control panel'!B15,"")</f>
        <v/>
      </c>
      <c r="C40" s="6" t="str">
        <f t="array" ref="C40">IF($A40&lt;&gt;"",SUM(IF('Verification data'!$D$2:$D$5000=$A40,IF(NOT(ISERR(SEARCH("Review",'Verification data'!$F$2:$F$5000,1))),IF('Verification data'!#REF! = 'Verification Summary'!B40, IF('Verification data'!$G$2:$G$5000="Customer",'Verification data'!$I$2:$I$5000,0),0),0),0)),"")</f>
        <v/>
      </c>
      <c r="D40" s="6" t="str">
        <f t="array" ref="D40">IF($A40&lt;&gt;"",SUM(IF('Verification data'!$D$2:$D$5000=$A40,IF(NOT(ISERR(SEARCH("Review",'Verification data'!$F$2:$F$5000,1))),IF('Verification data'!#REF! = 'Verification Summary'!B40, IF('Verification data'!$G$2:$G$5000="Customer",'Verification data'!#REF!,0),0),0),0)),"")</f>
        <v/>
      </c>
      <c r="E40" s="6" t="str">
        <f t="array" ref="E40">IF($A40&lt;&gt;"",SUM(IF('Verification data'!$D$2:$D$5000=$A40,IF(NOT(ISERR(SEARCH("Review",'Verification data'!$F$2:$F$5000,1))),IF('Verification data'!#REF! = 'Verification Summary'!B40, IF('Verification data'!$G$2:$G$5000="Customer",'Verification data'!$J$2:$J$5000,0),0),0),0)),"")</f>
        <v/>
      </c>
      <c r="F40" s="6" t="str">
        <f t="array" ref="F40">IF($A40&lt;&gt;"",SUM(IF('Verification data'!$D$2:$D$5000=$A40,IF(NOT(ISERR(SEARCH("Review",'Verification data'!$F$2:$F$5000,1))),IF('Verification data'!#REF! = 'Verification Summary'!B40, IF('Verification data'!$G$2:$G$5000="Customer",'Verification data'!$K$2:$K$5000,0),0),0),0)),"")</f>
        <v/>
      </c>
      <c r="G40" s="6" t="str">
        <f t="array" ref="G40">IF($A40&lt;&gt;"",SUM(IF('Verification data'!$D$2:$D$5000=$A40,IF(NOT(ISERR(SEARCH("Review",'Verification data'!$F$2:$F$5000,1))),IF('Verification data'!#REF! = 'Verification Summary'!B40, IF('Verification data'!$G$2:$G$5000="Customer",'Verification data'!$L$2:$L$5000,0),0),0),0)),"")</f>
        <v/>
      </c>
      <c r="H40" s="6" t="str">
        <f t="array" ref="H40">IF($A40&lt;&gt;"",SUM(IF('Verification data'!$D$2:$D$5000=$A40,IF(NOT(ISERR(SEARCH("Review",'Verification data'!$F$2:$F$5000,1))),IF('Verification data'!#REF! = 'Verification Summary'!B40, IF('Verification data'!$G$2:$G$5000="Customer",'Verification data'!$Q$2:$Q$5000,0),0),0),0)),"")</f>
        <v/>
      </c>
      <c r="I40" s="6" t="str">
        <f t="array" ref="I40">IF($A40&lt;&gt;"",SUM(IF('Verification data'!$D$2:$D$5000=$A40,IF('Verification data'!$F$2:$F$5000="Testing",IF('Verification data'!#REF! = 'Verification Summary'!$B40, IF('Verification data'!$G$2:$G$5000="Customer",'Verification data'!$I$2:$I$5000,0),0),0),0)),"")</f>
        <v/>
      </c>
      <c r="J40" s="6" t="str">
        <f t="array" ref="J40">IF($A40&lt;&gt;"",SUM(IF('Verification data'!$D$2:$D$5000=$A40,IF('Verification data'!$F$2:$F$5000="Testing",IF('Verification data'!#REF! = 'Verification Summary'!$B40, IF('Verification data'!$G$2:$G$5000="Customer",'Verification data'!#REF!,0),0),0),0)),"")</f>
        <v/>
      </c>
      <c r="K40" s="6" t="str">
        <f t="array" ref="K40">IF($A40&lt;&gt;"",SUM(IF('Verification data'!$D$2:$D$5000=$A40,IF('Verification data'!$F$2:$F$5000="Testing",IF('Verification data'!#REF! = 'Verification Summary'!$B40, IF('Verification data'!$G$2:$G$5000="Customer",'Verification data'!$J$2:$J$5000,0),0),0),0)),"")</f>
        <v/>
      </c>
      <c r="L40" s="6" t="str">
        <f t="array" ref="L40">IF($A40&lt;&gt;"",SUM(IF('Verification data'!$D$2:$D$5000=$A40,IF('Verification data'!$F$2:$F$5000="Testing",IF('Verification data'!#REF! = 'Verification Summary'!$B40, IF('Verification data'!$G$2:$G$5000="Customer",'Verification data'!$K$2:$K$5000,0),0),0),0)),"")</f>
        <v/>
      </c>
      <c r="M40" s="6" t="str">
        <f t="array" ref="M40">IF($A40&lt;&gt;"",SUM(IF('Verification data'!$D$2:$D$5000=$A40,IF('Verification data'!$F$2:$F$5000="Testing",IF('Verification data'!#REF! = 'Verification Summary'!$B40, IF('Verification data'!$G$2:$G$5000="Customer",'Verification data'!$L$2:$L$5000,0),0),0),0)),"")</f>
        <v/>
      </c>
      <c r="N40" s="26" t="str">
        <f t="array" ref="N40">IF($A40&lt;&gt;"",SUM(IF('Verification data'!$D$2:$D$5000=$A40,IF('Verification data'!$F$2:$F$5000="Testing",IF('Verification data'!#REF! = 'Verification Summary'!$B40, IF('Verification data'!$G$2:$G$5000="Customer",'Verification data'!$Q$2:$Q$5000,0),0),0),0)),"")</f>
        <v/>
      </c>
    </row>
    <row r="41" spans="1:14" x14ac:dyDescent="0.2">
      <c r="A41" s="25" t="str">
        <f>IF('Control panel'!A16&lt;&gt;"",'Control panel'!A16,"")</f>
        <v/>
      </c>
      <c r="B41" s="6" t="str">
        <f>IF('Control panel'!B16&lt;&gt;"",'Control panel'!B16,"")</f>
        <v/>
      </c>
      <c r="C41" s="6" t="str">
        <f t="array" ref="C41">IF($A41&lt;&gt;"",SUM(IF('Verification data'!$D$2:$D$5000=$A41,IF(NOT(ISERR(SEARCH("Review",'Verification data'!$F$2:$F$5000,1))),IF('Verification data'!#REF! = 'Verification Summary'!B41, IF('Verification data'!$G$2:$G$5000="Customer",'Verification data'!$I$2:$I$5000,0),0),0),0)),"")</f>
        <v/>
      </c>
      <c r="D41" s="6" t="str">
        <f t="array" ref="D41">IF($A41&lt;&gt;"",SUM(IF('Verification data'!$D$2:$D$5000=$A41,IF(NOT(ISERR(SEARCH("Review",'Verification data'!$F$2:$F$5000,1))),IF('Verification data'!#REF! = 'Verification Summary'!B41, IF('Verification data'!$G$2:$G$5000="Customer",'Verification data'!#REF!,0),0),0),0)),"")</f>
        <v/>
      </c>
      <c r="E41" s="6" t="str">
        <f t="array" ref="E41">IF($A41&lt;&gt;"",SUM(IF('Verification data'!$D$2:$D$5000=$A41,IF(NOT(ISERR(SEARCH("Review",'Verification data'!$F$2:$F$5000,1))),IF('Verification data'!#REF! = 'Verification Summary'!B41, IF('Verification data'!$G$2:$G$5000="Customer",'Verification data'!$J$2:$J$5000,0),0),0),0)),"")</f>
        <v/>
      </c>
      <c r="F41" s="6" t="str">
        <f t="array" ref="F41">IF($A41&lt;&gt;"",SUM(IF('Verification data'!$D$2:$D$5000=$A41,IF(NOT(ISERR(SEARCH("Review",'Verification data'!$F$2:$F$5000,1))),IF('Verification data'!#REF! = 'Verification Summary'!B41, IF('Verification data'!$G$2:$G$5000="Customer",'Verification data'!$K$2:$K$5000,0),0),0),0)),"")</f>
        <v/>
      </c>
      <c r="G41" s="6" t="str">
        <f t="array" ref="G41">IF($A41&lt;&gt;"",SUM(IF('Verification data'!$D$2:$D$5000=$A41,IF(NOT(ISERR(SEARCH("Review",'Verification data'!$F$2:$F$5000,1))),IF('Verification data'!#REF! = 'Verification Summary'!B41, IF('Verification data'!$G$2:$G$5000="Customer",'Verification data'!$L$2:$L$5000,0),0),0),0)),"")</f>
        <v/>
      </c>
      <c r="H41" s="6" t="str">
        <f t="array" ref="H41">IF($A41&lt;&gt;"",SUM(IF('Verification data'!$D$2:$D$5000=$A41,IF(NOT(ISERR(SEARCH("Review",'Verification data'!$F$2:$F$5000,1))),IF('Verification data'!#REF! = 'Verification Summary'!B41, IF('Verification data'!$G$2:$G$5000="Customer",'Verification data'!$Q$2:$Q$5000,0),0),0),0)),"")</f>
        <v/>
      </c>
      <c r="I41" s="6" t="str">
        <f t="array" ref="I41">IF($A41&lt;&gt;"",SUM(IF('Verification data'!$D$2:$D$5000=$A41,IF('Verification data'!$F$2:$F$5000="Testing",IF('Verification data'!#REF! = 'Verification Summary'!$B41, IF('Verification data'!$G$2:$G$5000="Customer",'Verification data'!$I$2:$I$5000,0),0),0),0)),"")</f>
        <v/>
      </c>
      <c r="J41" s="6" t="str">
        <f t="array" ref="J41">IF($A41&lt;&gt;"",SUM(IF('Verification data'!$D$2:$D$5000=$A41,IF('Verification data'!$F$2:$F$5000="Testing",IF('Verification data'!#REF! = 'Verification Summary'!$B41, IF('Verification data'!$G$2:$G$5000="Customer",'Verification data'!#REF!,0),0),0),0)),"")</f>
        <v/>
      </c>
      <c r="K41" s="6" t="str">
        <f t="array" ref="K41">IF($A41&lt;&gt;"",SUM(IF('Verification data'!$D$2:$D$5000=$A41,IF('Verification data'!$F$2:$F$5000="Testing",IF('Verification data'!#REF! = 'Verification Summary'!$B41, IF('Verification data'!$G$2:$G$5000="Customer",'Verification data'!$J$2:$J$5000,0),0),0),0)),"")</f>
        <v/>
      </c>
      <c r="L41" s="6" t="str">
        <f t="array" ref="L41">IF($A41&lt;&gt;"",SUM(IF('Verification data'!$D$2:$D$5000=$A41,IF('Verification data'!$F$2:$F$5000="Testing",IF('Verification data'!#REF! = 'Verification Summary'!$B41, IF('Verification data'!$G$2:$G$5000="Customer",'Verification data'!$K$2:$K$5000,0),0),0),0)),"")</f>
        <v/>
      </c>
      <c r="M41" s="6" t="str">
        <f t="array" ref="M41">IF($A41&lt;&gt;"",SUM(IF('Verification data'!$D$2:$D$5000=$A41,IF('Verification data'!$F$2:$F$5000="Testing",IF('Verification data'!#REF! = 'Verification Summary'!$B41, IF('Verification data'!$G$2:$G$5000="Customer",'Verification data'!$L$2:$L$5000,0),0),0),0)),"")</f>
        <v/>
      </c>
      <c r="N41" s="26" t="str">
        <f t="array" ref="N41">IF($A41&lt;&gt;"",SUM(IF('Verification data'!$D$2:$D$5000=$A41,IF('Verification data'!$F$2:$F$5000="Testing",IF('Verification data'!#REF! = 'Verification Summary'!$B41, IF('Verification data'!$G$2:$G$5000="Customer",'Verification data'!$Q$2:$Q$5000,0),0),0),0)),"")</f>
        <v/>
      </c>
    </row>
    <row r="42" spans="1:14" x14ac:dyDescent="0.2">
      <c r="A42" s="25" t="str">
        <f>IF('Control panel'!A17&lt;&gt;"",'Control panel'!A17,"")</f>
        <v/>
      </c>
      <c r="B42" s="6" t="str">
        <f>IF('Control panel'!B17&lt;&gt;"",'Control panel'!B17,"")</f>
        <v/>
      </c>
      <c r="C42" s="6" t="str">
        <f t="array" ref="C42">IF($A42&lt;&gt;"",SUM(IF('Verification data'!$D$2:$D$5000=$A42,IF(NOT(ISERR(SEARCH("Review",'Verification data'!$F$2:$F$5000,1))),IF('Verification data'!#REF! = 'Verification Summary'!B42, IF('Verification data'!$G$2:$G$5000="Customer",'Verification data'!$I$2:$I$5000,0),0),0),0)),"")</f>
        <v/>
      </c>
      <c r="D42" s="6" t="str">
        <f t="array" ref="D42">IF($A42&lt;&gt;"",SUM(IF('Verification data'!$D$2:$D$5000=$A42,IF(NOT(ISERR(SEARCH("Review",'Verification data'!$F$2:$F$5000,1))),IF('Verification data'!#REF! = 'Verification Summary'!B42, IF('Verification data'!$G$2:$G$5000="Customer",'Verification data'!#REF!,0),0),0),0)),"")</f>
        <v/>
      </c>
      <c r="E42" s="6" t="str">
        <f t="array" ref="E42">IF($A42&lt;&gt;"",SUM(IF('Verification data'!$D$2:$D$5000=$A42,IF(NOT(ISERR(SEARCH("Review",'Verification data'!$F$2:$F$5000,1))),IF('Verification data'!#REF! = 'Verification Summary'!B42, IF('Verification data'!$G$2:$G$5000="Customer",'Verification data'!$J$2:$J$5000,0),0),0),0)),"")</f>
        <v/>
      </c>
      <c r="F42" s="6" t="str">
        <f t="array" ref="F42">IF($A42&lt;&gt;"",SUM(IF('Verification data'!$D$2:$D$5000=$A42,IF(NOT(ISERR(SEARCH("Review",'Verification data'!$F$2:$F$5000,1))),IF('Verification data'!#REF! = 'Verification Summary'!B42, IF('Verification data'!$G$2:$G$5000="Customer",'Verification data'!$K$2:$K$5000,0),0),0),0)),"")</f>
        <v/>
      </c>
      <c r="G42" s="6" t="str">
        <f t="array" ref="G42">IF($A42&lt;&gt;"",SUM(IF('Verification data'!$D$2:$D$5000=$A42,IF(NOT(ISERR(SEARCH("Review",'Verification data'!$F$2:$F$5000,1))),IF('Verification data'!#REF! = 'Verification Summary'!B42, IF('Verification data'!$G$2:$G$5000="Customer",'Verification data'!$L$2:$L$5000,0),0),0),0)),"")</f>
        <v/>
      </c>
      <c r="H42" s="6" t="str">
        <f t="array" ref="H42">IF($A42&lt;&gt;"",SUM(IF('Verification data'!$D$2:$D$5000=$A42,IF(NOT(ISERR(SEARCH("Review",'Verification data'!$F$2:$F$5000,1))),IF('Verification data'!#REF! = 'Verification Summary'!B42, IF('Verification data'!$G$2:$G$5000="Customer",'Verification data'!$Q$2:$Q$5000,0),0),0),0)),"")</f>
        <v/>
      </c>
      <c r="I42" s="6" t="str">
        <f t="array" ref="I42">IF($A42&lt;&gt;"",SUM(IF('Verification data'!$D$2:$D$5000=$A42,IF('Verification data'!$F$2:$F$5000="Testing",IF('Verification data'!#REF! = 'Verification Summary'!$B42, IF('Verification data'!$G$2:$G$5000="Customer",'Verification data'!$I$2:$I$5000,0),0),0),0)),"")</f>
        <v/>
      </c>
      <c r="J42" s="6" t="str">
        <f t="array" ref="J42">IF($A42&lt;&gt;"",SUM(IF('Verification data'!$D$2:$D$5000=$A42,IF('Verification data'!$F$2:$F$5000="Testing",IF('Verification data'!#REF! = 'Verification Summary'!$B42, IF('Verification data'!$G$2:$G$5000="Customer",'Verification data'!#REF!,0),0),0),0)),"")</f>
        <v/>
      </c>
      <c r="K42" s="6" t="str">
        <f t="array" ref="K42">IF($A42&lt;&gt;"",SUM(IF('Verification data'!$D$2:$D$5000=$A42,IF('Verification data'!$F$2:$F$5000="Testing",IF('Verification data'!#REF! = 'Verification Summary'!$B42, IF('Verification data'!$G$2:$G$5000="Customer",'Verification data'!$J$2:$J$5000,0),0),0),0)),"")</f>
        <v/>
      </c>
      <c r="L42" s="6" t="str">
        <f t="array" ref="L42">IF($A42&lt;&gt;"",SUM(IF('Verification data'!$D$2:$D$5000=$A42,IF('Verification data'!$F$2:$F$5000="Testing",IF('Verification data'!#REF! = 'Verification Summary'!$B42, IF('Verification data'!$G$2:$G$5000="Customer",'Verification data'!$K$2:$K$5000,0),0),0),0)),"")</f>
        <v/>
      </c>
      <c r="M42" s="6" t="str">
        <f t="array" ref="M42">IF($A42&lt;&gt;"",SUM(IF('Verification data'!$D$2:$D$5000=$A42,IF('Verification data'!$F$2:$F$5000="Testing",IF('Verification data'!#REF! = 'Verification Summary'!$B42, IF('Verification data'!$G$2:$G$5000="Customer",'Verification data'!$L$2:$L$5000,0),0),0),0)),"")</f>
        <v/>
      </c>
      <c r="N42" s="26" t="str">
        <f t="array" ref="N42">IF($A42&lt;&gt;"",SUM(IF('Verification data'!$D$2:$D$5000=$A42,IF('Verification data'!$F$2:$F$5000="Testing",IF('Verification data'!#REF! = 'Verification Summary'!$B42, IF('Verification data'!$G$2:$G$5000="Customer",'Verification data'!$Q$2:$Q$5000,0),0),0),0)),"")</f>
        <v/>
      </c>
    </row>
    <row r="43" spans="1:14" ht="13.5" thickBot="1" x14ac:dyDescent="0.25">
      <c r="A43" s="27" t="str">
        <f>IF('Control panel'!A18&lt;&gt;"",'Control panel'!A18,"")</f>
        <v/>
      </c>
      <c r="B43" s="24" t="str">
        <f>IF('Control panel'!B18&lt;&gt;"",'Control panel'!B18,"")</f>
        <v/>
      </c>
      <c r="C43" s="24" t="str">
        <f t="array" ref="C43">IF($A43&lt;&gt;"",SUM(IF('Verification data'!$D$2:$D$5000=$A43,IF(NOT(ISERR(SEARCH("Review",'Verification data'!$F$2:$F$5000,1))),IF('Verification data'!#REF! = 'Verification Summary'!B43, IF('Verification data'!$G$2:$G$5000="Customer",'Verification data'!$I$2:$I$5000,0),0),0),0)),"")</f>
        <v/>
      </c>
      <c r="D43" s="24" t="str">
        <f t="array" ref="D43">IF($A43&lt;&gt;"",SUM(IF('Verification data'!$D$2:$D$5000=$A43,IF(NOT(ISERR(SEARCH("Review",'Verification data'!$F$2:$F$5000,1))),IF('Verification data'!#REF! = 'Verification Summary'!B43, IF('Verification data'!$G$2:$G$5000="Customer",'Verification data'!#REF!,0),0),0),0)),"")</f>
        <v/>
      </c>
      <c r="E43" s="24" t="str">
        <f t="array" ref="E43">IF($A43&lt;&gt;"",SUM(IF('Verification data'!$D$2:$D$5000=$A43,IF(NOT(ISERR(SEARCH("Review",'Verification data'!$F$2:$F$5000,1))),IF('Verification data'!#REF! = 'Verification Summary'!B43, IF('Verification data'!$G$2:$G$5000="Customer",'Verification data'!$J$2:$J$5000,0),0),0),0)),"")</f>
        <v/>
      </c>
      <c r="F43" s="24" t="str">
        <f t="array" ref="F43">IF($A43&lt;&gt;"",SUM(IF('Verification data'!$D$2:$D$5000=$A43,IF(NOT(ISERR(SEARCH("Review",'Verification data'!$F$2:$F$5000,1))),IF('Verification data'!#REF! = 'Verification Summary'!B43, IF('Verification data'!$G$2:$G$5000="Customer",'Verification data'!$K$2:$K$5000,0),0),0),0)),"")</f>
        <v/>
      </c>
      <c r="G43" s="24" t="str">
        <f t="array" ref="G43">IF($A43&lt;&gt;"",SUM(IF('Verification data'!$D$2:$D$5000=$A43,IF(NOT(ISERR(SEARCH("Review",'Verification data'!$F$2:$F$5000,1))),IF('Verification data'!#REF! = 'Verification Summary'!B43, IF('Verification data'!$G$2:$G$5000="Customer",'Verification data'!$L$2:$L$5000,0),0),0),0)),"")</f>
        <v/>
      </c>
      <c r="H43" s="24" t="str">
        <f t="array" ref="H43">IF($A43&lt;&gt;"",SUM(IF('Verification data'!$D$2:$D$5000=$A43,IF(NOT(ISERR(SEARCH("Review",'Verification data'!$F$2:$F$5000,1))),IF('Verification data'!#REF! = 'Verification Summary'!B43, IF('Verification data'!$G$2:$G$5000="Customer",'Verification data'!$Q$2:$Q$5000,0),0),0),0)),"")</f>
        <v/>
      </c>
      <c r="I43" s="24" t="str">
        <f t="array" ref="I43">IF($A43&lt;&gt;"",SUM(IF('Verification data'!$D$2:$D$5000=$A43,IF('Verification data'!$F$2:$F$5000="Testing",IF('Verification data'!#REF! = 'Verification Summary'!$B43, IF('Verification data'!$G$2:$G$5000="Customer",'Verification data'!$I$2:$I$5000,0),0),0),0)),"")</f>
        <v/>
      </c>
      <c r="J43" s="24" t="str">
        <f t="array" ref="J43">IF($A43&lt;&gt;"",SUM(IF('Verification data'!$D$2:$D$5000=$A43,IF('Verification data'!$F$2:$F$5000="Testing",IF('Verification data'!#REF! = 'Verification Summary'!$B43, IF('Verification data'!$G$2:$G$5000="Customer",'Verification data'!#REF!,0),0),0),0)),"")</f>
        <v/>
      </c>
      <c r="K43" s="24" t="str">
        <f t="array" ref="K43">IF($A43&lt;&gt;"",SUM(IF('Verification data'!$D$2:$D$5000=$A43,IF('Verification data'!$F$2:$F$5000="Testing",IF('Verification data'!#REF! = 'Verification Summary'!$B43, IF('Verification data'!$G$2:$G$5000="Customer",'Verification data'!$J$2:$J$5000,0),0),0),0)),"")</f>
        <v/>
      </c>
      <c r="L43" s="24" t="str">
        <f t="array" ref="L43">IF($A43&lt;&gt;"",SUM(IF('Verification data'!$D$2:$D$5000=$A43,IF('Verification data'!$F$2:$F$5000="Testing",IF('Verification data'!#REF! = 'Verification Summary'!$B43, IF('Verification data'!$G$2:$G$5000="Customer",'Verification data'!$K$2:$K$5000,0),0),0),0)),"")</f>
        <v/>
      </c>
      <c r="M43" s="24" t="str">
        <f t="array" ref="M43">IF($A43&lt;&gt;"",SUM(IF('Verification data'!$D$2:$D$5000=$A43,IF('Verification data'!$F$2:$F$5000="Testing",IF('Verification data'!#REF! = 'Verification Summary'!$B43, IF('Verification data'!$G$2:$G$5000="Customer",'Verification data'!$L$2:$L$5000,0),0),0),0)),"")</f>
        <v/>
      </c>
      <c r="N43" s="30" t="str">
        <f t="array" ref="N43">IF($A43&lt;&gt;"",SUM(IF('Verification data'!$D$2:$D$5000=$A43,IF('Verification data'!$F$2:$F$5000="Testing",IF('Verification data'!#REF! = 'Verification Summary'!$B43, IF('Verification data'!$G$2:$G$5000="Customer",'Verification data'!$Q$2:$Q$5000,0),0),0),0)),"")</f>
        <v/>
      </c>
    </row>
  </sheetData>
  <mergeCells count="14">
    <mergeCell ref="E1:G1"/>
    <mergeCell ref="E2:G2"/>
    <mergeCell ref="E3:G3"/>
    <mergeCell ref="E4:G4"/>
    <mergeCell ref="B1:C1"/>
    <mergeCell ref="B2:C2"/>
    <mergeCell ref="B3:C3"/>
    <mergeCell ref="B4:C4"/>
    <mergeCell ref="A7:B7"/>
    <mergeCell ref="A26:B26"/>
    <mergeCell ref="C27:H27"/>
    <mergeCell ref="I27:N27"/>
    <mergeCell ref="C8:H8"/>
    <mergeCell ref="I8:N8"/>
  </mergeCells>
  <phoneticPr fontId="0" type="noConversion"/>
  <pageMargins left="0.75" right="0.75" top="1" bottom="1" header="0.5" footer="0.5"/>
  <pageSetup paperSize="9" scale="95" orientation="landscape" r:id="rId1"/>
  <headerFooter alignWithMargins="0">
    <oddFooter>&amp;R&amp;P of &amp;N</oddFoot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FF0000"/>
    <pageSetUpPr fitToPage="1"/>
  </sheetPr>
  <dimension ref="A1:EX957"/>
  <sheetViews>
    <sheetView showGridLines="0" zoomScalePageLayoutView="110" workbookViewId="0">
      <pane ySplit="1" topLeftCell="A30" activePane="bottomLeft" state="frozen"/>
      <selection pane="bottomLeft" activeCell="A18" sqref="A18:C18"/>
    </sheetView>
  </sheetViews>
  <sheetFormatPr defaultColWidth="14.42578125" defaultRowHeight="15.75" customHeight="1" x14ac:dyDescent="0.2"/>
  <cols>
    <col min="1" max="1" width="55.85546875" style="276" customWidth="1"/>
    <col min="2" max="2" width="31.140625" style="276" customWidth="1"/>
    <col min="3" max="3" width="51.7109375" style="276" customWidth="1"/>
    <col min="4" max="4" width="3" style="276" customWidth="1"/>
    <col min="5" max="5" width="3.7109375" style="276" customWidth="1"/>
    <col min="6" max="16384" width="14.42578125" style="276"/>
  </cols>
  <sheetData>
    <row r="1" spans="1:154" s="310" customFormat="1" ht="24" customHeight="1" x14ac:dyDescent="0.2">
      <c r="A1" s="589" t="s">
        <v>1262</v>
      </c>
      <c r="B1" s="589"/>
      <c r="C1" s="589"/>
      <c r="D1" s="313"/>
      <c r="E1" s="312"/>
      <c r="F1" s="311"/>
      <c r="G1" s="311"/>
      <c r="H1" s="311"/>
      <c r="I1" s="311"/>
      <c r="K1" s="311"/>
      <c r="L1" s="311"/>
      <c r="M1" s="311"/>
      <c r="N1" s="311"/>
      <c r="O1" s="311"/>
      <c r="P1" s="311"/>
      <c r="Q1" s="311"/>
      <c r="R1" s="311"/>
      <c r="S1" s="311"/>
      <c r="T1" s="311"/>
      <c r="U1" s="311"/>
      <c r="V1" s="311"/>
      <c r="W1" s="311"/>
      <c r="X1" s="311"/>
      <c r="Y1" s="311"/>
      <c r="Z1" s="311"/>
      <c r="AA1" s="311"/>
      <c r="AB1" s="311"/>
      <c r="AC1" s="311"/>
      <c r="AD1" s="311"/>
      <c r="AE1" s="311"/>
      <c r="AF1" s="311"/>
      <c r="AG1" s="311"/>
      <c r="AH1" s="311"/>
      <c r="AI1" s="311"/>
      <c r="AJ1" s="311"/>
      <c r="AK1" s="311"/>
      <c r="AL1" s="311"/>
      <c r="AM1" s="311"/>
      <c r="AN1" s="311"/>
      <c r="AO1" s="311"/>
      <c r="AP1" s="311"/>
      <c r="AQ1" s="311"/>
      <c r="AR1" s="311"/>
      <c r="AS1" s="311"/>
      <c r="AT1" s="311"/>
      <c r="AU1" s="311"/>
      <c r="AV1" s="311"/>
      <c r="AW1" s="311"/>
      <c r="AX1" s="311"/>
      <c r="AY1" s="311"/>
      <c r="AZ1" s="311"/>
      <c r="BA1" s="311"/>
      <c r="BB1" s="311"/>
      <c r="BC1" s="311"/>
      <c r="BD1" s="311"/>
      <c r="BE1" s="311"/>
      <c r="BF1" s="311"/>
      <c r="BG1" s="311"/>
      <c r="BH1" s="311"/>
      <c r="BI1" s="311"/>
      <c r="BJ1" s="311"/>
      <c r="BK1" s="311"/>
      <c r="BL1" s="311"/>
      <c r="BM1" s="311"/>
      <c r="BN1" s="311"/>
      <c r="BO1" s="311"/>
      <c r="BP1" s="311"/>
      <c r="BQ1" s="311"/>
      <c r="BR1" s="311"/>
      <c r="BS1" s="311"/>
      <c r="BT1" s="311"/>
      <c r="BU1" s="311"/>
      <c r="BV1" s="311"/>
      <c r="BW1" s="311"/>
      <c r="BX1" s="311"/>
      <c r="BY1" s="311"/>
      <c r="BZ1" s="311"/>
      <c r="CA1" s="311"/>
      <c r="CB1" s="311"/>
      <c r="CC1" s="311"/>
      <c r="CD1" s="311"/>
      <c r="CE1" s="311"/>
      <c r="CF1" s="311"/>
      <c r="CG1" s="311"/>
      <c r="CH1" s="311"/>
      <c r="CI1" s="311"/>
      <c r="CJ1" s="311"/>
      <c r="CK1" s="311"/>
      <c r="CL1" s="311"/>
      <c r="CM1" s="311"/>
      <c r="CN1" s="311"/>
      <c r="CO1" s="311"/>
      <c r="CP1" s="311"/>
      <c r="CQ1" s="311"/>
      <c r="CR1" s="311"/>
      <c r="CS1" s="311"/>
      <c r="CT1" s="311"/>
      <c r="CU1" s="311"/>
      <c r="CV1" s="311"/>
      <c r="CW1" s="311"/>
      <c r="CX1" s="311"/>
      <c r="CY1" s="311"/>
      <c r="CZ1" s="311"/>
      <c r="DA1" s="311"/>
      <c r="DB1" s="311"/>
      <c r="DC1" s="311"/>
      <c r="DD1" s="311"/>
      <c r="DE1" s="311"/>
      <c r="DF1" s="311"/>
      <c r="DG1" s="311"/>
      <c r="DH1" s="311"/>
      <c r="DI1" s="311"/>
      <c r="DJ1" s="311"/>
      <c r="DK1" s="311"/>
      <c r="DL1" s="311"/>
      <c r="DM1" s="311"/>
      <c r="DN1" s="311"/>
      <c r="DO1" s="311"/>
      <c r="DP1" s="311"/>
      <c r="DQ1" s="311"/>
      <c r="DR1" s="311"/>
      <c r="DS1" s="311"/>
      <c r="DT1" s="311"/>
      <c r="DU1" s="311"/>
      <c r="DV1" s="311"/>
      <c r="DW1" s="311"/>
      <c r="DX1" s="311"/>
      <c r="DY1" s="311"/>
      <c r="DZ1" s="311"/>
      <c r="EA1" s="311"/>
      <c r="EB1" s="311"/>
      <c r="EC1" s="311"/>
      <c r="ED1" s="311"/>
      <c r="EE1" s="311"/>
      <c r="EF1" s="311"/>
      <c r="EG1" s="311"/>
      <c r="EH1" s="311"/>
      <c r="EI1" s="311"/>
      <c r="EJ1" s="311"/>
      <c r="EK1" s="311"/>
      <c r="EL1" s="311"/>
      <c r="EM1" s="311"/>
      <c r="EN1" s="311"/>
      <c r="EO1" s="311"/>
      <c r="EP1" s="311"/>
      <c r="EQ1" s="311"/>
      <c r="ER1" s="311"/>
      <c r="ES1" s="311"/>
      <c r="ET1" s="311"/>
      <c r="EU1" s="311"/>
      <c r="EV1" s="311"/>
      <c r="EW1" s="311"/>
      <c r="EX1" s="311"/>
    </row>
    <row r="2" spans="1:154" ht="15.75" customHeight="1" x14ac:dyDescent="0.2">
      <c r="A2" s="593" t="s">
        <v>1263</v>
      </c>
      <c r="B2" s="593"/>
      <c r="C2" s="593"/>
    </row>
    <row r="3" spans="1:154" ht="18" customHeight="1" x14ac:dyDescent="0.2">
      <c r="A3" s="595"/>
      <c r="B3" s="596"/>
      <c r="C3" s="597"/>
    </row>
    <row r="4" spans="1:154" ht="20.100000000000001" customHeight="1" x14ac:dyDescent="0.2">
      <c r="A4" s="309" t="s">
        <v>1264</v>
      </c>
      <c r="B4" s="309" t="s">
        <v>1265</v>
      </c>
      <c r="C4" s="306"/>
    </row>
    <row r="5" spans="1:154" ht="21.75" customHeight="1" thickBot="1" x14ac:dyDescent="0.25">
      <c r="A5" s="308"/>
      <c r="B5" s="307"/>
      <c r="C5" s="306"/>
    </row>
    <row r="6" spans="1:154" ht="19.5" customHeight="1" x14ac:dyDescent="0.2">
      <c r="A6" s="593" t="s">
        <v>1266</v>
      </c>
      <c r="B6" s="593"/>
      <c r="C6" s="593"/>
      <c r="D6" s="305"/>
    </row>
    <row r="7" spans="1:154" ht="18.75" customHeight="1" x14ac:dyDescent="0.2">
      <c r="A7" s="590"/>
      <c r="B7" s="591"/>
      <c r="C7" s="592"/>
      <c r="D7" s="304"/>
    </row>
    <row r="8" spans="1:154" ht="18.75" customHeight="1" x14ac:dyDescent="0.2">
      <c r="A8" s="590"/>
      <c r="B8" s="591"/>
      <c r="C8" s="592"/>
      <c r="D8" s="304"/>
    </row>
    <row r="9" spans="1:154" ht="18.75" customHeight="1" x14ac:dyDescent="0.2">
      <c r="A9" s="590"/>
      <c r="B9" s="591"/>
      <c r="C9" s="592"/>
      <c r="D9" s="304"/>
    </row>
    <row r="10" spans="1:154" ht="18.75" customHeight="1" x14ac:dyDescent="0.2">
      <c r="A10" s="590"/>
      <c r="B10" s="591"/>
      <c r="C10" s="592"/>
      <c r="D10" s="304"/>
    </row>
    <row r="11" spans="1:154" ht="18.75" customHeight="1" x14ac:dyDescent="0.2">
      <c r="A11" s="590"/>
      <c r="B11" s="591"/>
      <c r="C11" s="592"/>
      <c r="D11" s="303"/>
    </row>
    <row r="12" spans="1:154" s="295" customFormat="1" ht="26.25" customHeight="1" x14ac:dyDescent="0.25">
      <c r="A12" s="594" t="s">
        <v>1267</v>
      </c>
      <c r="B12" s="594"/>
      <c r="C12" s="594"/>
    </row>
    <row r="13" spans="1:154" ht="24.95" customHeight="1" x14ac:dyDescent="0.2">
      <c r="A13" s="595" t="s">
        <v>1268</v>
      </c>
      <c r="B13" s="596"/>
      <c r="C13" s="597"/>
    </row>
    <row r="14" spans="1:154" ht="51.75" customHeight="1" x14ac:dyDescent="0.2">
      <c r="A14" s="590"/>
      <c r="B14" s="591"/>
      <c r="C14" s="592"/>
    </row>
    <row r="15" spans="1:154" ht="24.95" customHeight="1" x14ac:dyDescent="0.2">
      <c r="A15" s="595" t="s">
        <v>1269</v>
      </c>
      <c r="B15" s="596"/>
      <c r="C15" s="597"/>
    </row>
    <row r="16" spans="1:154" ht="51" customHeight="1" x14ac:dyDescent="0.2">
      <c r="A16" s="590"/>
      <c r="B16" s="591"/>
      <c r="C16" s="592"/>
    </row>
    <row r="17" spans="1:3" ht="24.95" customHeight="1" x14ac:dyDescent="0.2">
      <c r="A17" s="595" t="s">
        <v>1270</v>
      </c>
      <c r="B17" s="596"/>
      <c r="C17" s="597"/>
    </row>
    <row r="18" spans="1:3" ht="51.75" customHeight="1" x14ac:dyDescent="0.2">
      <c r="A18" s="590"/>
      <c r="B18" s="591"/>
      <c r="C18" s="592"/>
    </row>
    <row r="19" spans="1:3" s="295" customFormat="1" ht="20.100000000000001" customHeight="1" x14ac:dyDescent="0.25">
      <c r="A19" s="593" t="s">
        <v>1271</v>
      </c>
      <c r="B19" s="593"/>
      <c r="C19" s="593"/>
    </row>
    <row r="20" spans="1:3" ht="24.95" customHeight="1" x14ac:dyDescent="0.2">
      <c r="A20" s="595" t="s">
        <v>1272</v>
      </c>
      <c r="B20" s="596"/>
      <c r="C20" s="597"/>
    </row>
    <row r="21" spans="1:3" ht="57.75" customHeight="1" x14ac:dyDescent="0.2">
      <c r="A21" s="590"/>
      <c r="B21" s="591"/>
      <c r="C21" s="592"/>
    </row>
    <row r="22" spans="1:3" ht="24.95" customHeight="1" x14ac:dyDescent="0.2">
      <c r="A22" s="595" t="s">
        <v>1273</v>
      </c>
      <c r="B22" s="596"/>
      <c r="C22" s="597"/>
    </row>
    <row r="23" spans="1:3" ht="50.25" customHeight="1" x14ac:dyDescent="0.2">
      <c r="A23" s="590"/>
      <c r="B23" s="591"/>
      <c r="C23" s="592"/>
    </row>
    <row r="24" spans="1:3" ht="24.95" customHeight="1" x14ac:dyDescent="0.2">
      <c r="A24" s="595" t="s">
        <v>1274</v>
      </c>
      <c r="B24" s="596"/>
      <c r="C24" s="597"/>
    </row>
    <row r="25" spans="1:3" ht="51" customHeight="1" x14ac:dyDescent="0.2">
      <c r="A25" s="590"/>
      <c r="B25" s="591"/>
      <c r="C25" s="592"/>
    </row>
    <row r="26" spans="1:3" s="295" customFormat="1" ht="20.100000000000001" customHeight="1" x14ac:dyDescent="0.25">
      <c r="A26" s="593" t="s">
        <v>1275</v>
      </c>
      <c r="B26" s="593"/>
      <c r="C26" s="593"/>
    </row>
    <row r="27" spans="1:3" ht="24.95" customHeight="1" x14ac:dyDescent="0.2">
      <c r="A27" s="595" t="s">
        <v>1276</v>
      </c>
      <c r="B27" s="596"/>
      <c r="C27" s="597"/>
    </row>
    <row r="28" spans="1:3" ht="65.099999999999994" customHeight="1" x14ac:dyDescent="0.2">
      <c r="A28" s="590"/>
      <c r="B28" s="591"/>
      <c r="C28" s="592"/>
    </row>
    <row r="29" spans="1:3" ht="24.95" customHeight="1" x14ac:dyDescent="0.2">
      <c r="A29" s="595" t="s">
        <v>1277</v>
      </c>
      <c r="B29" s="596"/>
      <c r="C29" s="597"/>
    </row>
    <row r="30" spans="1:3" ht="65.099999999999994" customHeight="1" x14ac:dyDescent="0.2">
      <c r="A30" s="590"/>
      <c r="B30" s="591"/>
      <c r="C30" s="592"/>
    </row>
    <row r="31" spans="1:3" ht="24.95" customHeight="1" x14ac:dyDescent="0.2">
      <c r="A31" s="595" t="s">
        <v>1278</v>
      </c>
      <c r="B31" s="596"/>
      <c r="C31" s="597"/>
    </row>
    <row r="32" spans="1:3" ht="65.099999999999994" customHeight="1" x14ac:dyDescent="0.2">
      <c r="A32" s="590"/>
      <c r="B32" s="591"/>
      <c r="C32" s="592"/>
    </row>
    <row r="33" spans="1:3" ht="24.95" customHeight="1" x14ac:dyDescent="0.2">
      <c r="A33" s="595" t="s">
        <v>1279</v>
      </c>
      <c r="B33" s="596"/>
      <c r="C33" s="597"/>
    </row>
    <row r="34" spans="1:3" ht="65.099999999999994" customHeight="1" x14ac:dyDescent="0.2">
      <c r="A34" s="590"/>
      <c r="B34" s="591"/>
      <c r="C34" s="592"/>
    </row>
    <row r="35" spans="1:3" ht="24.95" customHeight="1" x14ac:dyDescent="0.2">
      <c r="A35" s="595" t="s">
        <v>1280</v>
      </c>
      <c r="B35" s="596"/>
      <c r="C35" s="597"/>
    </row>
    <row r="36" spans="1:3" ht="65.099999999999994" customHeight="1" x14ac:dyDescent="0.2">
      <c r="A36" s="590"/>
      <c r="B36" s="591"/>
      <c r="C36" s="592"/>
    </row>
    <row r="37" spans="1:3" ht="9.9499999999999993" customHeight="1" x14ac:dyDescent="0.2">
      <c r="A37" s="302"/>
      <c r="B37" s="302"/>
      <c r="C37" s="302"/>
    </row>
    <row r="38" spans="1:3" s="295" customFormat="1" ht="20.100000000000001" customHeight="1" x14ac:dyDescent="0.25">
      <c r="A38" s="593" t="s">
        <v>1281</v>
      </c>
      <c r="B38" s="593"/>
      <c r="C38" s="593"/>
    </row>
    <row r="39" spans="1:3" ht="24.95" customHeight="1" x14ac:dyDescent="0.2">
      <c r="A39" s="595" t="s">
        <v>1282</v>
      </c>
      <c r="B39" s="596"/>
      <c r="C39" s="597"/>
    </row>
    <row r="40" spans="1:3" ht="26.25" customHeight="1" x14ac:dyDescent="0.2">
      <c r="A40" s="590"/>
      <c r="B40" s="591"/>
      <c r="C40" s="592"/>
    </row>
    <row r="41" spans="1:3" ht="24.95" customHeight="1" x14ac:dyDescent="0.2">
      <c r="A41" s="595" t="s">
        <v>1283</v>
      </c>
      <c r="B41" s="596"/>
      <c r="C41" s="597"/>
    </row>
    <row r="42" spans="1:3" ht="24.75" customHeight="1" x14ac:dyDescent="0.2">
      <c r="A42" s="590"/>
      <c r="B42" s="591"/>
      <c r="C42" s="592"/>
    </row>
    <row r="43" spans="1:3" ht="20.25" customHeight="1" x14ac:dyDescent="0.2">
      <c r="A43" s="603" t="s">
        <v>1284</v>
      </c>
      <c r="B43" s="603"/>
      <c r="C43" s="603"/>
    </row>
    <row r="44" spans="1:3" s="295" customFormat="1" ht="20.100000000000001" customHeight="1" x14ac:dyDescent="0.25">
      <c r="A44" s="593" t="s">
        <v>1285</v>
      </c>
      <c r="B44" s="593"/>
      <c r="C44" s="593"/>
    </row>
    <row r="45" spans="1:3" ht="20.100000000000001" customHeight="1" x14ac:dyDescent="0.2">
      <c r="A45" s="300" t="s">
        <v>1286</v>
      </c>
      <c r="B45" s="301" t="s">
        <v>1287</v>
      </c>
      <c r="C45" s="300" t="s">
        <v>1288</v>
      </c>
    </row>
    <row r="46" spans="1:3" ht="25.5" x14ac:dyDescent="0.2">
      <c r="A46" s="299" t="s">
        <v>1289</v>
      </c>
      <c r="B46" s="298"/>
      <c r="C46" s="299"/>
    </row>
    <row r="47" spans="1:3" ht="22.5" customHeight="1" x14ac:dyDescent="0.2">
      <c r="A47" s="297" t="s">
        <v>1290</v>
      </c>
      <c r="B47" s="298"/>
      <c r="C47" s="297"/>
    </row>
    <row r="48" spans="1:3" ht="22.5" customHeight="1" x14ac:dyDescent="0.2">
      <c r="A48" s="299" t="s">
        <v>1291</v>
      </c>
      <c r="B48" s="298"/>
      <c r="C48" s="299"/>
    </row>
    <row r="49" spans="1:3" ht="24.75" customHeight="1" x14ac:dyDescent="0.2">
      <c r="A49" s="297" t="s">
        <v>1292</v>
      </c>
      <c r="B49" s="298"/>
      <c r="C49" s="297"/>
    </row>
    <row r="50" spans="1:3" ht="24.75" customHeight="1" x14ac:dyDescent="0.2">
      <c r="A50" s="299" t="s">
        <v>1293</v>
      </c>
      <c r="B50" s="298"/>
      <c r="C50" s="299"/>
    </row>
    <row r="51" spans="1:3" ht="22.5" customHeight="1" x14ac:dyDescent="0.2">
      <c r="A51" s="297" t="s">
        <v>1294</v>
      </c>
      <c r="B51" s="298"/>
      <c r="C51" s="297"/>
    </row>
    <row r="52" spans="1:3" s="295" customFormat="1" ht="20.100000000000001" customHeight="1" x14ac:dyDescent="0.25">
      <c r="A52" s="593" t="s">
        <v>1295</v>
      </c>
      <c r="B52" s="593"/>
      <c r="C52" s="593"/>
    </row>
    <row r="53" spans="1:3" ht="20.100000000000001" customHeight="1" x14ac:dyDescent="0.2">
      <c r="A53" s="300" t="s">
        <v>1286</v>
      </c>
      <c r="B53" s="301" t="s">
        <v>1287</v>
      </c>
      <c r="C53" s="300" t="s">
        <v>1288</v>
      </c>
    </row>
    <row r="54" spans="1:3" ht="25.5" customHeight="1" x14ac:dyDescent="0.2">
      <c r="A54" s="299" t="s">
        <v>1296</v>
      </c>
      <c r="B54" s="298"/>
      <c r="C54" s="299"/>
    </row>
    <row r="55" spans="1:3" ht="35.1" customHeight="1" x14ac:dyDescent="0.2">
      <c r="A55" s="297" t="s">
        <v>1297</v>
      </c>
      <c r="B55" s="298"/>
      <c r="C55" s="297"/>
    </row>
    <row r="56" spans="1:3" ht="35.1" customHeight="1" x14ac:dyDescent="0.2">
      <c r="A56" s="299" t="s">
        <v>1298</v>
      </c>
      <c r="B56" s="298"/>
      <c r="C56" s="299" t="s">
        <v>1299</v>
      </c>
    </row>
    <row r="57" spans="1:3" ht="35.1" customHeight="1" x14ac:dyDescent="0.2">
      <c r="A57" s="297" t="s">
        <v>1300</v>
      </c>
      <c r="B57" s="298"/>
      <c r="C57" s="297"/>
    </row>
    <row r="58" spans="1:3" ht="35.1" customHeight="1" x14ac:dyDescent="0.2">
      <c r="A58" s="299" t="s">
        <v>1301</v>
      </c>
      <c r="B58" s="298"/>
      <c r="C58" s="299" t="s">
        <v>1302</v>
      </c>
    </row>
    <row r="59" spans="1:3" s="295" customFormat="1" ht="20.100000000000001" customHeight="1" x14ac:dyDescent="0.25">
      <c r="A59" s="593" t="s">
        <v>1303</v>
      </c>
      <c r="B59" s="593"/>
      <c r="C59" s="593"/>
    </row>
    <row r="60" spans="1:3" ht="20.100000000000001" customHeight="1" x14ac:dyDescent="0.2">
      <c r="A60" s="300" t="s">
        <v>1286</v>
      </c>
      <c r="B60" s="301" t="s">
        <v>1287</v>
      </c>
      <c r="C60" s="300" t="s">
        <v>1288</v>
      </c>
    </row>
    <row r="61" spans="1:3" ht="26.25" customHeight="1" x14ac:dyDescent="0.2">
      <c r="A61" s="299" t="s">
        <v>1304</v>
      </c>
      <c r="B61" s="298" t="s">
        <v>1028</v>
      </c>
      <c r="C61" s="299"/>
    </row>
    <row r="62" spans="1:3" ht="35.1" customHeight="1" x14ac:dyDescent="0.2">
      <c r="A62" s="297" t="s">
        <v>1305</v>
      </c>
      <c r="B62" s="298"/>
      <c r="C62" s="297"/>
    </row>
    <row r="63" spans="1:3" ht="35.1" customHeight="1" x14ac:dyDescent="0.2">
      <c r="A63" s="299" t="s">
        <v>1306</v>
      </c>
      <c r="B63" s="298"/>
      <c r="C63" s="299" t="s">
        <v>1307</v>
      </c>
    </row>
    <row r="64" spans="1:3" ht="35.1" customHeight="1" x14ac:dyDescent="0.2">
      <c r="A64" s="297" t="s">
        <v>1308</v>
      </c>
      <c r="B64" s="298"/>
      <c r="C64" s="297"/>
    </row>
    <row r="65" spans="1:4" ht="35.1" customHeight="1" x14ac:dyDescent="0.2">
      <c r="A65" s="299" t="s">
        <v>1309</v>
      </c>
      <c r="B65" s="298"/>
      <c r="C65" s="299"/>
    </row>
    <row r="66" spans="1:4" ht="28.5" customHeight="1" x14ac:dyDescent="0.2">
      <c r="A66" s="297" t="s">
        <v>1310</v>
      </c>
      <c r="B66" s="298"/>
      <c r="C66" s="297" t="s">
        <v>1311</v>
      </c>
    </row>
    <row r="67" spans="1:4" ht="24.75" customHeight="1" x14ac:dyDescent="0.2">
      <c r="A67" s="299" t="s">
        <v>1312</v>
      </c>
      <c r="B67" s="298"/>
      <c r="C67" s="299"/>
    </row>
    <row r="68" spans="1:4" s="295" customFormat="1" ht="20.100000000000001" customHeight="1" x14ac:dyDescent="0.25">
      <c r="A68" s="593" t="s">
        <v>1313</v>
      </c>
      <c r="B68" s="593"/>
      <c r="C68" s="593"/>
    </row>
    <row r="69" spans="1:4" ht="20.100000000000001" customHeight="1" x14ac:dyDescent="0.2">
      <c r="A69" s="300" t="s">
        <v>1286</v>
      </c>
      <c r="B69" s="301" t="s">
        <v>1287</v>
      </c>
      <c r="C69" s="300" t="s">
        <v>1288</v>
      </c>
    </row>
    <row r="70" spans="1:4" ht="28.5" customHeight="1" x14ac:dyDescent="0.2">
      <c r="A70" s="299" t="s">
        <v>1314</v>
      </c>
      <c r="B70" s="298"/>
      <c r="C70" s="299" t="s">
        <v>1315</v>
      </c>
    </row>
    <row r="71" spans="1:4" ht="25.5" customHeight="1" x14ac:dyDescent="0.2">
      <c r="A71" s="297" t="s">
        <v>1316</v>
      </c>
      <c r="B71" s="298"/>
      <c r="C71" s="297" t="s">
        <v>1317</v>
      </c>
    </row>
    <row r="72" spans="1:4" ht="26.25" customHeight="1" x14ac:dyDescent="0.2">
      <c r="A72" s="299" t="s">
        <v>1318</v>
      </c>
      <c r="B72" s="298"/>
      <c r="C72" s="299"/>
    </row>
    <row r="73" spans="1:4" ht="24.75" customHeight="1" x14ac:dyDescent="0.2">
      <c r="A73" s="297" t="s">
        <v>1319</v>
      </c>
      <c r="B73" s="298"/>
      <c r="C73" s="297"/>
    </row>
    <row r="74" spans="1:4" ht="24" customHeight="1" x14ac:dyDescent="0.2">
      <c r="A74" s="299" t="s">
        <v>1320</v>
      </c>
      <c r="B74" s="298"/>
      <c r="C74" s="299" t="s">
        <v>1321</v>
      </c>
    </row>
    <row r="75" spans="1:4" ht="28.5" customHeight="1" x14ac:dyDescent="0.2">
      <c r="A75" s="297" t="s">
        <v>1322</v>
      </c>
      <c r="B75" s="298"/>
      <c r="C75" s="297"/>
    </row>
    <row r="76" spans="1:4" ht="24" customHeight="1" x14ac:dyDescent="0.2">
      <c r="A76" s="299" t="s">
        <v>1323</v>
      </c>
      <c r="B76" s="298"/>
      <c r="C76" s="299"/>
    </row>
    <row r="77" spans="1:4" ht="25.5" customHeight="1" x14ac:dyDescent="0.2">
      <c r="A77" s="297" t="s">
        <v>1324</v>
      </c>
      <c r="B77" s="298"/>
      <c r="C77" s="297"/>
    </row>
    <row r="78" spans="1:4" ht="14.25" customHeight="1" x14ac:dyDescent="0.2">
      <c r="A78" s="600"/>
      <c r="B78" s="600"/>
      <c r="C78" s="600"/>
    </row>
    <row r="79" spans="1:4" s="295" customFormat="1" ht="20.100000000000001" customHeight="1" thickBot="1" x14ac:dyDescent="0.3">
      <c r="A79" s="296" t="s">
        <v>1325</v>
      </c>
      <c r="B79" s="296"/>
      <c r="C79" s="296"/>
      <c r="D79" s="276"/>
    </row>
    <row r="80" spans="1:4" ht="32.25" customHeight="1" x14ac:dyDescent="0.2">
      <c r="A80" s="598" t="s">
        <v>1326</v>
      </c>
      <c r="B80" s="599"/>
      <c r="C80" s="599"/>
    </row>
    <row r="81" spans="1:4" ht="19.5" customHeight="1" x14ac:dyDescent="0.2">
      <c r="A81" s="252"/>
      <c r="B81" s="294" t="s">
        <v>1327</v>
      </c>
      <c r="C81" s="291" t="s">
        <v>1328</v>
      </c>
    </row>
    <row r="82" spans="1:4" ht="12.75" x14ac:dyDescent="0.2">
      <c r="A82" s="586" t="s">
        <v>1329</v>
      </c>
      <c r="B82" s="293"/>
      <c r="C82" s="251"/>
    </row>
    <row r="83" spans="1:4" ht="12.75" x14ac:dyDescent="0.2">
      <c r="A83" s="587"/>
      <c r="B83" s="293"/>
      <c r="C83" s="251"/>
    </row>
    <row r="84" spans="1:4" ht="12.75" x14ac:dyDescent="0.2">
      <c r="A84" s="587"/>
      <c r="B84" s="293"/>
      <c r="C84" s="251"/>
    </row>
    <row r="85" spans="1:4" ht="12.75" x14ac:dyDescent="0.2">
      <c r="A85" s="587"/>
      <c r="B85" s="293"/>
      <c r="C85" s="251"/>
    </row>
    <row r="86" spans="1:4" ht="12.75" x14ac:dyDescent="0.2">
      <c r="A86" s="588"/>
      <c r="B86" s="293"/>
      <c r="C86" s="251"/>
    </row>
    <row r="87" spans="1:4" ht="12.75" x14ac:dyDescent="0.2">
      <c r="A87" s="604" t="s">
        <v>1330</v>
      </c>
      <c r="B87" s="293"/>
      <c r="C87" s="251"/>
    </row>
    <row r="88" spans="1:4" ht="15.75" customHeight="1" x14ac:dyDescent="0.2">
      <c r="A88" s="605"/>
      <c r="B88" s="293"/>
      <c r="C88" s="251"/>
    </row>
    <row r="89" spans="1:4" ht="13.5" customHeight="1" x14ac:dyDescent="0.2">
      <c r="A89" s="606"/>
      <c r="B89" s="293"/>
      <c r="C89" s="292"/>
    </row>
    <row r="90" spans="1:4" ht="26.25" customHeight="1" x14ac:dyDescent="0.2">
      <c r="A90" s="280" t="s">
        <v>1331</v>
      </c>
      <c r="B90" s="291" t="s">
        <v>1332</v>
      </c>
      <c r="C90" s="291"/>
    </row>
    <row r="91" spans="1:4" ht="12.75" x14ac:dyDescent="0.2">
      <c r="A91" s="277"/>
      <c r="B91" s="278"/>
      <c r="C91" s="278"/>
      <c r="D91" s="277"/>
    </row>
    <row r="92" spans="1:4" ht="21" customHeight="1" x14ac:dyDescent="0.2">
      <c r="A92" s="601" t="s">
        <v>1333</v>
      </c>
      <c r="B92" s="602"/>
      <c r="C92" s="277"/>
      <c r="D92" s="277"/>
    </row>
    <row r="93" spans="1:4" ht="21" customHeight="1" x14ac:dyDescent="0.2">
      <c r="A93" s="290" t="s">
        <v>1334</v>
      </c>
      <c r="B93" s="289" t="s">
        <v>953</v>
      </c>
      <c r="C93" s="277"/>
      <c r="D93" s="277"/>
    </row>
    <row r="94" spans="1:4" ht="20.25" customHeight="1" x14ac:dyDescent="0.2">
      <c r="A94" s="280" t="s">
        <v>1335</v>
      </c>
      <c r="B94" s="288" t="s">
        <v>1336</v>
      </c>
      <c r="C94" s="277"/>
      <c r="D94" s="277"/>
    </row>
    <row r="95" spans="1:4" ht="18" customHeight="1" x14ac:dyDescent="0.2">
      <c r="A95" s="282" t="s">
        <v>1337</v>
      </c>
      <c r="B95" s="288" t="s">
        <v>1336</v>
      </c>
      <c r="C95" s="278"/>
      <c r="D95" s="277"/>
    </row>
    <row r="96" spans="1:4" ht="19.5" customHeight="1" x14ac:dyDescent="0.2">
      <c r="A96" s="280" t="s">
        <v>1338</v>
      </c>
      <c r="B96" s="287" t="s">
        <v>968</v>
      </c>
      <c r="C96" s="278"/>
      <c r="D96" s="277"/>
    </row>
    <row r="97" spans="1:4" ht="18" customHeight="1" x14ac:dyDescent="0.2">
      <c r="A97" s="282" t="s">
        <v>1339</v>
      </c>
      <c r="B97" s="287" t="s">
        <v>968</v>
      </c>
      <c r="C97" s="278"/>
      <c r="D97" s="277"/>
    </row>
    <row r="98" spans="1:4" ht="21" customHeight="1" x14ac:dyDescent="0.2">
      <c r="A98" s="280" t="s">
        <v>1340</v>
      </c>
      <c r="B98" s="281"/>
      <c r="C98" s="278"/>
      <c r="D98" s="277"/>
    </row>
    <row r="99" spans="1:4" ht="20.25" customHeight="1" x14ac:dyDescent="0.2">
      <c r="A99" s="282" t="s">
        <v>1341</v>
      </c>
      <c r="B99" s="286" t="s">
        <v>968</v>
      </c>
      <c r="C99" s="278"/>
      <c r="D99" s="277"/>
    </row>
    <row r="100" spans="1:4" ht="24" customHeight="1" x14ac:dyDescent="0.2">
      <c r="A100" s="280" t="s">
        <v>1342</v>
      </c>
      <c r="B100" s="281"/>
      <c r="C100" s="278"/>
      <c r="D100" s="277"/>
    </row>
    <row r="101" spans="1:4" ht="21" customHeight="1" x14ac:dyDescent="0.2">
      <c r="A101" s="282" t="s">
        <v>1343</v>
      </c>
      <c r="B101" s="281"/>
      <c r="C101" s="278"/>
      <c r="D101" s="277"/>
    </row>
    <row r="102" spans="1:4" ht="22.5" customHeight="1" x14ac:dyDescent="0.2">
      <c r="A102" s="280" t="s">
        <v>1344</v>
      </c>
      <c r="B102" s="285"/>
      <c r="C102" s="278"/>
      <c r="D102" s="277"/>
    </row>
    <row r="103" spans="1:4" ht="19.5" customHeight="1" x14ac:dyDescent="0.2">
      <c r="A103" s="284" t="s">
        <v>1345</v>
      </c>
      <c r="B103" s="283"/>
      <c r="C103" s="278"/>
      <c r="D103" s="277"/>
    </row>
    <row r="104" spans="1:4" ht="20.25" customHeight="1" x14ac:dyDescent="0.2">
      <c r="A104" s="280" t="s">
        <v>1346</v>
      </c>
      <c r="B104" s="283"/>
      <c r="C104" s="278"/>
      <c r="D104" s="277"/>
    </row>
    <row r="105" spans="1:4" ht="19.5" customHeight="1" x14ac:dyDescent="0.2">
      <c r="A105" s="282" t="s">
        <v>1347</v>
      </c>
      <c r="B105" s="281"/>
      <c r="C105" s="278"/>
      <c r="D105" s="277"/>
    </row>
    <row r="106" spans="1:4" ht="17.25" customHeight="1" x14ac:dyDescent="0.2">
      <c r="A106" s="280" t="s">
        <v>1348</v>
      </c>
      <c r="B106" s="279"/>
      <c r="C106" s="278"/>
      <c r="D106" s="277"/>
    </row>
    <row r="107" spans="1:4" ht="12.75" x14ac:dyDescent="0.2">
      <c r="A107" s="277"/>
      <c r="B107" s="278"/>
      <c r="C107" s="278"/>
      <c r="D107" s="277"/>
    </row>
    <row r="108" spans="1:4" ht="12.75" x14ac:dyDescent="0.2">
      <c r="A108" s="277"/>
      <c r="B108" s="278"/>
      <c r="C108" s="278"/>
      <c r="D108" s="277"/>
    </row>
    <row r="109" spans="1:4" ht="12.75" x14ac:dyDescent="0.2">
      <c r="A109" s="277"/>
      <c r="B109" s="278"/>
      <c r="C109" s="278"/>
      <c r="D109" s="277"/>
    </row>
    <row r="110" spans="1:4" ht="12.75" x14ac:dyDescent="0.2">
      <c r="A110" s="277"/>
      <c r="B110" s="278"/>
      <c r="C110" s="278"/>
      <c r="D110" s="277"/>
    </row>
    <row r="111" spans="1:4" ht="12.75" x14ac:dyDescent="0.2">
      <c r="A111" s="277"/>
      <c r="B111" s="278"/>
      <c r="C111" s="278"/>
      <c r="D111" s="277"/>
    </row>
    <row r="112" spans="1:4" ht="12.75" x14ac:dyDescent="0.2">
      <c r="A112" s="277"/>
      <c r="B112" s="278"/>
      <c r="C112" s="278"/>
      <c r="D112" s="277"/>
    </row>
    <row r="113" spans="1:4" ht="12.75" x14ac:dyDescent="0.2">
      <c r="A113" s="277"/>
      <c r="B113" s="278"/>
      <c r="C113" s="278"/>
      <c r="D113" s="277"/>
    </row>
    <row r="114" spans="1:4" ht="12.75" x14ac:dyDescent="0.2">
      <c r="A114" s="277"/>
      <c r="B114" s="278"/>
      <c r="C114" s="278"/>
      <c r="D114" s="277"/>
    </row>
    <row r="115" spans="1:4" ht="12.75" x14ac:dyDescent="0.2">
      <c r="A115" s="277"/>
      <c r="B115" s="278"/>
      <c r="C115" s="278"/>
      <c r="D115" s="277"/>
    </row>
    <row r="116" spans="1:4" ht="12.75" x14ac:dyDescent="0.2">
      <c r="A116" s="277"/>
      <c r="B116" s="278"/>
      <c r="C116" s="278"/>
      <c r="D116" s="277"/>
    </row>
    <row r="117" spans="1:4" ht="12.75" x14ac:dyDescent="0.2">
      <c r="A117" s="277"/>
      <c r="B117" s="278"/>
      <c r="C117" s="278"/>
      <c r="D117" s="277"/>
    </row>
    <row r="118" spans="1:4" ht="12.75" x14ac:dyDescent="0.2">
      <c r="A118" s="277"/>
      <c r="B118" s="278"/>
      <c r="C118" s="278"/>
      <c r="D118" s="277"/>
    </row>
    <row r="119" spans="1:4" ht="12.75" x14ac:dyDescent="0.2">
      <c r="A119" s="277"/>
      <c r="B119" s="278"/>
      <c r="C119" s="278"/>
      <c r="D119" s="277"/>
    </row>
    <row r="120" spans="1:4" ht="12.75" x14ac:dyDescent="0.2">
      <c r="A120" s="277"/>
      <c r="B120" s="278"/>
      <c r="C120" s="278"/>
      <c r="D120" s="277"/>
    </row>
    <row r="121" spans="1:4" ht="12.75" x14ac:dyDescent="0.2">
      <c r="A121" s="277"/>
      <c r="B121" s="278"/>
      <c r="C121" s="278"/>
      <c r="D121" s="277"/>
    </row>
    <row r="122" spans="1:4" ht="12.75" x14ac:dyDescent="0.2">
      <c r="A122" s="277"/>
      <c r="B122" s="278"/>
      <c r="C122" s="278"/>
      <c r="D122" s="277"/>
    </row>
    <row r="123" spans="1:4" ht="12.75" x14ac:dyDescent="0.2">
      <c r="A123" s="277"/>
      <c r="B123" s="278"/>
      <c r="C123" s="278"/>
      <c r="D123" s="277"/>
    </row>
    <row r="124" spans="1:4" ht="12.75" x14ac:dyDescent="0.2">
      <c r="A124" s="277"/>
      <c r="B124" s="278"/>
      <c r="C124" s="278"/>
      <c r="D124" s="277"/>
    </row>
    <row r="125" spans="1:4" ht="12.75" x14ac:dyDescent="0.2">
      <c r="A125" s="277"/>
      <c r="B125" s="278"/>
      <c r="C125" s="278"/>
      <c r="D125" s="277"/>
    </row>
    <row r="126" spans="1:4" ht="12.75" x14ac:dyDescent="0.2">
      <c r="A126" s="277"/>
      <c r="B126" s="278"/>
      <c r="C126" s="278"/>
      <c r="D126" s="277"/>
    </row>
    <row r="127" spans="1:4" ht="12.75" x14ac:dyDescent="0.2">
      <c r="A127" s="277"/>
      <c r="B127" s="278"/>
      <c r="C127" s="278"/>
      <c r="D127" s="277"/>
    </row>
    <row r="128" spans="1:4" ht="12.75" x14ac:dyDescent="0.2">
      <c r="A128" s="277"/>
      <c r="B128" s="278"/>
      <c r="C128" s="278"/>
      <c r="D128" s="277"/>
    </row>
    <row r="129" spans="1:4" ht="12.75" x14ac:dyDescent="0.2">
      <c r="A129" s="277"/>
      <c r="B129" s="278"/>
      <c r="C129" s="278"/>
      <c r="D129" s="277"/>
    </row>
    <row r="130" spans="1:4" ht="12.75" x14ac:dyDescent="0.2">
      <c r="A130" s="277"/>
      <c r="B130" s="278"/>
      <c r="C130" s="278"/>
      <c r="D130" s="277"/>
    </row>
    <row r="131" spans="1:4" ht="12.75" x14ac:dyDescent="0.2">
      <c r="A131" s="277"/>
      <c r="B131" s="278"/>
      <c r="C131" s="278"/>
      <c r="D131" s="277"/>
    </row>
    <row r="132" spans="1:4" ht="12.75" x14ac:dyDescent="0.2">
      <c r="A132" s="277"/>
      <c r="B132" s="278"/>
      <c r="C132" s="278"/>
      <c r="D132" s="277"/>
    </row>
    <row r="133" spans="1:4" ht="12.75" x14ac:dyDescent="0.2">
      <c r="A133" s="277"/>
      <c r="B133" s="278"/>
      <c r="C133" s="278"/>
      <c r="D133" s="277"/>
    </row>
    <row r="134" spans="1:4" ht="12.75" x14ac:dyDescent="0.2">
      <c r="A134" s="277"/>
      <c r="B134" s="278"/>
      <c r="C134" s="278"/>
      <c r="D134" s="277"/>
    </row>
    <row r="135" spans="1:4" ht="12.75" x14ac:dyDescent="0.2">
      <c r="A135" s="277"/>
      <c r="B135" s="278"/>
      <c r="C135" s="278"/>
      <c r="D135" s="277"/>
    </row>
    <row r="136" spans="1:4" ht="12.75" x14ac:dyDescent="0.2">
      <c r="A136" s="277"/>
      <c r="B136" s="278"/>
      <c r="C136" s="278"/>
      <c r="D136" s="277"/>
    </row>
    <row r="137" spans="1:4" ht="12.75" x14ac:dyDescent="0.2">
      <c r="A137" s="277"/>
      <c r="B137" s="278"/>
      <c r="C137" s="278"/>
      <c r="D137" s="277"/>
    </row>
    <row r="138" spans="1:4" ht="12.75" x14ac:dyDescent="0.2">
      <c r="A138" s="277"/>
      <c r="B138" s="278"/>
      <c r="C138" s="278"/>
      <c r="D138" s="277"/>
    </row>
    <row r="139" spans="1:4" ht="12.75" x14ac:dyDescent="0.2">
      <c r="A139" s="277"/>
      <c r="B139" s="278"/>
      <c r="C139" s="278"/>
      <c r="D139" s="277"/>
    </row>
    <row r="140" spans="1:4" ht="12.75" x14ac:dyDescent="0.2">
      <c r="A140" s="277"/>
      <c r="B140" s="278"/>
      <c r="C140" s="278"/>
      <c r="D140" s="277"/>
    </row>
    <row r="141" spans="1:4" ht="12.75" x14ac:dyDescent="0.2">
      <c r="A141" s="277"/>
      <c r="B141" s="278"/>
      <c r="C141" s="278"/>
      <c r="D141" s="277"/>
    </row>
    <row r="142" spans="1:4" ht="12.75" x14ac:dyDescent="0.2">
      <c r="A142" s="277"/>
      <c r="B142" s="278"/>
      <c r="C142" s="278"/>
      <c r="D142" s="277"/>
    </row>
    <row r="143" spans="1:4" ht="12.75" x14ac:dyDescent="0.2">
      <c r="A143" s="277"/>
      <c r="B143" s="278"/>
      <c r="C143" s="278"/>
      <c r="D143" s="277"/>
    </row>
    <row r="144" spans="1:4" ht="12.75" x14ac:dyDescent="0.2">
      <c r="A144" s="277"/>
      <c r="B144" s="278"/>
      <c r="C144" s="278"/>
      <c r="D144" s="277"/>
    </row>
    <row r="145" spans="1:4" ht="12.75" x14ac:dyDescent="0.2">
      <c r="A145" s="277"/>
      <c r="B145" s="278"/>
      <c r="C145" s="278"/>
      <c r="D145" s="277"/>
    </row>
    <row r="146" spans="1:4" ht="12.75" x14ac:dyDescent="0.2">
      <c r="A146" s="277"/>
      <c r="B146" s="278"/>
      <c r="C146" s="278"/>
      <c r="D146" s="277"/>
    </row>
    <row r="147" spans="1:4" ht="12.75" x14ac:dyDescent="0.2">
      <c r="A147" s="277"/>
      <c r="B147" s="278"/>
      <c r="C147" s="278"/>
      <c r="D147" s="277"/>
    </row>
    <row r="148" spans="1:4" ht="12.75" x14ac:dyDescent="0.2">
      <c r="A148" s="277"/>
      <c r="B148" s="278"/>
      <c r="C148" s="278"/>
      <c r="D148" s="277"/>
    </row>
    <row r="149" spans="1:4" ht="12.75" x14ac:dyDescent="0.2">
      <c r="A149" s="277"/>
      <c r="B149" s="278"/>
      <c r="C149" s="278"/>
      <c r="D149" s="277"/>
    </row>
    <row r="150" spans="1:4" ht="12.75" x14ac:dyDescent="0.2">
      <c r="A150" s="277"/>
      <c r="B150" s="278"/>
      <c r="C150" s="278"/>
      <c r="D150" s="277"/>
    </row>
    <row r="151" spans="1:4" ht="12.75" x14ac:dyDescent="0.2">
      <c r="A151" s="277"/>
      <c r="B151" s="278"/>
      <c r="C151" s="278"/>
      <c r="D151" s="277"/>
    </row>
    <row r="152" spans="1:4" ht="12.75" x14ac:dyDescent="0.2">
      <c r="A152" s="277"/>
      <c r="B152" s="278"/>
      <c r="C152" s="278"/>
      <c r="D152" s="277"/>
    </row>
    <row r="153" spans="1:4" ht="12.75" x14ac:dyDescent="0.2">
      <c r="A153" s="277"/>
      <c r="B153" s="278"/>
      <c r="C153" s="278"/>
      <c r="D153" s="277"/>
    </row>
    <row r="154" spans="1:4" ht="12.75" x14ac:dyDescent="0.2">
      <c r="A154" s="277"/>
      <c r="B154" s="278"/>
      <c r="C154" s="278"/>
      <c r="D154" s="277"/>
    </row>
    <row r="155" spans="1:4" ht="12.75" x14ac:dyDescent="0.2">
      <c r="A155" s="277"/>
      <c r="B155" s="278"/>
      <c r="C155" s="278"/>
      <c r="D155" s="277"/>
    </row>
    <row r="156" spans="1:4" ht="12.75" x14ac:dyDescent="0.2">
      <c r="A156" s="277"/>
      <c r="B156" s="278"/>
      <c r="C156" s="278"/>
      <c r="D156" s="277"/>
    </row>
    <row r="157" spans="1:4" ht="12.75" x14ac:dyDescent="0.2">
      <c r="A157" s="277"/>
      <c r="B157" s="278"/>
      <c r="C157" s="278"/>
      <c r="D157" s="277"/>
    </row>
    <row r="158" spans="1:4" ht="12.75" x14ac:dyDescent="0.2">
      <c r="A158" s="277"/>
      <c r="B158" s="278"/>
      <c r="C158" s="278"/>
      <c r="D158" s="277"/>
    </row>
    <row r="159" spans="1:4" ht="12.75" x14ac:dyDescent="0.2">
      <c r="A159" s="277"/>
      <c r="B159" s="278"/>
      <c r="C159" s="278"/>
      <c r="D159" s="277"/>
    </row>
    <row r="160" spans="1:4" ht="12.75" x14ac:dyDescent="0.2">
      <c r="A160" s="277"/>
      <c r="B160" s="278"/>
      <c r="C160" s="278"/>
      <c r="D160" s="277"/>
    </row>
    <row r="161" spans="1:4" ht="12.75" x14ac:dyDescent="0.2">
      <c r="A161" s="277"/>
      <c r="B161" s="278"/>
      <c r="C161" s="278"/>
      <c r="D161" s="277"/>
    </row>
    <row r="162" spans="1:4" ht="12.75" x14ac:dyDescent="0.2">
      <c r="A162" s="277"/>
      <c r="B162" s="278"/>
      <c r="C162" s="278"/>
      <c r="D162" s="277"/>
    </row>
    <row r="163" spans="1:4" ht="12.75" x14ac:dyDescent="0.2">
      <c r="A163" s="277"/>
      <c r="B163" s="278"/>
      <c r="C163" s="278"/>
      <c r="D163" s="277"/>
    </row>
    <row r="164" spans="1:4" ht="12.75" x14ac:dyDescent="0.2">
      <c r="A164" s="277"/>
      <c r="B164" s="278"/>
      <c r="C164" s="278"/>
      <c r="D164" s="277"/>
    </row>
    <row r="165" spans="1:4" ht="12.75" x14ac:dyDescent="0.2">
      <c r="A165" s="277"/>
      <c r="B165" s="278"/>
      <c r="C165" s="278"/>
      <c r="D165" s="277"/>
    </row>
    <row r="166" spans="1:4" ht="12.75" x14ac:dyDescent="0.2">
      <c r="A166" s="277"/>
      <c r="B166" s="278"/>
      <c r="C166" s="278"/>
      <c r="D166" s="277"/>
    </row>
    <row r="167" spans="1:4" ht="12.75" x14ac:dyDescent="0.2">
      <c r="A167" s="277"/>
      <c r="B167" s="278"/>
      <c r="C167" s="278"/>
      <c r="D167" s="277"/>
    </row>
    <row r="168" spans="1:4" ht="12.75" x14ac:dyDescent="0.2">
      <c r="A168" s="277"/>
      <c r="B168" s="278"/>
      <c r="C168" s="278"/>
      <c r="D168" s="277"/>
    </row>
    <row r="169" spans="1:4" ht="12.75" x14ac:dyDescent="0.2">
      <c r="A169" s="277"/>
      <c r="B169" s="278"/>
      <c r="C169" s="278"/>
      <c r="D169" s="277"/>
    </row>
    <row r="170" spans="1:4" ht="12.75" x14ac:dyDescent="0.2">
      <c r="A170" s="277"/>
      <c r="B170" s="278"/>
      <c r="C170" s="278"/>
      <c r="D170" s="277"/>
    </row>
    <row r="171" spans="1:4" ht="12.75" x14ac:dyDescent="0.2">
      <c r="A171" s="277"/>
      <c r="B171" s="278"/>
      <c r="C171" s="278"/>
      <c r="D171" s="277"/>
    </row>
    <row r="172" spans="1:4" ht="12.75" x14ac:dyDescent="0.2">
      <c r="A172" s="277"/>
      <c r="B172" s="278"/>
      <c r="C172" s="278"/>
      <c r="D172" s="277"/>
    </row>
    <row r="173" spans="1:4" ht="12.75" x14ac:dyDescent="0.2">
      <c r="A173" s="277"/>
      <c r="B173" s="278"/>
      <c r="C173" s="278"/>
      <c r="D173" s="277"/>
    </row>
    <row r="174" spans="1:4" ht="12.75" x14ac:dyDescent="0.2">
      <c r="A174" s="277"/>
      <c r="B174" s="278"/>
      <c r="C174" s="278"/>
      <c r="D174" s="277"/>
    </row>
    <row r="175" spans="1:4" ht="12.75" x14ac:dyDescent="0.2">
      <c r="A175" s="277"/>
      <c r="B175" s="278"/>
      <c r="C175" s="278"/>
      <c r="D175" s="277"/>
    </row>
    <row r="176" spans="1:4" ht="12.75" x14ac:dyDescent="0.2">
      <c r="A176" s="277"/>
      <c r="B176" s="278"/>
      <c r="C176" s="278"/>
      <c r="D176" s="277"/>
    </row>
    <row r="177" spans="1:4" ht="12.75" x14ac:dyDescent="0.2">
      <c r="A177" s="277"/>
      <c r="B177" s="278"/>
      <c r="C177" s="278"/>
      <c r="D177" s="277"/>
    </row>
    <row r="178" spans="1:4" ht="12.75" x14ac:dyDescent="0.2">
      <c r="A178" s="277"/>
      <c r="B178" s="278"/>
      <c r="C178" s="278"/>
      <c r="D178" s="277"/>
    </row>
    <row r="179" spans="1:4" ht="12.75" x14ac:dyDescent="0.2">
      <c r="A179" s="277"/>
      <c r="B179" s="278"/>
      <c r="C179" s="278"/>
      <c r="D179" s="277"/>
    </row>
    <row r="180" spans="1:4" ht="12.75" x14ac:dyDescent="0.2">
      <c r="A180" s="277"/>
      <c r="B180" s="278"/>
      <c r="C180" s="278"/>
      <c r="D180" s="277"/>
    </row>
    <row r="181" spans="1:4" ht="12.75" x14ac:dyDescent="0.2">
      <c r="A181" s="277"/>
      <c r="B181" s="278"/>
      <c r="C181" s="278"/>
      <c r="D181" s="277"/>
    </row>
    <row r="182" spans="1:4" ht="12.75" x14ac:dyDescent="0.2">
      <c r="A182" s="277"/>
      <c r="B182" s="278"/>
      <c r="C182" s="278"/>
      <c r="D182" s="277"/>
    </row>
    <row r="183" spans="1:4" ht="12.75" x14ac:dyDescent="0.2">
      <c r="A183" s="277"/>
      <c r="B183" s="278"/>
      <c r="C183" s="278"/>
      <c r="D183" s="277"/>
    </row>
    <row r="184" spans="1:4" ht="12.75" x14ac:dyDescent="0.2">
      <c r="A184" s="277"/>
      <c r="B184" s="278"/>
      <c r="C184" s="278"/>
      <c r="D184" s="277"/>
    </row>
    <row r="185" spans="1:4" ht="12.75" x14ac:dyDescent="0.2">
      <c r="A185" s="277"/>
      <c r="B185" s="278"/>
      <c r="C185" s="278"/>
      <c r="D185" s="277"/>
    </row>
    <row r="186" spans="1:4" ht="12.75" x14ac:dyDescent="0.2">
      <c r="A186" s="277"/>
      <c r="B186" s="278"/>
      <c r="C186" s="278"/>
      <c r="D186" s="277"/>
    </row>
    <row r="187" spans="1:4" ht="12.75" x14ac:dyDescent="0.2">
      <c r="A187" s="277"/>
      <c r="B187" s="278"/>
      <c r="C187" s="278"/>
      <c r="D187" s="277"/>
    </row>
    <row r="188" spans="1:4" ht="12.75" x14ac:dyDescent="0.2">
      <c r="A188" s="277"/>
      <c r="B188" s="278"/>
      <c r="C188" s="278"/>
      <c r="D188" s="277"/>
    </row>
    <row r="189" spans="1:4" ht="12.75" x14ac:dyDescent="0.2">
      <c r="A189" s="277"/>
      <c r="B189" s="278"/>
      <c r="C189" s="278"/>
      <c r="D189" s="277"/>
    </row>
    <row r="190" spans="1:4" ht="12.75" x14ac:dyDescent="0.2">
      <c r="A190" s="277"/>
      <c r="B190" s="278"/>
      <c r="C190" s="278"/>
      <c r="D190" s="277"/>
    </row>
    <row r="191" spans="1:4" ht="12.75" x14ac:dyDescent="0.2">
      <c r="A191" s="277"/>
      <c r="B191" s="278"/>
      <c r="C191" s="278"/>
      <c r="D191" s="277"/>
    </row>
    <row r="192" spans="1:4" ht="12.75" x14ac:dyDescent="0.2">
      <c r="A192" s="277"/>
      <c r="B192" s="278"/>
      <c r="C192" s="278"/>
      <c r="D192" s="277"/>
    </row>
    <row r="193" spans="1:4" ht="12.75" x14ac:dyDescent="0.2">
      <c r="A193" s="277"/>
      <c r="B193" s="278"/>
      <c r="C193" s="278"/>
      <c r="D193" s="277"/>
    </row>
    <row r="194" spans="1:4" ht="12.75" x14ac:dyDescent="0.2">
      <c r="A194" s="277"/>
      <c r="B194" s="278"/>
      <c r="C194" s="278"/>
      <c r="D194" s="277"/>
    </row>
    <row r="195" spans="1:4" ht="12.75" x14ac:dyDescent="0.2">
      <c r="A195" s="277"/>
      <c r="B195" s="278"/>
      <c r="C195" s="278"/>
      <c r="D195" s="277"/>
    </row>
    <row r="196" spans="1:4" ht="12.75" x14ac:dyDescent="0.2">
      <c r="A196" s="277"/>
      <c r="B196" s="278"/>
      <c r="C196" s="278"/>
      <c r="D196" s="277"/>
    </row>
    <row r="197" spans="1:4" ht="12.75" x14ac:dyDescent="0.2">
      <c r="A197" s="277"/>
      <c r="B197" s="278"/>
      <c r="C197" s="278"/>
      <c r="D197" s="277"/>
    </row>
    <row r="198" spans="1:4" ht="12.75" x14ac:dyDescent="0.2">
      <c r="A198" s="277"/>
      <c r="B198" s="278"/>
      <c r="C198" s="278"/>
      <c r="D198" s="277"/>
    </row>
    <row r="199" spans="1:4" ht="12.75" x14ac:dyDescent="0.2">
      <c r="A199" s="277"/>
      <c r="B199" s="278"/>
      <c r="C199" s="278"/>
      <c r="D199" s="277"/>
    </row>
    <row r="200" spans="1:4" ht="12.75" x14ac:dyDescent="0.2">
      <c r="A200" s="277"/>
      <c r="B200" s="278"/>
      <c r="C200" s="278"/>
      <c r="D200" s="277"/>
    </row>
    <row r="201" spans="1:4" ht="12.75" x14ac:dyDescent="0.2">
      <c r="A201" s="277"/>
      <c r="B201" s="278"/>
      <c r="C201" s="278"/>
      <c r="D201" s="277"/>
    </row>
    <row r="202" spans="1:4" ht="12.75" x14ac:dyDescent="0.2">
      <c r="A202" s="277"/>
      <c r="B202" s="278"/>
      <c r="C202" s="278"/>
      <c r="D202" s="277"/>
    </row>
    <row r="203" spans="1:4" ht="12.75" x14ac:dyDescent="0.2">
      <c r="A203" s="277"/>
      <c r="B203" s="278"/>
      <c r="C203" s="278"/>
      <c r="D203" s="277"/>
    </row>
    <row r="204" spans="1:4" ht="12.75" x14ac:dyDescent="0.2">
      <c r="A204" s="277"/>
      <c r="B204" s="278"/>
      <c r="C204" s="278"/>
      <c r="D204" s="277"/>
    </row>
    <row r="205" spans="1:4" ht="12.75" x14ac:dyDescent="0.2">
      <c r="A205" s="277"/>
      <c r="B205" s="278"/>
      <c r="C205" s="278"/>
      <c r="D205" s="277"/>
    </row>
    <row r="206" spans="1:4" ht="12.75" x14ac:dyDescent="0.2">
      <c r="A206" s="277"/>
      <c r="B206" s="278"/>
      <c r="C206" s="278"/>
      <c r="D206" s="277"/>
    </row>
    <row r="207" spans="1:4" ht="12.75" x14ac:dyDescent="0.2">
      <c r="A207" s="277"/>
      <c r="B207" s="278"/>
      <c r="C207" s="278"/>
      <c r="D207" s="277"/>
    </row>
    <row r="208" spans="1:4" ht="12.75" x14ac:dyDescent="0.2">
      <c r="A208" s="277"/>
      <c r="B208" s="278"/>
      <c r="C208" s="278"/>
      <c r="D208" s="277"/>
    </row>
    <row r="209" spans="1:4" ht="12.75" x14ac:dyDescent="0.2">
      <c r="A209" s="277"/>
      <c r="B209" s="278"/>
      <c r="C209" s="278"/>
      <c r="D209" s="277"/>
    </row>
    <row r="210" spans="1:4" ht="12.75" x14ac:dyDescent="0.2">
      <c r="A210" s="277"/>
      <c r="B210" s="278"/>
      <c r="C210" s="278"/>
      <c r="D210" s="277"/>
    </row>
    <row r="211" spans="1:4" ht="12.75" x14ac:dyDescent="0.2">
      <c r="A211" s="277"/>
      <c r="B211" s="278"/>
      <c r="C211" s="278"/>
      <c r="D211" s="277"/>
    </row>
    <row r="212" spans="1:4" ht="12.75" x14ac:dyDescent="0.2">
      <c r="A212" s="277"/>
      <c r="B212" s="278"/>
      <c r="C212" s="278"/>
      <c r="D212" s="277"/>
    </row>
    <row r="213" spans="1:4" ht="12.75" x14ac:dyDescent="0.2">
      <c r="A213" s="277"/>
      <c r="B213" s="278"/>
      <c r="C213" s="278"/>
      <c r="D213" s="277"/>
    </row>
    <row r="214" spans="1:4" ht="12.75" x14ac:dyDescent="0.2">
      <c r="A214" s="277"/>
      <c r="B214" s="278"/>
      <c r="C214" s="278"/>
      <c r="D214" s="277"/>
    </row>
    <row r="215" spans="1:4" ht="12.75" x14ac:dyDescent="0.2">
      <c r="A215" s="277"/>
      <c r="B215" s="278"/>
      <c r="C215" s="278"/>
      <c r="D215" s="277"/>
    </row>
    <row r="216" spans="1:4" ht="12.75" x14ac:dyDescent="0.2">
      <c r="A216" s="277"/>
      <c r="B216" s="278"/>
      <c r="C216" s="278"/>
      <c r="D216" s="277"/>
    </row>
    <row r="217" spans="1:4" ht="12.75" x14ac:dyDescent="0.2">
      <c r="A217" s="277"/>
      <c r="B217" s="278"/>
      <c r="C217" s="278"/>
      <c r="D217" s="277"/>
    </row>
    <row r="218" spans="1:4" ht="12.75" x14ac:dyDescent="0.2">
      <c r="A218" s="277"/>
      <c r="B218" s="278"/>
      <c r="C218" s="278"/>
      <c r="D218" s="277"/>
    </row>
    <row r="219" spans="1:4" ht="12.75" x14ac:dyDescent="0.2">
      <c r="A219" s="277"/>
      <c r="B219" s="278"/>
      <c r="C219" s="278"/>
      <c r="D219" s="277"/>
    </row>
    <row r="220" spans="1:4" ht="12.75" x14ac:dyDescent="0.2">
      <c r="A220" s="277"/>
      <c r="B220" s="278"/>
      <c r="C220" s="278"/>
      <c r="D220" s="277"/>
    </row>
    <row r="221" spans="1:4" ht="12.75" x14ac:dyDescent="0.2">
      <c r="A221" s="277"/>
      <c r="B221" s="278"/>
      <c r="C221" s="278"/>
      <c r="D221" s="277"/>
    </row>
    <row r="222" spans="1:4" ht="12.75" x14ac:dyDescent="0.2">
      <c r="A222" s="277"/>
      <c r="B222" s="278"/>
      <c r="C222" s="278"/>
      <c r="D222" s="277"/>
    </row>
    <row r="223" spans="1:4" ht="12.75" x14ac:dyDescent="0.2">
      <c r="A223" s="277"/>
      <c r="B223" s="278"/>
      <c r="C223" s="278"/>
      <c r="D223" s="277"/>
    </row>
    <row r="224" spans="1:4" ht="12.75" x14ac:dyDescent="0.2">
      <c r="A224" s="277"/>
      <c r="B224" s="278"/>
      <c r="C224" s="278"/>
      <c r="D224" s="277"/>
    </row>
    <row r="225" spans="1:4" ht="12.75" x14ac:dyDescent="0.2">
      <c r="A225" s="277"/>
      <c r="B225" s="278"/>
      <c r="C225" s="278"/>
      <c r="D225" s="277"/>
    </row>
    <row r="226" spans="1:4" ht="12.75" x14ac:dyDescent="0.2">
      <c r="A226" s="277"/>
      <c r="B226" s="278"/>
      <c r="C226" s="278"/>
      <c r="D226" s="277"/>
    </row>
    <row r="227" spans="1:4" ht="12.75" x14ac:dyDescent="0.2">
      <c r="A227" s="277"/>
      <c r="B227" s="278"/>
      <c r="C227" s="278"/>
      <c r="D227" s="277"/>
    </row>
    <row r="228" spans="1:4" ht="12.75" x14ac:dyDescent="0.2">
      <c r="A228" s="277"/>
      <c r="B228" s="278"/>
      <c r="C228" s="278"/>
      <c r="D228" s="277"/>
    </row>
    <row r="229" spans="1:4" ht="12.75" x14ac:dyDescent="0.2">
      <c r="A229" s="277"/>
      <c r="B229" s="278"/>
      <c r="C229" s="278"/>
      <c r="D229" s="277"/>
    </row>
    <row r="230" spans="1:4" ht="12.75" x14ac:dyDescent="0.2">
      <c r="A230" s="277"/>
      <c r="B230" s="278"/>
      <c r="C230" s="278"/>
      <c r="D230" s="277"/>
    </row>
    <row r="231" spans="1:4" ht="12.75" x14ac:dyDescent="0.2">
      <c r="A231" s="277"/>
      <c r="B231" s="278"/>
      <c r="C231" s="278"/>
      <c r="D231" s="277"/>
    </row>
    <row r="232" spans="1:4" ht="12.75" x14ac:dyDescent="0.2">
      <c r="A232" s="277"/>
      <c r="B232" s="278"/>
      <c r="C232" s="278"/>
      <c r="D232" s="277"/>
    </row>
    <row r="233" spans="1:4" ht="12.75" x14ac:dyDescent="0.2">
      <c r="A233" s="277"/>
      <c r="B233" s="278"/>
      <c r="C233" s="278"/>
      <c r="D233" s="277"/>
    </row>
    <row r="234" spans="1:4" ht="12.75" x14ac:dyDescent="0.2">
      <c r="A234" s="277"/>
      <c r="B234" s="278"/>
      <c r="C234" s="278"/>
      <c r="D234" s="277"/>
    </row>
    <row r="235" spans="1:4" ht="12.75" x14ac:dyDescent="0.2">
      <c r="A235" s="277"/>
      <c r="B235" s="278"/>
      <c r="C235" s="278"/>
      <c r="D235" s="277"/>
    </row>
    <row r="236" spans="1:4" ht="12.75" x14ac:dyDescent="0.2">
      <c r="A236" s="277"/>
      <c r="B236" s="278"/>
      <c r="C236" s="278"/>
      <c r="D236" s="277"/>
    </row>
    <row r="237" spans="1:4" ht="12.75" x14ac:dyDescent="0.2">
      <c r="A237" s="277"/>
      <c r="B237" s="278"/>
      <c r="C237" s="278"/>
      <c r="D237" s="277"/>
    </row>
    <row r="238" spans="1:4" ht="12.75" x14ac:dyDescent="0.2">
      <c r="A238" s="277"/>
      <c r="B238" s="278"/>
      <c r="C238" s="278"/>
      <c r="D238" s="277"/>
    </row>
    <row r="239" spans="1:4" ht="12.75" x14ac:dyDescent="0.2">
      <c r="A239" s="277"/>
      <c r="B239" s="278"/>
      <c r="C239" s="278"/>
      <c r="D239" s="277"/>
    </row>
    <row r="240" spans="1:4" ht="12.75" x14ac:dyDescent="0.2">
      <c r="A240" s="277"/>
      <c r="B240" s="278"/>
      <c r="C240" s="278"/>
      <c r="D240" s="277"/>
    </row>
    <row r="241" spans="1:4" ht="12.75" x14ac:dyDescent="0.2">
      <c r="A241" s="277"/>
      <c r="B241" s="278"/>
      <c r="C241" s="278"/>
      <c r="D241" s="277"/>
    </row>
    <row r="242" spans="1:4" ht="12.75" x14ac:dyDescent="0.2">
      <c r="A242" s="277"/>
      <c r="B242" s="278"/>
      <c r="C242" s="278"/>
      <c r="D242" s="277"/>
    </row>
    <row r="243" spans="1:4" ht="12.75" x14ac:dyDescent="0.2">
      <c r="A243" s="277"/>
      <c r="B243" s="278"/>
      <c r="C243" s="278"/>
      <c r="D243" s="277"/>
    </row>
    <row r="244" spans="1:4" ht="12.75" x14ac:dyDescent="0.2">
      <c r="A244" s="277"/>
      <c r="B244" s="278"/>
      <c r="C244" s="278"/>
      <c r="D244" s="277"/>
    </row>
    <row r="245" spans="1:4" ht="12.75" x14ac:dyDescent="0.2">
      <c r="A245" s="277"/>
      <c r="B245" s="278"/>
      <c r="C245" s="278"/>
      <c r="D245" s="277"/>
    </row>
    <row r="246" spans="1:4" ht="12.75" x14ac:dyDescent="0.2">
      <c r="A246" s="277"/>
      <c r="B246" s="278"/>
      <c r="C246" s="278"/>
      <c r="D246" s="277"/>
    </row>
    <row r="247" spans="1:4" ht="12.75" x14ac:dyDescent="0.2">
      <c r="A247" s="277"/>
      <c r="B247" s="278"/>
      <c r="C247" s="278"/>
      <c r="D247" s="277"/>
    </row>
    <row r="248" spans="1:4" ht="12.75" x14ac:dyDescent="0.2">
      <c r="A248" s="277"/>
      <c r="B248" s="278"/>
      <c r="C248" s="278"/>
      <c r="D248" s="277"/>
    </row>
    <row r="249" spans="1:4" ht="12.75" x14ac:dyDescent="0.2">
      <c r="A249" s="277"/>
      <c r="B249" s="278"/>
      <c r="C249" s="278"/>
      <c r="D249" s="277"/>
    </row>
    <row r="250" spans="1:4" ht="12.75" x14ac:dyDescent="0.2">
      <c r="A250" s="277"/>
      <c r="B250" s="278"/>
      <c r="C250" s="278"/>
      <c r="D250" s="277"/>
    </row>
    <row r="251" spans="1:4" ht="12.75" x14ac:dyDescent="0.2">
      <c r="A251" s="277"/>
      <c r="B251" s="278"/>
      <c r="C251" s="278"/>
      <c r="D251" s="277"/>
    </row>
    <row r="252" spans="1:4" ht="12.75" x14ac:dyDescent="0.2">
      <c r="A252" s="277"/>
      <c r="B252" s="278"/>
      <c r="C252" s="278"/>
      <c r="D252" s="277"/>
    </row>
    <row r="253" spans="1:4" ht="12.75" x14ac:dyDescent="0.2">
      <c r="A253" s="277"/>
      <c r="B253" s="278"/>
      <c r="C253" s="278"/>
      <c r="D253" s="277"/>
    </row>
    <row r="254" spans="1:4" ht="12.75" x14ac:dyDescent="0.2">
      <c r="A254" s="277"/>
      <c r="B254" s="278"/>
      <c r="C254" s="278"/>
      <c r="D254" s="277"/>
    </row>
    <row r="255" spans="1:4" ht="12.75" x14ac:dyDescent="0.2">
      <c r="A255" s="277"/>
      <c r="B255" s="278"/>
      <c r="C255" s="278"/>
      <c r="D255" s="277"/>
    </row>
    <row r="256" spans="1:4" ht="12.75" x14ac:dyDescent="0.2">
      <c r="A256" s="277"/>
      <c r="B256" s="278"/>
      <c r="C256" s="278"/>
      <c r="D256" s="277"/>
    </row>
    <row r="257" spans="1:4" ht="12.75" x14ac:dyDescent="0.2">
      <c r="A257" s="277"/>
      <c r="B257" s="278"/>
      <c r="C257" s="278"/>
      <c r="D257" s="277"/>
    </row>
    <row r="258" spans="1:4" ht="12.75" x14ac:dyDescent="0.2">
      <c r="A258" s="277"/>
      <c r="B258" s="278"/>
      <c r="C258" s="278"/>
      <c r="D258" s="277"/>
    </row>
    <row r="259" spans="1:4" ht="12.75" x14ac:dyDescent="0.2">
      <c r="A259" s="277"/>
      <c r="B259" s="278"/>
      <c r="C259" s="278"/>
      <c r="D259" s="277"/>
    </row>
    <row r="260" spans="1:4" ht="12.75" x14ac:dyDescent="0.2">
      <c r="A260" s="277"/>
      <c r="B260" s="278"/>
      <c r="C260" s="278"/>
      <c r="D260" s="277"/>
    </row>
    <row r="261" spans="1:4" ht="12.75" x14ac:dyDescent="0.2">
      <c r="A261" s="277"/>
      <c r="B261" s="278"/>
      <c r="C261" s="278"/>
      <c r="D261" s="277"/>
    </row>
    <row r="262" spans="1:4" ht="12.75" x14ac:dyDescent="0.2">
      <c r="A262" s="277"/>
      <c r="B262" s="278"/>
      <c r="C262" s="278"/>
      <c r="D262" s="277"/>
    </row>
    <row r="263" spans="1:4" ht="12.75" x14ac:dyDescent="0.2">
      <c r="A263" s="277"/>
      <c r="B263" s="278"/>
      <c r="C263" s="278"/>
      <c r="D263" s="277"/>
    </row>
    <row r="264" spans="1:4" ht="12.75" x14ac:dyDescent="0.2">
      <c r="A264" s="277"/>
      <c r="B264" s="278"/>
      <c r="C264" s="278"/>
      <c r="D264" s="277"/>
    </row>
    <row r="265" spans="1:4" ht="12.75" x14ac:dyDescent="0.2">
      <c r="A265" s="277"/>
      <c r="B265" s="278"/>
      <c r="C265" s="278"/>
      <c r="D265" s="277"/>
    </row>
    <row r="266" spans="1:4" ht="12.75" x14ac:dyDescent="0.2">
      <c r="A266" s="277"/>
      <c r="B266" s="278"/>
      <c r="C266" s="278"/>
      <c r="D266" s="277"/>
    </row>
    <row r="267" spans="1:4" ht="12.75" x14ac:dyDescent="0.2">
      <c r="A267" s="277"/>
      <c r="B267" s="278"/>
      <c r="C267" s="278"/>
      <c r="D267" s="277"/>
    </row>
    <row r="268" spans="1:4" ht="12.75" x14ac:dyDescent="0.2">
      <c r="A268" s="277"/>
      <c r="B268" s="278"/>
      <c r="C268" s="278"/>
      <c r="D268" s="277"/>
    </row>
    <row r="269" spans="1:4" ht="12.75" x14ac:dyDescent="0.2">
      <c r="A269" s="277"/>
      <c r="B269" s="278"/>
      <c r="C269" s="278"/>
      <c r="D269" s="277"/>
    </row>
    <row r="270" spans="1:4" ht="12.75" x14ac:dyDescent="0.2">
      <c r="A270" s="277"/>
      <c r="B270" s="278"/>
      <c r="C270" s="278"/>
      <c r="D270" s="277"/>
    </row>
    <row r="271" spans="1:4" ht="12.75" x14ac:dyDescent="0.2">
      <c r="A271" s="277"/>
      <c r="B271" s="278"/>
      <c r="C271" s="278"/>
      <c r="D271" s="277"/>
    </row>
    <row r="272" spans="1:4" ht="12.75" x14ac:dyDescent="0.2">
      <c r="A272" s="277"/>
      <c r="B272" s="278"/>
      <c r="C272" s="278"/>
      <c r="D272" s="277"/>
    </row>
    <row r="273" spans="1:4" ht="12.75" x14ac:dyDescent="0.2">
      <c r="A273" s="277"/>
      <c r="B273" s="278"/>
      <c r="C273" s="278"/>
      <c r="D273" s="277"/>
    </row>
    <row r="274" spans="1:4" ht="12.75" x14ac:dyDescent="0.2">
      <c r="A274" s="277"/>
      <c r="B274" s="278"/>
      <c r="C274" s="278"/>
      <c r="D274" s="277"/>
    </row>
    <row r="275" spans="1:4" ht="12.75" x14ac:dyDescent="0.2">
      <c r="A275" s="277"/>
      <c r="B275" s="278"/>
      <c r="C275" s="278"/>
      <c r="D275" s="277"/>
    </row>
    <row r="276" spans="1:4" ht="12.75" x14ac:dyDescent="0.2">
      <c r="A276" s="277"/>
      <c r="B276" s="278"/>
      <c r="C276" s="278"/>
      <c r="D276" s="277"/>
    </row>
    <row r="277" spans="1:4" ht="12.75" x14ac:dyDescent="0.2">
      <c r="A277" s="277"/>
      <c r="B277" s="278"/>
      <c r="C277" s="278"/>
      <c r="D277" s="277"/>
    </row>
    <row r="278" spans="1:4" ht="12.75" x14ac:dyDescent="0.2">
      <c r="A278" s="277"/>
      <c r="B278" s="278"/>
      <c r="C278" s="278"/>
      <c r="D278" s="277"/>
    </row>
    <row r="279" spans="1:4" ht="12.75" x14ac:dyDescent="0.2">
      <c r="A279" s="277"/>
      <c r="B279" s="278"/>
      <c r="C279" s="278"/>
      <c r="D279" s="277"/>
    </row>
    <row r="280" spans="1:4" ht="12.75" x14ac:dyDescent="0.2">
      <c r="A280" s="277"/>
      <c r="B280" s="278"/>
      <c r="C280" s="278"/>
      <c r="D280" s="277"/>
    </row>
    <row r="281" spans="1:4" ht="12.75" x14ac:dyDescent="0.2">
      <c r="A281" s="277"/>
      <c r="B281" s="278"/>
      <c r="C281" s="278"/>
      <c r="D281" s="277"/>
    </row>
    <row r="282" spans="1:4" ht="12.75" x14ac:dyDescent="0.2">
      <c r="A282" s="277"/>
      <c r="B282" s="278"/>
      <c r="C282" s="278"/>
      <c r="D282" s="277"/>
    </row>
    <row r="283" spans="1:4" ht="12.75" x14ac:dyDescent="0.2">
      <c r="A283" s="277"/>
      <c r="B283" s="278"/>
      <c r="C283" s="278"/>
      <c r="D283" s="277"/>
    </row>
    <row r="284" spans="1:4" ht="12.75" x14ac:dyDescent="0.2">
      <c r="A284" s="277"/>
      <c r="B284" s="278"/>
      <c r="C284" s="278"/>
      <c r="D284" s="277"/>
    </row>
    <row r="285" spans="1:4" ht="12.75" x14ac:dyDescent="0.2">
      <c r="A285" s="277"/>
      <c r="B285" s="278"/>
      <c r="C285" s="278"/>
      <c r="D285" s="277"/>
    </row>
    <row r="286" spans="1:4" ht="12.75" x14ac:dyDescent="0.2">
      <c r="A286" s="277"/>
      <c r="B286" s="278"/>
      <c r="C286" s="278"/>
      <c r="D286" s="277"/>
    </row>
    <row r="287" spans="1:4" ht="12.75" x14ac:dyDescent="0.2">
      <c r="A287" s="277"/>
      <c r="B287" s="278"/>
      <c r="C287" s="278"/>
      <c r="D287" s="277"/>
    </row>
    <row r="288" spans="1:4" ht="12.75" x14ac:dyDescent="0.2">
      <c r="A288" s="277"/>
      <c r="B288" s="278"/>
      <c r="C288" s="278"/>
      <c r="D288" s="277"/>
    </row>
    <row r="289" spans="1:4" ht="12.75" x14ac:dyDescent="0.2">
      <c r="A289" s="277"/>
      <c r="B289" s="278"/>
      <c r="C289" s="278"/>
      <c r="D289" s="277"/>
    </row>
    <row r="290" spans="1:4" ht="12.75" x14ac:dyDescent="0.2">
      <c r="A290" s="277"/>
      <c r="B290" s="278"/>
      <c r="C290" s="278"/>
      <c r="D290" s="277"/>
    </row>
    <row r="291" spans="1:4" ht="12.75" x14ac:dyDescent="0.2">
      <c r="A291" s="277"/>
      <c r="B291" s="278"/>
      <c r="C291" s="278"/>
      <c r="D291" s="277"/>
    </row>
    <row r="292" spans="1:4" ht="12.75" x14ac:dyDescent="0.2">
      <c r="A292" s="277"/>
      <c r="B292" s="278"/>
      <c r="C292" s="278"/>
      <c r="D292" s="277"/>
    </row>
    <row r="293" spans="1:4" ht="12.75" x14ac:dyDescent="0.2">
      <c r="A293" s="277"/>
      <c r="B293" s="278"/>
      <c r="C293" s="278"/>
      <c r="D293" s="277"/>
    </row>
    <row r="294" spans="1:4" ht="12.75" x14ac:dyDescent="0.2">
      <c r="A294" s="277"/>
      <c r="B294" s="278"/>
      <c r="C294" s="278"/>
      <c r="D294" s="277"/>
    </row>
    <row r="295" spans="1:4" ht="12.75" x14ac:dyDescent="0.2">
      <c r="A295" s="277"/>
      <c r="B295" s="278"/>
      <c r="C295" s="278"/>
      <c r="D295" s="277"/>
    </row>
    <row r="296" spans="1:4" ht="12.75" x14ac:dyDescent="0.2">
      <c r="A296" s="277"/>
      <c r="B296" s="278"/>
      <c r="C296" s="278"/>
      <c r="D296" s="277"/>
    </row>
    <row r="297" spans="1:4" ht="12.75" x14ac:dyDescent="0.2">
      <c r="A297" s="277"/>
      <c r="B297" s="278"/>
      <c r="C297" s="278"/>
      <c r="D297" s="277"/>
    </row>
    <row r="298" spans="1:4" ht="12.75" x14ac:dyDescent="0.2">
      <c r="A298" s="277"/>
      <c r="B298" s="278"/>
      <c r="C298" s="278"/>
      <c r="D298" s="277"/>
    </row>
    <row r="299" spans="1:4" ht="12.75" x14ac:dyDescent="0.2">
      <c r="A299" s="277"/>
      <c r="B299" s="278"/>
      <c r="C299" s="278"/>
      <c r="D299" s="277"/>
    </row>
    <row r="300" spans="1:4" ht="12.75" x14ac:dyDescent="0.2">
      <c r="A300" s="277"/>
      <c r="B300" s="278"/>
      <c r="C300" s="278"/>
      <c r="D300" s="277"/>
    </row>
    <row r="301" spans="1:4" ht="12.75" x14ac:dyDescent="0.2">
      <c r="A301" s="277"/>
      <c r="B301" s="278"/>
      <c r="C301" s="278"/>
      <c r="D301" s="277"/>
    </row>
    <row r="302" spans="1:4" ht="12.75" x14ac:dyDescent="0.2">
      <c r="A302" s="277"/>
      <c r="B302" s="278"/>
      <c r="C302" s="278"/>
      <c r="D302" s="277"/>
    </row>
    <row r="303" spans="1:4" ht="12.75" x14ac:dyDescent="0.2">
      <c r="A303" s="277"/>
      <c r="B303" s="278"/>
      <c r="C303" s="278"/>
      <c r="D303" s="277"/>
    </row>
    <row r="304" spans="1:4" ht="12.75" x14ac:dyDescent="0.2">
      <c r="A304" s="277"/>
      <c r="B304" s="278"/>
      <c r="C304" s="278"/>
      <c r="D304" s="277"/>
    </row>
    <row r="305" spans="1:4" ht="12.75" x14ac:dyDescent="0.2">
      <c r="A305" s="277"/>
      <c r="B305" s="278"/>
      <c r="C305" s="278"/>
      <c r="D305" s="277"/>
    </row>
    <row r="306" spans="1:4" ht="12.75" x14ac:dyDescent="0.2">
      <c r="A306" s="277"/>
      <c r="B306" s="278"/>
      <c r="C306" s="278"/>
      <c r="D306" s="277"/>
    </row>
    <row r="307" spans="1:4" ht="12.75" x14ac:dyDescent="0.2">
      <c r="A307" s="277"/>
      <c r="B307" s="278"/>
      <c r="C307" s="278"/>
      <c r="D307" s="277"/>
    </row>
    <row r="308" spans="1:4" ht="12.75" x14ac:dyDescent="0.2">
      <c r="A308" s="277"/>
      <c r="B308" s="278"/>
      <c r="C308" s="278"/>
      <c r="D308" s="277"/>
    </row>
    <row r="309" spans="1:4" ht="12.75" x14ac:dyDescent="0.2">
      <c r="A309" s="277"/>
      <c r="B309" s="278"/>
      <c r="C309" s="278"/>
      <c r="D309" s="277"/>
    </row>
    <row r="310" spans="1:4" ht="12.75" x14ac:dyDescent="0.2">
      <c r="A310" s="277"/>
      <c r="B310" s="278"/>
      <c r="C310" s="278"/>
      <c r="D310" s="277"/>
    </row>
    <row r="311" spans="1:4" ht="12.75" x14ac:dyDescent="0.2">
      <c r="A311" s="277"/>
      <c r="B311" s="278"/>
      <c r="C311" s="278"/>
      <c r="D311" s="277"/>
    </row>
    <row r="312" spans="1:4" ht="12.75" x14ac:dyDescent="0.2">
      <c r="A312" s="277"/>
      <c r="B312" s="278"/>
      <c r="C312" s="278"/>
      <c r="D312" s="277"/>
    </row>
    <row r="313" spans="1:4" ht="12.75" x14ac:dyDescent="0.2">
      <c r="A313" s="277"/>
      <c r="B313" s="278"/>
      <c r="C313" s="278"/>
      <c r="D313" s="277"/>
    </row>
    <row r="314" spans="1:4" ht="12.75" x14ac:dyDescent="0.2">
      <c r="A314" s="277"/>
      <c r="B314" s="278"/>
      <c r="C314" s="278"/>
      <c r="D314" s="277"/>
    </row>
    <row r="315" spans="1:4" ht="12.75" x14ac:dyDescent="0.2">
      <c r="A315" s="277"/>
      <c r="B315" s="278"/>
      <c r="C315" s="278"/>
      <c r="D315" s="277"/>
    </row>
    <row r="316" spans="1:4" ht="12.75" x14ac:dyDescent="0.2">
      <c r="A316" s="277"/>
      <c r="B316" s="278"/>
      <c r="C316" s="278"/>
      <c r="D316" s="277"/>
    </row>
    <row r="317" spans="1:4" ht="12.75" x14ac:dyDescent="0.2">
      <c r="A317" s="277"/>
      <c r="B317" s="278"/>
      <c r="C317" s="278"/>
      <c r="D317" s="277"/>
    </row>
    <row r="318" spans="1:4" ht="12.75" x14ac:dyDescent="0.2">
      <c r="A318" s="277"/>
      <c r="B318" s="278"/>
      <c r="C318" s="278"/>
      <c r="D318" s="277"/>
    </row>
    <row r="319" spans="1:4" ht="12.75" x14ac:dyDescent="0.2">
      <c r="A319" s="277"/>
      <c r="B319" s="278"/>
      <c r="C319" s="278"/>
      <c r="D319" s="277"/>
    </row>
    <row r="320" spans="1:4" ht="12.75" x14ac:dyDescent="0.2">
      <c r="A320" s="277"/>
      <c r="B320" s="278"/>
      <c r="C320" s="278"/>
      <c r="D320" s="277"/>
    </row>
    <row r="321" spans="1:4" ht="12.75" x14ac:dyDescent="0.2">
      <c r="A321" s="277"/>
      <c r="B321" s="278"/>
      <c r="C321" s="278"/>
      <c r="D321" s="277"/>
    </row>
    <row r="322" spans="1:4" ht="12.75" x14ac:dyDescent="0.2">
      <c r="A322" s="277"/>
      <c r="B322" s="278"/>
      <c r="C322" s="278"/>
      <c r="D322" s="277"/>
    </row>
    <row r="323" spans="1:4" ht="12.75" x14ac:dyDescent="0.2">
      <c r="A323" s="277"/>
      <c r="B323" s="278"/>
      <c r="C323" s="278"/>
      <c r="D323" s="277"/>
    </row>
    <row r="324" spans="1:4" ht="12.75" x14ac:dyDescent="0.2">
      <c r="A324" s="277"/>
      <c r="B324" s="278"/>
      <c r="C324" s="278"/>
      <c r="D324" s="277"/>
    </row>
    <row r="325" spans="1:4" ht="12.75" x14ac:dyDescent="0.2">
      <c r="A325" s="277"/>
      <c r="B325" s="278"/>
      <c r="C325" s="278"/>
      <c r="D325" s="277"/>
    </row>
    <row r="326" spans="1:4" ht="12.75" x14ac:dyDescent="0.2">
      <c r="A326" s="277"/>
      <c r="B326" s="278"/>
      <c r="C326" s="278"/>
      <c r="D326" s="277"/>
    </row>
    <row r="327" spans="1:4" ht="12.75" x14ac:dyDescent="0.2">
      <c r="A327" s="277"/>
      <c r="B327" s="278"/>
      <c r="C327" s="278"/>
      <c r="D327" s="277"/>
    </row>
    <row r="328" spans="1:4" ht="12.75" x14ac:dyDescent="0.2">
      <c r="A328" s="277"/>
      <c r="B328" s="278"/>
      <c r="C328" s="278"/>
      <c r="D328" s="277"/>
    </row>
    <row r="329" spans="1:4" ht="12.75" x14ac:dyDescent="0.2">
      <c r="A329" s="277"/>
      <c r="B329" s="278"/>
      <c r="C329" s="278"/>
      <c r="D329" s="277"/>
    </row>
    <row r="330" spans="1:4" ht="12.75" x14ac:dyDescent="0.2">
      <c r="A330" s="277"/>
      <c r="B330" s="278"/>
      <c r="C330" s="278"/>
      <c r="D330" s="277"/>
    </row>
    <row r="331" spans="1:4" ht="12.75" x14ac:dyDescent="0.2">
      <c r="A331" s="277"/>
      <c r="B331" s="278"/>
      <c r="C331" s="278"/>
      <c r="D331" s="277"/>
    </row>
    <row r="332" spans="1:4" ht="12.75" x14ac:dyDescent="0.2">
      <c r="A332" s="277"/>
      <c r="B332" s="278"/>
      <c r="C332" s="278"/>
      <c r="D332" s="277"/>
    </row>
    <row r="333" spans="1:4" ht="12.75" x14ac:dyDescent="0.2">
      <c r="A333" s="277"/>
      <c r="B333" s="278"/>
      <c r="C333" s="278"/>
      <c r="D333" s="277"/>
    </row>
    <row r="334" spans="1:4" ht="12.75" x14ac:dyDescent="0.2">
      <c r="A334" s="277"/>
      <c r="B334" s="278"/>
      <c r="C334" s="278"/>
      <c r="D334" s="277"/>
    </row>
    <row r="335" spans="1:4" ht="12.75" x14ac:dyDescent="0.2">
      <c r="A335" s="277"/>
      <c r="B335" s="278"/>
      <c r="C335" s="278"/>
      <c r="D335" s="277"/>
    </row>
    <row r="336" spans="1:4" ht="12.75" x14ac:dyDescent="0.2">
      <c r="A336" s="277"/>
      <c r="B336" s="278"/>
      <c r="C336" s="278"/>
      <c r="D336" s="277"/>
    </row>
    <row r="337" spans="1:4" ht="12.75" x14ac:dyDescent="0.2">
      <c r="A337" s="277"/>
      <c r="B337" s="278"/>
      <c r="C337" s="278"/>
      <c r="D337" s="277"/>
    </row>
    <row r="338" spans="1:4" ht="12.75" x14ac:dyDescent="0.2">
      <c r="A338" s="277"/>
      <c r="B338" s="278"/>
      <c r="C338" s="278"/>
      <c r="D338" s="277"/>
    </row>
    <row r="339" spans="1:4" ht="12.75" x14ac:dyDescent="0.2">
      <c r="A339" s="277"/>
      <c r="B339" s="278"/>
      <c r="C339" s="278"/>
      <c r="D339" s="277"/>
    </row>
    <row r="340" spans="1:4" ht="12.75" x14ac:dyDescent="0.2">
      <c r="A340" s="277"/>
      <c r="B340" s="278"/>
      <c r="C340" s="278"/>
      <c r="D340" s="277"/>
    </row>
    <row r="341" spans="1:4" ht="12.75" x14ac:dyDescent="0.2">
      <c r="A341" s="277"/>
      <c r="B341" s="278"/>
      <c r="C341" s="278"/>
      <c r="D341" s="277"/>
    </row>
    <row r="342" spans="1:4" ht="12.75" x14ac:dyDescent="0.2">
      <c r="A342" s="277"/>
      <c r="B342" s="278"/>
      <c r="C342" s="278"/>
      <c r="D342" s="277"/>
    </row>
    <row r="343" spans="1:4" ht="12.75" x14ac:dyDescent="0.2">
      <c r="A343" s="277"/>
      <c r="B343" s="278"/>
      <c r="C343" s="278"/>
      <c r="D343" s="277"/>
    </row>
    <row r="344" spans="1:4" ht="12.75" x14ac:dyDescent="0.2">
      <c r="A344" s="277"/>
      <c r="B344" s="278"/>
      <c r="C344" s="278"/>
      <c r="D344" s="277"/>
    </row>
    <row r="345" spans="1:4" ht="12.75" x14ac:dyDescent="0.2">
      <c r="A345" s="277"/>
      <c r="B345" s="278"/>
      <c r="C345" s="278"/>
      <c r="D345" s="277"/>
    </row>
    <row r="346" spans="1:4" ht="12.75" x14ac:dyDescent="0.2">
      <c r="A346" s="277"/>
      <c r="B346" s="278"/>
      <c r="C346" s="278"/>
      <c r="D346" s="277"/>
    </row>
    <row r="347" spans="1:4" ht="12.75" x14ac:dyDescent="0.2">
      <c r="A347" s="277"/>
      <c r="B347" s="278"/>
      <c r="C347" s="278"/>
      <c r="D347" s="277"/>
    </row>
    <row r="348" spans="1:4" ht="12.75" x14ac:dyDescent="0.2">
      <c r="A348" s="277"/>
      <c r="B348" s="278"/>
      <c r="C348" s="278"/>
      <c r="D348" s="277"/>
    </row>
    <row r="349" spans="1:4" ht="12.75" x14ac:dyDescent="0.2">
      <c r="A349" s="277"/>
      <c r="B349" s="278"/>
      <c r="C349" s="278"/>
      <c r="D349" s="277"/>
    </row>
    <row r="350" spans="1:4" ht="12.75" x14ac:dyDescent="0.2">
      <c r="A350" s="277"/>
      <c r="B350" s="278"/>
      <c r="C350" s="278"/>
      <c r="D350" s="277"/>
    </row>
    <row r="351" spans="1:4" ht="12.75" x14ac:dyDescent="0.2">
      <c r="A351" s="277"/>
      <c r="B351" s="278"/>
      <c r="C351" s="278"/>
      <c r="D351" s="277"/>
    </row>
    <row r="352" spans="1:4" ht="12.75" x14ac:dyDescent="0.2">
      <c r="A352" s="277"/>
      <c r="B352" s="278"/>
      <c r="C352" s="278"/>
      <c r="D352" s="277"/>
    </row>
    <row r="353" spans="1:4" ht="12.75" x14ac:dyDescent="0.2">
      <c r="A353" s="277"/>
      <c r="B353" s="278"/>
      <c r="C353" s="278"/>
      <c r="D353" s="277"/>
    </row>
    <row r="354" spans="1:4" ht="12.75" x14ac:dyDescent="0.2">
      <c r="A354" s="277"/>
      <c r="B354" s="278"/>
      <c r="C354" s="278"/>
      <c r="D354" s="277"/>
    </row>
    <row r="355" spans="1:4" ht="12.75" x14ac:dyDescent="0.2">
      <c r="A355" s="277"/>
      <c r="B355" s="278"/>
      <c r="C355" s="278"/>
      <c r="D355" s="277"/>
    </row>
    <row r="356" spans="1:4" ht="12.75" x14ac:dyDescent="0.2">
      <c r="A356" s="277"/>
      <c r="B356" s="278"/>
      <c r="C356" s="278"/>
      <c r="D356" s="277"/>
    </row>
    <row r="357" spans="1:4" ht="12.75" x14ac:dyDescent="0.2">
      <c r="A357" s="277"/>
      <c r="B357" s="278"/>
      <c r="C357" s="278"/>
      <c r="D357" s="277"/>
    </row>
    <row r="358" spans="1:4" ht="12.75" x14ac:dyDescent="0.2">
      <c r="A358" s="277"/>
      <c r="B358" s="278"/>
      <c r="C358" s="278"/>
      <c r="D358" s="277"/>
    </row>
    <row r="359" spans="1:4" ht="12.75" x14ac:dyDescent="0.2">
      <c r="A359" s="277"/>
      <c r="B359" s="278"/>
      <c r="C359" s="278"/>
      <c r="D359" s="277"/>
    </row>
    <row r="360" spans="1:4" ht="12.75" x14ac:dyDescent="0.2">
      <c r="A360" s="277"/>
      <c r="B360" s="278"/>
      <c r="C360" s="278"/>
      <c r="D360" s="277"/>
    </row>
    <row r="361" spans="1:4" ht="12.75" x14ac:dyDescent="0.2">
      <c r="A361" s="277"/>
      <c r="B361" s="278"/>
      <c r="C361" s="278"/>
      <c r="D361" s="277"/>
    </row>
    <row r="362" spans="1:4" ht="12.75" x14ac:dyDescent="0.2">
      <c r="A362" s="277"/>
      <c r="B362" s="278"/>
      <c r="C362" s="278"/>
      <c r="D362" s="277"/>
    </row>
    <row r="363" spans="1:4" ht="12.75" x14ac:dyDescent="0.2">
      <c r="A363" s="277"/>
      <c r="B363" s="278"/>
      <c r="C363" s="278"/>
      <c r="D363" s="277"/>
    </row>
    <row r="364" spans="1:4" ht="12.75" x14ac:dyDescent="0.2">
      <c r="A364" s="277"/>
      <c r="B364" s="278"/>
      <c r="C364" s="278"/>
      <c r="D364" s="277"/>
    </row>
    <row r="365" spans="1:4" ht="12.75" x14ac:dyDescent="0.2">
      <c r="A365" s="277"/>
      <c r="B365" s="278"/>
      <c r="C365" s="278"/>
      <c r="D365" s="277"/>
    </row>
    <row r="366" spans="1:4" ht="12.75" x14ac:dyDescent="0.2">
      <c r="A366" s="277"/>
      <c r="B366" s="278"/>
      <c r="C366" s="278"/>
      <c r="D366" s="277"/>
    </row>
    <row r="367" spans="1:4" ht="12.75" x14ac:dyDescent="0.2">
      <c r="A367" s="277"/>
      <c r="B367" s="278"/>
      <c r="C367" s="278"/>
      <c r="D367" s="277"/>
    </row>
    <row r="368" spans="1:4" ht="12.75" x14ac:dyDescent="0.2">
      <c r="A368" s="277"/>
      <c r="B368" s="278"/>
      <c r="C368" s="278"/>
      <c r="D368" s="277"/>
    </row>
    <row r="369" spans="1:4" ht="12.75" x14ac:dyDescent="0.2">
      <c r="A369" s="277"/>
      <c r="B369" s="278"/>
      <c r="C369" s="278"/>
      <c r="D369" s="277"/>
    </row>
    <row r="370" spans="1:4" ht="12.75" x14ac:dyDescent="0.2">
      <c r="A370" s="277"/>
      <c r="B370" s="278"/>
      <c r="C370" s="278"/>
      <c r="D370" s="277"/>
    </row>
    <row r="371" spans="1:4" ht="12.75" x14ac:dyDescent="0.2">
      <c r="A371" s="277"/>
      <c r="B371" s="278"/>
      <c r="C371" s="278"/>
      <c r="D371" s="277"/>
    </row>
    <row r="372" spans="1:4" ht="12.75" x14ac:dyDescent="0.2">
      <c r="A372" s="277"/>
      <c r="B372" s="278"/>
      <c r="C372" s="278"/>
      <c r="D372" s="277"/>
    </row>
    <row r="373" spans="1:4" ht="12.75" x14ac:dyDescent="0.2">
      <c r="A373" s="277"/>
      <c r="B373" s="278"/>
      <c r="C373" s="278"/>
      <c r="D373" s="277"/>
    </row>
    <row r="374" spans="1:4" ht="12.75" x14ac:dyDescent="0.2">
      <c r="A374" s="277"/>
      <c r="B374" s="278"/>
      <c r="C374" s="278"/>
      <c r="D374" s="277"/>
    </row>
    <row r="375" spans="1:4" ht="12.75" x14ac:dyDescent="0.2">
      <c r="A375" s="277"/>
      <c r="B375" s="278"/>
      <c r="C375" s="278"/>
      <c r="D375" s="277"/>
    </row>
    <row r="376" spans="1:4" ht="12.75" x14ac:dyDescent="0.2">
      <c r="A376" s="277"/>
      <c r="B376" s="278"/>
      <c r="C376" s="278"/>
      <c r="D376" s="277"/>
    </row>
    <row r="377" spans="1:4" ht="12.75" x14ac:dyDescent="0.2">
      <c r="A377" s="277"/>
      <c r="B377" s="278"/>
      <c r="C377" s="278"/>
      <c r="D377" s="277"/>
    </row>
    <row r="378" spans="1:4" ht="12.75" x14ac:dyDescent="0.2">
      <c r="A378" s="277"/>
      <c r="B378" s="278"/>
      <c r="C378" s="278"/>
      <c r="D378" s="277"/>
    </row>
    <row r="379" spans="1:4" ht="12.75" x14ac:dyDescent="0.2">
      <c r="A379" s="277"/>
      <c r="B379" s="278"/>
      <c r="C379" s="278"/>
      <c r="D379" s="277"/>
    </row>
    <row r="380" spans="1:4" ht="12.75" x14ac:dyDescent="0.2">
      <c r="A380" s="277"/>
      <c r="B380" s="278"/>
      <c r="C380" s="278"/>
      <c r="D380" s="277"/>
    </row>
    <row r="381" spans="1:4" ht="12.75" x14ac:dyDescent="0.2">
      <c r="A381" s="277"/>
      <c r="B381" s="278"/>
      <c r="C381" s="278"/>
      <c r="D381" s="277"/>
    </row>
    <row r="382" spans="1:4" ht="12.75" x14ac:dyDescent="0.2">
      <c r="A382" s="277"/>
      <c r="B382" s="278"/>
      <c r="C382" s="278"/>
      <c r="D382" s="277"/>
    </row>
    <row r="383" spans="1:4" ht="12.75" x14ac:dyDescent="0.2">
      <c r="A383" s="277"/>
      <c r="B383" s="278"/>
      <c r="C383" s="278"/>
      <c r="D383" s="277"/>
    </row>
    <row r="384" spans="1:4" ht="12.75" x14ac:dyDescent="0.2">
      <c r="A384" s="277"/>
      <c r="B384" s="278"/>
      <c r="C384" s="278"/>
      <c r="D384" s="277"/>
    </row>
    <row r="385" spans="1:4" ht="12.75" x14ac:dyDescent="0.2">
      <c r="A385" s="277"/>
      <c r="B385" s="278"/>
      <c r="C385" s="278"/>
      <c r="D385" s="277"/>
    </row>
    <row r="386" spans="1:4" ht="12.75" x14ac:dyDescent="0.2">
      <c r="A386" s="277"/>
      <c r="B386" s="278"/>
      <c r="C386" s="278"/>
      <c r="D386" s="277"/>
    </row>
    <row r="387" spans="1:4" ht="12.75" x14ac:dyDescent="0.2">
      <c r="A387" s="277"/>
      <c r="B387" s="278"/>
      <c r="C387" s="278"/>
      <c r="D387" s="277"/>
    </row>
    <row r="388" spans="1:4" ht="12.75" x14ac:dyDescent="0.2">
      <c r="A388" s="277"/>
      <c r="B388" s="278"/>
      <c r="C388" s="278"/>
      <c r="D388" s="277"/>
    </row>
    <row r="389" spans="1:4" ht="12.75" x14ac:dyDescent="0.2">
      <c r="A389" s="277"/>
      <c r="B389" s="278"/>
      <c r="C389" s="278"/>
      <c r="D389" s="277"/>
    </row>
    <row r="390" spans="1:4" ht="12.75" x14ac:dyDescent="0.2">
      <c r="A390" s="277"/>
      <c r="B390" s="278"/>
      <c r="C390" s="278"/>
      <c r="D390" s="277"/>
    </row>
    <row r="391" spans="1:4" ht="12.75" x14ac:dyDescent="0.2">
      <c r="A391" s="277"/>
      <c r="B391" s="278"/>
      <c r="C391" s="278"/>
      <c r="D391" s="277"/>
    </row>
    <row r="392" spans="1:4" ht="12.75" x14ac:dyDescent="0.2">
      <c r="A392" s="277"/>
      <c r="B392" s="278"/>
      <c r="C392" s="278"/>
      <c r="D392" s="277"/>
    </row>
    <row r="393" spans="1:4" ht="12.75" x14ac:dyDescent="0.2">
      <c r="A393" s="277"/>
      <c r="B393" s="278"/>
      <c r="C393" s="278"/>
      <c r="D393" s="277"/>
    </row>
    <row r="394" spans="1:4" ht="12.75" x14ac:dyDescent="0.2">
      <c r="A394" s="277"/>
      <c r="B394" s="278"/>
      <c r="C394" s="278"/>
      <c r="D394" s="277"/>
    </row>
    <row r="395" spans="1:4" ht="12.75" x14ac:dyDescent="0.2">
      <c r="A395" s="277"/>
      <c r="B395" s="278"/>
      <c r="C395" s="278"/>
      <c r="D395" s="277"/>
    </row>
    <row r="396" spans="1:4" ht="12.75" x14ac:dyDescent="0.2">
      <c r="A396" s="277"/>
      <c r="B396" s="278"/>
      <c r="C396" s="278"/>
      <c r="D396" s="277"/>
    </row>
    <row r="397" spans="1:4" ht="12.75" x14ac:dyDescent="0.2">
      <c r="A397" s="277"/>
      <c r="B397" s="278"/>
      <c r="C397" s="278"/>
      <c r="D397" s="277"/>
    </row>
    <row r="398" spans="1:4" ht="12.75" x14ac:dyDescent="0.2">
      <c r="A398" s="277"/>
      <c r="B398" s="278"/>
      <c r="C398" s="278"/>
      <c r="D398" s="277"/>
    </row>
    <row r="399" spans="1:4" ht="12.75" x14ac:dyDescent="0.2">
      <c r="A399" s="277"/>
      <c r="B399" s="278"/>
      <c r="C399" s="278"/>
      <c r="D399" s="277"/>
    </row>
    <row r="400" spans="1:4" ht="12.75" x14ac:dyDescent="0.2">
      <c r="A400" s="277"/>
      <c r="B400" s="278"/>
      <c r="C400" s="278"/>
      <c r="D400" s="277"/>
    </row>
    <row r="401" spans="1:4" ht="12.75" x14ac:dyDescent="0.2">
      <c r="A401" s="277"/>
      <c r="B401" s="278"/>
      <c r="C401" s="278"/>
      <c r="D401" s="277"/>
    </row>
    <row r="402" spans="1:4" ht="12.75" x14ac:dyDescent="0.2">
      <c r="A402" s="277"/>
      <c r="B402" s="278"/>
      <c r="C402" s="278"/>
      <c r="D402" s="277"/>
    </row>
    <row r="403" spans="1:4" ht="12.75" x14ac:dyDescent="0.2">
      <c r="A403" s="277"/>
      <c r="B403" s="278"/>
      <c r="C403" s="278"/>
      <c r="D403" s="277"/>
    </row>
    <row r="404" spans="1:4" ht="12.75" x14ac:dyDescent="0.2">
      <c r="A404" s="277"/>
      <c r="B404" s="278"/>
      <c r="C404" s="278"/>
      <c r="D404" s="277"/>
    </row>
    <row r="405" spans="1:4" ht="12.75" x14ac:dyDescent="0.2">
      <c r="A405" s="277"/>
      <c r="B405" s="278"/>
      <c r="C405" s="278"/>
      <c r="D405" s="277"/>
    </row>
    <row r="406" spans="1:4" ht="12.75" x14ac:dyDescent="0.2">
      <c r="A406" s="277"/>
      <c r="B406" s="278"/>
      <c r="C406" s="278"/>
      <c r="D406" s="277"/>
    </row>
    <row r="407" spans="1:4" ht="12.75" x14ac:dyDescent="0.2">
      <c r="A407" s="277"/>
      <c r="B407" s="278"/>
      <c r="C407" s="278"/>
      <c r="D407" s="277"/>
    </row>
    <row r="408" spans="1:4" ht="12.75" x14ac:dyDescent="0.2">
      <c r="A408" s="277"/>
      <c r="B408" s="278"/>
      <c r="C408" s="278"/>
      <c r="D408" s="277"/>
    </row>
    <row r="409" spans="1:4" ht="12.75" x14ac:dyDescent="0.2">
      <c r="A409" s="277"/>
      <c r="B409" s="278"/>
      <c r="C409" s="278"/>
      <c r="D409" s="277"/>
    </row>
    <row r="410" spans="1:4" ht="12.75" x14ac:dyDescent="0.2">
      <c r="A410" s="277"/>
      <c r="B410" s="278"/>
      <c r="C410" s="278"/>
      <c r="D410" s="277"/>
    </row>
    <row r="411" spans="1:4" ht="12.75" x14ac:dyDescent="0.2">
      <c r="A411" s="277"/>
      <c r="B411" s="278"/>
      <c r="C411" s="278"/>
      <c r="D411" s="277"/>
    </row>
    <row r="412" spans="1:4" ht="12.75" x14ac:dyDescent="0.2">
      <c r="A412" s="277"/>
      <c r="B412" s="278"/>
      <c r="C412" s="278"/>
      <c r="D412" s="277"/>
    </row>
    <row r="413" spans="1:4" ht="12.75" x14ac:dyDescent="0.2">
      <c r="A413" s="277"/>
      <c r="B413" s="278"/>
      <c r="C413" s="278"/>
      <c r="D413" s="277"/>
    </row>
    <row r="414" spans="1:4" ht="12.75" x14ac:dyDescent="0.2">
      <c r="A414" s="277"/>
      <c r="B414" s="278"/>
      <c r="C414" s="278"/>
      <c r="D414" s="277"/>
    </row>
    <row r="415" spans="1:4" ht="12.75" x14ac:dyDescent="0.2">
      <c r="A415" s="277"/>
      <c r="B415" s="278"/>
      <c r="C415" s="278"/>
      <c r="D415" s="277"/>
    </row>
    <row r="416" spans="1:4" ht="12.75" x14ac:dyDescent="0.2">
      <c r="A416" s="277"/>
      <c r="B416" s="278"/>
      <c r="C416" s="278"/>
      <c r="D416" s="277"/>
    </row>
    <row r="417" spans="1:4" ht="12.75" x14ac:dyDescent="0.2">
      <c r="A417" s="277"/>
      <c r="B417" s="278"/>
      <c r="C417" s="278"/>
      <c r="D417" s="277"/>
    </row>
    <row r="418" spans="1:4" ht="12.75" x14ac:dyDescent="0.2">
      <c r="A418" s="277"/>
      <c r="B418" s="278"/>
      <c r="C418" s="278"/>
      <c r="D418" s="277"/>
    </row>
    <row r="419" spans="1:4" ht="12.75" x14ac:dyDescent="0.2">
      <c r="A419" s="277"/>
      <c r="B419" s="278"/>
      <c r="C419" s="278"/>
      <c r="D419" s="277"/>
    </row>
    <row r="420" spans="1:4" ht="12.75" x14ac:dyDescent="0.2">
      <c r="A420" s="277"/>
      <c r="B420" s="278"/>
      <c r="C420" s="278"/>
      <c r="D420" s="277"/>
    </row>
    <row r="421" spans="1:4" ht="12.75" x14ac:dyDescent="0.2">
      <c r="A421" s="277"/>
      <c r="B421" s="278"/>
      <c r="C421" s="278"/>
      <c r="D421" s="277"/>
    </row>
    <row r="422" spans="1:4" ht="12.75" x14ac:dyDescent="0.2">
      <c r="A422" s="277"/>
      <c r="B422" s="278"/>
      <c r="C422" s="278"/>
      <c r="D422" s="277"/>
    </row>
    <row r="423" spans="1:4" ht="12.75" x14ac:dyDescent="0.2">
      <c r="A423" s="277"/>
      <c r="B423" s="278"/>
      <c r="C423" s="278"/>
      <c r="D423" s="277"/>
    </row>
    <row r="424" spans="1:4" ht="12.75" x14ac:dyDescent="0.2">
      <c r="A424" s="277"/>
      <c r="B424" s="278"/>
      <c r="C424" s="278"/>
      <c r="D424" s="277"/>
    </row>
    <row r="425" spans="1:4" ht="12.75" x14ac:dyDescent="0.2">
      <c r="A425" s="277"/>
      <c r="B425" s="278"/>
      <c r="C425" s="278"/>
      <c r="D425" s="277"/>
    </row>
    <row r="426" spans="1:4" ht="12.75" x14ac:dyDescent="0.2">
      <c r="A426" s="277"/>
      <c r="B426" s="278"/>
      <c r="C426" s="278"/>
      <c r="D426" s="277"/>
    </row>
    <row r="427" spans="1:4" ht="12.75" x14ac:dyDescent="0.2">
      <c r="A427" s="277"/>
      <c r="B427" s="278"/>
      <c r="C427" s="278"/>
      <c r="D427" s="277"/>
    </row>
    <row r="428" spans="1:4" ht="12.75" x14ac:dyDescent="0.2">
      <c r="A428" s="277"/>
      <c r="B428" s="278"/>
      <c r="C428" s="278"/>
      <c r="D428" s="277"/>
    </row>
    <row r="429" spans="1:4" ht="12.75" x14ac:dyDescent="0.2">
      <c r="A429" s="277"/>
      <c r="B429" s="278"/>
      <c r="C429" s="278"/>
      <c r="D429" s="277"/>
    </row>
    <row r="430" spans="1:4" ht="12.75" x14ac:dyDescent="0.2">
      <c r="A430" s="277"/>
      <c r="B430" s="278"/>
      <c r="C430" s="278"/>
      <c r="D430" s="277"/>
    </row>
    <row r="431" spans="1:4" ht="12.75" x14ac:dyDescent="0.2">
      <c r="A431" s="277"/>
      <c r="B431" s="278"/>
      <c r="C431" s="278"/>
      <c r="D431" s="277"/>
    </row>
    <row r="432" spans="1:4" ht="12.75" x14ac:dyDescent="0.2">
      <c r="A432" s="277"/>
      <c r="B432" s="278"/>
      <c r="C432" s="278"/>
      <c r="D432" s="277"/>
    </row>
    <row r="433" spans="1:4" ht="12.75" x14ac:dyDescent="0.2">
      <c r="A433" s="277"/>
      <c r="B433" s="278"/>
      <c r="C433" s="278"/>
      <c r="D433" s="277"/>
    </row>
    <row r="434" spans="1:4" ht="12.75" x14ac:dyDescent="0.2">
      <c r="A434" s="277"/>
      <c r="B434" s="278"/>
      <c r="C434" s="278"/>
      <c r="D434" s="277"/>
    </row>
    <row r="435" spans="1:4" ht="12.75" x14ac:dyDescent="0.2">
      <c r="A435" s="277"/>
      <c r="B435" s="278"/>
      <c r="C435" s="278"/>
      <c r="D435" s="277"/>
    </row>
    <row r="436" spans="1:4" ht="12.75" x14ac:dyDescent="0.2">
      <c r="A436" s="277"/>
      <c r="B436" s="278"/>
      <c r="C436" s="278"/>
      <c r="D436" s="277"/>
    </row>
    <row r="437" spans="1:4" ht="12.75" x14ac:dyDescent="0.2">
      <c r="A437" s="277"/>
      <c r="B437" s="278"/>
      <c r="C437" s="278"/>
      <c r="D437" s="277"/>
    </row>
    <row r="438" spans="1:4" ht="12.75" x14ac:dyDescent="0.2">
      <c r="A438" s="277"/>
      <c r="B438" s="278"/>
      <c r="C438" s="278"/>
      <c r="D438" s="277"/>
    </row>
    <row r="439" spans="1:4" ht="12.75" x14ac:dyDescent="0.2">
      <c r="A439" s="277"/>
      <c r="B439" s="278"/>
      <c r="C439" s="278"/>
      <c r="D439" s="277"/>
    </row>
    <row r="440" spans="1:4" ht="12.75" x14ac:dyDescent="0.2">
      <c r="A440" s="277"/>
      <c r="B440" s="278"/>
      <c r="C440" s="278"/>
      <c r="D440" s="277"/>
    </row>
    <row r="441" spans="1:4" ht="12.75" x14ac:dyDescent="0.2">
      <c r="A441" s="277"/>
      <c r="B441" s="278"/>
      <c r="C441" s="278"/>
      <c r="D441" s="277"/>
    </row>
    <row r="442" spans="1:4" ht="12.75" x14ac:dyDescent="0.2">
      <c r="A442" s="277"/>
      <c r="B442" s="278"/>
      <c r="C442" s="278"/>
      <c r="D442" s="277"/>
    </row>
    <row r="443" spans="1:4" ht="12.75" x14ac:dyDescent="0.2">
      <c r="A443" s="277"/>
      <c r="B443" s="278"/>
      <c r="C443" s="278"/>
      <c r="D443" s="277"/>
    </row>
    <row r="444" spans="1:4" ht="12.75" x14ac:dyDescent="0.2">
      <c r="A444" s="277"/>
      <c r="B444" s="278"/>
      <c r="C444" s="278"/>
      <c r="D444" s="277"/>
    </row>
    <row r="445" spans="1:4" ht="12.75" x14ac:dyDescent="0.2">
      <c r="A445" s="277"/>
      <c r="B445" s="278"/>
      <c r="C445" s="278"/>
      <c r="D445" s="277"/>
    </row>
    <row r="446" spans="1:4" ht="12.75" x14ac:dyDescent="0.2">
      <c r="A446" s="277"/>
      <c r="B446" s="278"/>
      <c r="C446" s="278"/>
      <c r="D446" s="277"/>
    </row>
    <row r="447" spans="1:4" ht="12.75" x14ac:dyDescent="0.2">
      <c r="A447" s="277"/>
      <c r="B447" s="278"/>
      <c r="C447" s="278"/>
      <c r="D447" s="277"/>
    </row>
    <row r="448" spans="1:4" ht="12.75" x14ac:dyDescent="0.2">
      <c r="A448" s="277"/>
      <c r="B448" s="278"/>
      <c r="C448" s="278"/>
      <c r="D448" s="277"/>
    </row>
    <row r="449" spans="1:4" ht="12.75" x14ac:dyDescent="0.2">
      <c r="A449" s="277"/>
      <c r="B449" s="278"/>
      <c r="C449" s="278"/>
      <c r="D449" s="277"/>
    </row>
    <row r="450" spans="1:4" ht="12.75" x14ac:dyDescent="0.2">
      <c r="A450" s="277"/>
      <c r="B450" s="278"/>
      <c r="C450" s="278"/>
      <c r="D450" s="277"/>
    </row>
    <row r="451" spans="1:4" ht="12.75" x14ac:dyDescent="0.2">
      <c r="A451" s="277"/>
      <c r="B451" s="278"/>
      <c r="C451" s="278"/>
      <c r="D451" s="277"/>
    </row>
    <row r="452" spans="1:4" ht="12.75" x14ac:dyDescent="0.2">
      <c r="A452" s="277"/>
      <c r="B452" s="278"/>
      <c r="C452" s="278"/>
      <c r="D452" s="277"/>
    </row>
    <row r="453" spans="1:4" ht="12.75" x14ac:dyDescent="0.2">
      <c r="A453" s="277"/>
      <c r="B453" s="278"/>
      <c r="C453" s="278"/>
      <c r="D453" s="277"/>
    </row>
    <row r="454" spans="1:4" ht="12.75" x14ac:dyDescent="0.2">
      <c r="A454" s="277"/>
      <c r="B454" s="278"/>
      <c r="C454" s="278"/>
      <c r="D454" s="277"/>
    </row>
    <row r="455" spans="1:4" ht="12.75" x14ac:dyDescent="0.2">
      <c r="A455" s="277"/>
      <c r="B455" s="278"/>
      <c r="C455" s="278"/>
      <c r="D455" s="277"/>
    </row>
    <row r="456" spans="1:4" ht="12.75" x14ac:dyDescent="0.2">
      <c r="A456" s="277"/>
      <c r="B456" s="278"/>
      <c r="C456" s="278"/>
      <c r="D456" s="277"/>
    </row>
    <row r="457" spans="1:4" ht="12.75" x14ac:dyDescent="0.2">
      <c r="A457" s="277"/>
      <c r="B457" s="278"/>
      <c r="C457" s="278"/>
      <c r="D457" s="277"/>
    </row>
    <row r="458" spans="1:4" ht="12.75" x14ac:dyDescent="0.2">
      <c r="A458" s="277"/>
      <c r="B458" s="278"/>
      <c r="C458" s="278"/>
      <c r="D458" s="277"/>
    </row>
    <row r="459" spans="1:4" ht="12.75" x14ac:dyDescent="0.2">
      <c r="A459" s="277"/>
      <c r="B459" s="278"/>
      <c r="C459" s="278"/>
      <c r="D459" s="277"/>
    </row>
    <row r="460" spans="1:4" ht="12.75" x14ac:dyDescent="0.2">
      <c r="A460" s="277"/>
      <c r="B460" s="278"/>
      <c r="C460" s="278"/>
      <c r="D460" s="277"/>
    </row>
    <row r="461" spans="1:4" ht="12.75" x14ac:dyDescent="0.2">
      <c r="A461" s="277"/>
      <c r="B461" s="278"/>
      <c r="C461" s="278"/>
      <c r="D461" s="277"/>
    </row>
    <row r="462" spans="1:4" ht="12.75" x14ac:dyDescent="0.2">
      <c r="A462" s="277"/>
      <c r="B462" s="278"/>
      <c r="C462" s="278"/>
      <c r="D462" s="277"/>
    </row>
    <row r="463" spans="1:4" ht="12.75" x14ac:dyDescent="0.2">
      <c r="A463" s="277"/>
      <c r="B463" s="278"/>
      <c r="C463" s="278"/>
      <c r="D463" s="277"/>
    </row>
    <row r="464" spans="1:4" ht="12.75" x14ac:dyDescent="0.2">
      <c r="A464" s="277"/>
      <c r="B464" s="278"/>
      <c r="C464" s="278"/>
      <c r="D464" s="277"/>
    </row>
    <row r="465" spans="1:4" ht="12.75" x14ac:dyDescent="0.2">
      <c r="A465" s="277"/>
      <c r="B465" s="278"/>
      <c r="C465" s="278"/>
      <c r="D465" s="277"/>
    </row>
    <row r="466" spans="1:4" ht="12.75" x14ac:dyDescent="0.2">
      <c r="A466" s="277"/>
      <c r="B466" s="278"/>
      <c r="C466" s="278"/>
      <c r="D466" s="277"/>
    </row>
    <row r="467" spans="1:4" ht="12.75" x14ac:dyDescent="0.2">
      <c r="A467" s="277"/>
      <c r="B467" s="278"/>
      <c r="C467" s="278"/>
      <c r="D467" s="277"/>
    </row>
    <row r="468" spans="1:4" ht="12.75" x14ac:dyDescent="0.2">
      <c r="A468" s="277"/>
      <c r="B468" s="278"/>
      <c r="C468" s="278"/>
      <c r="D468" s="277"/>
    </row>
    <row r="469" spans="1:4" ht="12.75" x14ac:dyDescent="0.2">
      <c r="A469" s="277"/>
      <c r="B469" s="278"/>
      <c r="C469" s="278"/>
      <c r="D469" s="277"/>
    </row>
    <row r="470" spans="1:4" ht="12.75" x14ac:dyDescent="0.2">
      <c r="A470" s="277"/>
      <c r="B470" s="278"/>
      <c r="C470" s="278"/>
      <c r="D470" s="277"/>
    </row>
    <row r="471" spans="1:4" ht="12.75" x14ac:dyDescent="0.2">
      <c r="A471" s="277"/>
      <c r="B471" s="278"/>
      <c r="C471" s="278"/>
      <c r="D471" s="277"/>
    </row>
    <row r="472" spans="1:4" ht="12.75" x14ac:dyDescent="0.2">
      <c r="A472" s="277"/>
      <c r="B472" s="278"/>
      <c r="C472" s="278"/>
      <c r="D472" s="277"/>
    </row>
    <row r="473" spans="1:4" ht="12.75" x14ac:dyDescent="0.2">
      <c r="A473" s="277"/>
      <c r="B473" s="278"/>
      <c r="C473" s="278"/>
      <c r="D473" s="277"/>
    </row>
    <row r="474" spans="1:4" ht="12.75" x14ac:dyDescent="0.2">
      <c r="A474" s="277"/>
      <c r="B474" s="278"/>
      <c r="C474" s="278"/>
      <c r="D474" s="277"/>
    </row>
    <row r="475" spans="1:4" ht="12.75" x14ac:dyDescent="0.2">
      <c r="A475" s="277"/>
      <c r="B475" s="278"/>
      <c r="C475" s="278"/>
      <c r="D475" s="277"/>
    </row>
    <row r="476" spans="1:4" ht="12.75" x14ac:dyDescent="0.2">
      <c r="A476" s="277"/>
      <c r="B476" s="278"/>
      <c r="C476" s="278"/>
      <c r="D476" s="277"/>
    </row>
    <row r="477" spans="1:4" ht="12.75" x14ac:dyDescent="0.2">
      <c r="A477" s="277"/>
      <c r="B477" s="278"/>
      <c r="C477" s="278"/>
      <c r="D477" s="277"/>
    </row>
    <row r="478" spans="1:4" ht="12.75" x14ac:dyDescent="0.2">
      <c r="A478" s="277"/>
      <c r="B478" s="278"/>
      <c r="C478" s="278"/>
      <c r="D478" s="277"/>
    </row>
    <row r="479" spans="1:4" ht="12.75" x14ac:dyDescent="0.2">
      <c r="A479" s="277"/>
      <c r="B479" s="278"/>
      <c r="C479" s="278"/>
      <c r="D479" s="277"/>
    </row>
    <row r="480" spans="1:4" ht="12.75" x14ac:dyDescent="0.2">
      <c r="A480" s="277"/>
      <c r="B480" s="278"/>
      <c r="C480" s="278"/>
      <c r="D480" s="277"/>
    </row>
    <row r="481" spans="1:4" ht="12.75" x14ac:dyDescent="0.2">
      <c r="A481" s="277"/>
      <c r="B481" s="278"/>
      <c r="C481" s="278"/>
      <c r="D481" s="277"/>
    </row>
    <row r="482" spans="1:4" ht="12.75" x14ac:dyDescent="0.2">
      <c r="A482" s="277"/>
      <c r="B482" s="278"/>
      <c r="C482" s="278"/>
      <c r="D482" s="277"/>
    </row>
    <row r="483" spans="1:4" ht="12.75" x14ac:dyDescent="0.2">
      <c r="A483" s="277"/>
      <c r="B483" s="278"/>
      <c r="C483" s="278"/>
      <c r="D483" s="277"/>
    </row>
    <row r="484" spans="1:4" ht="12.75" x14ac:dyDescent="0.2">
      <c r="A484" s="277"/>
      <c r="B484" s="278"/>
      <c r="C484" s="278"/>
      <c r="D484" s="277"/>
    </row>
    <row r="485" spans="1:4" ht="12.75" x14ac:dyDescent="0.2">
      <c r="A485" s="277"/>
      <c r="B485" s="278"/>
      <c r="C485" s="278"/>
      <c r="D485" s="277"/>
    </row>
    <row r="486" spans="1:4" ht="12.75" x14ac:dyDescent="0.2">
      <c r="A486" s="277"/>
      <c r="B486" s="278"/>
      <c r="C486" s="278"/>
      <c r="D486" s="277"/>
    </row>
    <row r="487" spans="1:4" ht="12.75" x14ac:dyDescent="0.2">
      <c r="A487" s="277"/>
      <c r="B487" s="278"/>
      <c r="C487" s="278"/>
      <c r="D487" s="277"/>
    </row>
    <row r="488" spans="1:4" ht="12.75" x14ac:dyDescent="0.2">
      <c r="A488" s="277"/>
      <c r="B488" s="278"/>
      <c r="C488" s="278"/>
      <c r="D488" s="277"/>
    </row>
    <row r="489" spans="1:4" ht="12.75" x14ac:dyDescent="0.2">
      <c r="A489" s="277"/>
      <c r="B489" s="278"/>
      <c r="C489" s="278"/>
      <c r="D489" s="277"/>
    </row>
    <row r="490" spans="1:4" ht="12.75" x14ac:dyDescent="0.2">
      <c r="A490" s="277"/>
      <c r="B490" s="278"/>
      <c r="C490" s="278"/>
      <c r="D490" s="277"/>
    </row>
    <row r="491" spans="1:4" ht="12.75" x14ac:dyDescent="0.2">
      <c r="A491" s="277"/>
      <c r="B491" s="278"/>
      <c r="C491" s="278"/>
      <c r="D491" s="277"/>
    </row>
    <row r="492" spans="1:4" ht="12.75" x14ac:dyDescent="0.2">
      <c r="A492" s="277"/>
      <c r="B492" s="278"/>
      <c r="C492" s="278"/>
      <c r="D492" s="277"/>
    </row>
    <row r="493" spans="1:4" ht="12.75" x14ac:dyDescent="0.2">
      <c r="A493" s="277"/>
      <c r="B493" s="278"/>
      <c r="C493" s="278"/>
      <c r="D493" s="277"/>
    </row>
    <row r="494" spans="1:4" ht="12.75" x14ac:dyDescent="0.2">
      <c r="A494" s="277"/>
      <c r="B494" s="278"/>
      <c r="C494" s="278"/>
      <c r="D494" s="277"/>
    </row>
    <row r="495" spans="1:4" ht="12.75" x14ac:dyDescent="0.2">
      <c r="A495" s="277"/>
      <c r="B495" s="278"/>
      <c r="C495" s="278"/>
      <c r="D495" s="277"/>
    </row>
    <row r="496" spans="1:4" ht="12.75" x14ac:dyDescent="0.2">
      <c r="A496" s="277"/>
      <c r="B496" s="278"/>
      <c r="C496" s="278"/>
      <c r="D496" s="277"/>
    </row>
    <row r="497" spans="1:4" ht="12.75" x14ac:dyDescent="0.2">
      <c r="A497" s="277"/>
      <c r="B497" s="278"/>
      <c r="C497" s="278"/>
      <c r="D497" s="277"/>
    </row>
    <row r="498" spans="1:4" ht="12.75" x14ac:dyDescent="0.2">
      <c r="A498" s="277"/>
      <c r="B498" s="278"/>
      <c r="C498" s="278"/>
      <c r="D498" s="277"/>
    </row>
    <row r="499" spans="1:4" ht="12.75" x14ac:dyDescent="0.2">
      <c r="A499" s="277"/>
      <c r="B499" s="278"/>
      <c r="C499" s="278"/>
      <c r="D499" s="277"/>
    </row>
    <row r="500" spans="1:4" ht="12.75" x14ac:dyDescent="0.2">
      <c r="A500" s="277"/>
      <c r="B500" s="278"/>
      <c r="C500" s="278"/>
      <c r="D500" s="277"/>
    </row>
    <row r="501" spans="1:4" ht="12.75" x14ac:dyDescent="0.2">
      <c r="A501" s="277"/>
      <c r="B501" s="278"/>
      <c r="C501" s="278"/>
      <c r="D501" s="277"/>
    </row>
    <row r="502" spans="1:4" ht="12.75" x14ac:dyDescent="0.2">
      <c r="A502" s="277"/>
      <c r="B502" s="278"/>
      <c r="C502" s="278"/>
      <c r="D502" s="277"/>
    </row>
    <row r="503" spans="1:4" ht="12.75" x14ac:dyDescent="0.2">
      <c r="A503" s="277"/>
      <c r="B503" s="278"/>
      <c r="C503" s="278"/>
      <c r="D503" s="277"/>
    </row>
    <row r="504" spans="1:4" ht="12.75" x14ac:dyDescent="0.2">
      <c r="A504" s="277"/>
      <c r="B504" s="278"/>
      <c r="C504" s="278"/>
      <c r="D504" s="277"/>
    </row>
    <row r="505" spans="1:4" ht="12.75" x14ac:dyDescent="0.2">
      <c r="A505" s="277"/>
      <c r="B505" s="278"/>
      <c r="C505" s="278"/>
      <c r="D505" s="277"/>
    </row>
    <row r="506" spans="1:4" ht="12.75" x14ac:dyDescent="0.2">
      <c r="A506" s="277"/>
      <c r="B506" s="278"/>
      <c r="C506" s="278"/>
      <c r="D506" s="277"/>
    </row>
    <row r="507" spans="1:4" ht="12.75" x14ac:dyDescent="0.2">
      <c r="A507" s="277"/>
      <c r="B507" s="278"/>
      <c r="C507" s="278"/>
      <c r="D507" s="277"/>
    </row>
    <row r="508" spans="1:4" ht="12.75" x14ac:dyDescent="0.2">
      <c r="A508" s="277"/>
      <c r="B508" s="278"/>
      <c r="C508" s="278"/>
      <c r="D508" s="277"/>
    </row>
    <row r="509" spans="1:4" ht="12.75" x14ac:dyDescent="0.2">
      <c r="A509" s="277"/>
      <c r="B509" s="278"/>
      <c r="C509" s="278"/>
      <c r="D509" s="277"/>
    </row>
    <row r="510" spans="1:4" ht="12.75" x14ac:dyDescent="0.2">
      <c r="A510" s="277"/>
      <c r="B510" s="278"/>
      <c r="C510" s="278"/>
      <c r="D510" s="277"/>
    </row>
    <row r="511" spans="1:4" ht="12.75" x14ac:dyDescent="0.2">
      <c r="A511" s="277"/>
      <c r="B511" s="278"/>
      <c r="C511" s="278"/>
      <c r="D511" s="277"/>
    </row>
    <row r="512" spans="1:4" ht="12.75" x14ac:dyDescent="0.2">
      <c r="A512" s="277"/>
      <c r="B512" s="278"/>
      <c r="C512" s="278"/>
      <c r="D512" s="277"/>
    </row>
    <row r="513" spans="1:4" ht="12.75" x14ac:dyDescent="0.2">
      <c r="A513" s="277"/>
      <c r="B513" s="278"/>
      <c r="C513" s="278"/>
      <c r="D513" s="277"/>
    </row>
    <row r="514" spans="1:4" ht="12.75" x14ac:dyDescent="0.2">
      <c r="A514" s="277"/>
      <c r="B514" s="278"/>
      <c r="C514" s="278"/>
      <c r="D514" s="277"/>
    </row>
    <row r="515" spans="1:4" ht="12.75" x14ac:dyDescent="0.2">
      <c r="A515" s="277"/>
      <c r="B515" s="278"/>
      <c r="C515" s="278"/>
      <c r="D515" s="277"/>
    </row>
    <row r="516" spans="1:4" ht="12.75" x14ac:dyDescent="0.2">
      <c r="A516" s="277"/>
      <c r="B516" s="278"/>
      <c r="C516" s="278"/>
      <c r="D516" s="277"/>
    </row>
    <row r="517" spans="1:4" ht="12.75" x14ac:dyDescent="0.2">
      <c r="A517" s="277"/>
      <c r="B517" s="278"/>
      <c r="C517" s="278"/>
      <c r="D517" s="277"/>
    </row>
    <row r="518" spans="1:4" ht="12.75" x14ac:dyDescent="0.2">
      <c r="A518" s="277"/>
      <c r="B518" s="278"/>
      <c r="C518" s="278"/>
      <c r="D518" s="277"/>
    </row>
    <row r="519" spans="1:4" ht="12.75" x14ac:dyDescent="0.2">
      <c r="A519" s="277"/>
      <c r="B519" s="278"/>
      <c r="C519" s="278"/>
      <c r="D519" s="277"/>
    </row>
    <row r="520" spans="1:4" ht="12.75" x14ac:dyDescent="0.2">
      <c r="A520" s="277"/>
      <c r="B520" s="278"/>
      <c r="C520" s="278"/>
      <c r="D520" s="277"/>
    </row>
    <row r="521" spans="1:4" ht="12.75" x14ac:dyDescent="0.2">
      <c r="A521" s="277"/>
      <c r="B521" s="278"/>
      <c r="C521" s="278"/>
      <c r="D521" s="277"/>
    </row>
    <row r="522" spans="1:4" ht="12.75" x14ac:dyDescent="0.2">
      <c r="A522" s="277"/>
      <c r="B522" s="278"/>
      <c r="C522" s="278"/>
      <c r="D522" s="277"/>
    </row>
    <row r="523" spans="1:4" ht="12.75" x14ac:dyDescent="0.2">
      <c r="A523" s="277"/>
      <c r="B523" s="278"/>
      <c r="C523" s="278"/>
      <c r="D523" s="277"/>
    </row>
    <row r="524" spans="1:4" ht="12.75" x14ac:dyDescent="0.2">
      <c r="A524" s="277"/>
      <c r="B524" s="278"/>
      <c r="C524" s="278"/>
      <c r="D524" s="277"/>
    </row>
    <row r="525" spans="1:4" ht="12.75" x14ac:dyDescent="0.2">
      <c r="A525" s="277"/>
      <c r="B525" s="278"/>
      <c r="C525" s="278"/>
      <c r="D525" s="277"/>
    </row>
    <row r="526" spans="1:4" ht="12.75" x14ac:dyDescent="0.2">
      <c r="A526" s="277"/>
      <c r="B526" s="278"/>
      <c r="C526" s="278"/>
      <c r="D526" s="277"/>
    </row>
    <row r="527" spans="1:4" ht="12.75" x14ac:dyDescent="0.2">
      <c r="A527" s="277"/>
      <c r="B527" s="278"/>
      <c r="C527" s="278"/>
      <c r="D527" s="277"/>
    </row>
    <row r="528" spans="1:4" ht="12.75" x14ac:dyDescent="0.2">
      <c r="A528" s="277"/>
      <c r="B528" s="278"/>
      <c r="C528" s="278"/>
      <c r="D528" s="277"/>
    </row>
    <row r="529" spans="1:4" ht="12.75" x14ac:dyDescent="0.2">
      <c r="A529" s="277"/>
      <c r="B529" s="278"/>
      <c r="C529" s="278"/>
      <c r="D529" s="277"/>
    </row>
    <row r="530" spans="1:4" ht="12.75" x14ac:dyDescent="0.2">
      <c r="A530" s="277"/>
      <c r="B530" s="278"/>
      <c r="C530" s="278"/>
      <c r="D530" s="277"/>
    </row>
    <row r="531" spans="1:4" ht="12.75" x14ac:dyDescent="0.2">
      <c r="A531" s="277"/>
      <c r="B531" s="278"/>
      <c r="C531" s="278"/>
      <c r="D531" s="277"/>
    </row>
    <row r="532" spans="1:4" ht="12.75" x14ac:dyDescent="0.2">
      <c r="A532" s="277"/>
      <c r="B532" s="278"/>
      <c r="C532" s="278"/>
      <c r="D532" s="277"/>
    </row>
    <row r="533" spans="1:4" ht="12.75" x14ac:dyDescent="0.2">
      <c r="A533" s="277"/>
      <c r="B533" s="278"/>
      <c r="C533" s="278"/>
      <c r="D533" s="277"/>
    </row>
    <row r="534" spans="1:4" ht="12.75" x14ac:dyDescent="0.2">
      <c r="A534" s="277"/>
      <c r="B534" s="278"/>
      <c r="C534" s="278"/>
      <c r="D534" s="277"/>
    </row>
    <row r="535" spans="1:4" ht="12.75" x14ac:dyDescent="0.2">
      <c r="A535" s="277"/>
      <c r="B535" s="278"/>
      <c r="C535" s="278"/>
      <c r="D535" s="277"/>
    </row>
    <row r="536" spans="1:4" ht="12.75" x14ac:dyDescent="0.2">
      <c r="A536" s="277"/>
      <c r="B536" s="278"/>
      <c r="C536" s="278"/>
      <c r="D536" s="277"/>
    </row>
    <row r="537" spans="1:4" ht="12.75" x14ac:dyDescent="0.2">
      <c r="A537" s="277"/>
      <c r="B537" s="278"/>
      <c r="C537" s="278"/>
      <c r="D537" s="277"/>
    </row>
    <row r="538" spans="1:4" ht="12.75" x14ac:dyDescent="0.2">
      <c r="A538" s="277"/>
      <c r="B538" s="278"/>
      <c r="C538" s="278"/>
      <c r="D538" s="277"/>
    </row>
    <row r="539" spans="1:4" ht="12.75" x14ac:dyDescent="0.2">
      <c r="A539" s="277"/>
      <c r="B539" s="278"/>
      <c r="C539" s="278"/>
      <c r="D539" s="277"/>
    </row>
    <row r="540" spans="1:4" ht="12.75" x14ac:dyDescent="0.2">
      <c r="A540" s="277"/>
      <c r="B540" s="278"/>
      <c r="C540" s="278"/>
      <c r="D540" s="277"/>
    </row>
    <row r="541" spans="1:4" ht="12.75" x14ac:dyDescent="0.2">
      <c r="A541" s="277"/>
      <c r="B541" s="278"/>
      <c r="C541" s="278"/>
      <c r="D541" s="277"/>
    </row>
    <row r="542" spans="1:4" ht="12.75" x14ac:dyDescent="0.2">
      <c r="A542" s="277"/>
      <c r="B542" s="278"/>
      <c r="C542" s="278"/>
      <c r="D542" s="277"/>
    </row>
    <row r="543" spans="1:4" ht="12.75" x14ac:dyDescent="0.2">
      <c r="A543" s="277"/>
      <c r="B543" s="278"/>
      <c r="C543" s="278"/>
      <c r="D543" s="277"/>
    </row>
    <row r="544" spans="1:4" ht="12.75" x14ac:dyDescent="0.2">
      <c r="A544" s="277"/>
      <c r="B544" s="278"/>
      <c r="C544" s="278"/>
      <c r="D544" s="277"/>
    </row>
    <row r="545" spans="1:4" ht="12.75" x14ac:dyDescent="0.2">
      <c r="A545" s="277"/>
      <c r="B545" s="278"/>
      <c r="C545" s="278"/>
      <c r="D545" s="277"/>
    </row>
    <row r="546" spans="1:4" ht="12.75" x14ac:dyDescent="0.2">
      <c r="A546" s="277"/>
      <c r="B546" s="278"/>
      <c r="C546" s="278"/>
      <c r="D546" s="277"/>
    </row>
    <row r="547" spans="1:4" ht="12.75" x14ac:dyDescent="0.2">
      <c r="A547" s="277"/>
      <c r="B547" s="278"/>
      <c r="C547" s="278"/>
      <c r="D547" s="277"/>
    </row>
    <row r="548" spans="1:4" ht="12.75" x14ac:dyDescent="0.2">
      <c r="A548" s="277"/>
      <c r="B548" s="278"/>
      <c r="C548" s="278"/>
      <c r="D548" s="277"/>
    </row>
    <row r="549" spans="1:4" ht="12.75" x14ac:dyDescent="0.2">
      <c r="A549" s="277"/>
      <c r="B549" s="278"/>
      <c r="C549" s="278"/>
      <c r="D549" s="277"/>
    </row>
    <row r="550" spans="1:4" ht="12.75" x14ac:dyDescent="0.2">
      <c r="A550" s="277"/>
      <c r="B550" s="278"/>
      <c r="C550" s="278"/>
      <c r="D550" s="277"/>
    </row>
    <row r="551" spans="1:4" ht="12.75" x14ac:dyDescent="0.2">
      <c r="A551" s="277"/>
      <c r="B551" s="278"/>
      <c r="C551" s="278"/>
      <c r="D551" s="277"/>
    </row>
    <row r="552" spans="1:4" ht="12.75" x14ac:dyDescent="0.2">
      <c r="A552" s="277"/>
      <c r="B552" s="278"/>
      <c r="C552" s="278"/>
      <c r="D552" s="277"/>
    </row>
    <row r="553" spans="1:4" ht="12.75" x14ac:dyDescent="0.2">
      <c r="A553" s="277"/>
      <c r="B553" s="278"/>
      <c r="C553" s="278"/>
      <c r="D553" s="277"/>
    </row>
    <row r="554" spans="1:4" ht="12.75" x14ac:dyDescent="0.2">
      <c r="A554" s="277"/>
      <c r="B554" s="278"/>
      <c r="C554" s="278"/>
      <c r="D554" s="277"/>
    </row>
    <row r="555" spans="1:4" ht="12.75" x14ac:dyDescent="0.2">
      <c r="A555" s="277"/>
      <c r="B555" s="278"/>
      <c r="C555" s="278"/>
      <c r="D555" s="277"/>
    </row>
    <row r="556" spans="1:4" ht="12.75" x14ac:dyDescent="0.2">
      <c r="A556" s="277"/>
      <c r="B556" s="278"/>
      <c r="C556" s="278"/>
      <c r="D556" s="277"/>
    </row>
    <row r="557" spans="1:4" ht="12.75" x14ac:dyDescent="0.2">
      <c r="A557" s="277"/>
      <c r="B557" s="278"/>
      <c r="C557" s="278"/>
      <c r="D557" s="277"/>
    </row>
    <row r="558" spans="1:4" ht="12.75" x14ac:dyDescent="0.2">
      <c r="A558" s="277"/>
      <c r="B558" s="278"/>
      <c r="C558" s="278"/>
      <c r="D558" s="277"/>
    </row>
    <row r="559" spans="1:4" ht="12.75" x14ac:dyDescent="0.2">
      <c r="A559" s="277"/>
      <c r="B559" s="278"/>
      <c r="C559" s="278"/>
      <c r="D559" s="277"/>
    </row>
    <row r="560" spans="1:4" ht="12.75" x14ac:dyDescent="0.2">
      <c r="A560" s="277"/>
      <c r="B560" s="278"/>
      <c r="C560" s="278"/>
      <c r="D560" s="277"/>
    </row>
    <row r="561" spans="1:4" ht="12.75" x14ac:dyDescent="0.2">
      <c r="A561" s="277"/>
      <c r="B561" s="278"/>
      <c r="C561" s="278"/>
      <c r="D561" s="277"/>
    </row>
    <row r="562" spans="1:4" ht="12.75" x14ac:dyDescent="0.2">
      <c r="A562" s="277"/>
      <c r="B562" s="278"/>
      <c r="C562" s="278"/>
      <c r="D562" s="277"/>
    </row>
    <row r="563" spans="1:4" ht="12.75" x14ac:dyDescent="0.2">
      <c r="A563" s="277"/>
      <c r="B563" s="278"/>
      <c r="C563" s="278"/>
      <c r="D563" s="277"/>
    </row>
    <row r="564" spans="1:4" ht="12.75" x14ac:dyDescent="0.2">
      <c r="A564" s="277"/>
      <c r="B564" s="278"/>
      <c r="C564" s="278"/>
      <c r="D564" s="277"/>
    </row>
    <row r="565" spans="1:4" ht="12.75" x14ac:dyDescent="0.2">
      <c r="A565" s="277"/>
      <c r="B565" s="278"/>
      <c r="C565" s="278"/>
      <c r="D565" s="277"/>
    </row>
    <row r="566" spans="1:4" ht="12.75" x14ac:dyDescent="0.2">
      <c r="A566" s="277"/>
      <c r="B566" s="278"/>
      <c r="C566" s="278"/>
      <c r="D566" s="277"/>
    </row>
    <row r="567" spans="1:4" ht="12.75" x14ac:dyDescent="0.2">
      <c r="A567" s="277"/>
      <c r="B567" s="278"/>
      <c r="C567" s="278"/>
      <c r="D567" s="277"/>
    </row>
    <row r="568" spans="1:4" ht="12.75" x14ac:dyDescent="0.2">
      <c r="A568" s="277"/>
      <c r="B568" s="278"/>
      <c r="C568" s="278"/>
      <c r="D568" s="277"/>
    </row>
    <row r="569" spans="1:4" ht="12.75" x14ac:dyDescent="0.2">
      <c r="A569" s="277"/>
      <c r="B569" s="278"/>
      <c r="C569" s="278"/>
      <c r="D569" s="277"/>
    </row>
    <row r="570" spans="1:4" ht="12.75" x14ac:dyDescent="0.2">
      <c r="A570" s="277"/>
      <c r="B570" s="278"/>
      <c r="C570" s="278"/>
      <c r="D570" s="277"/>
    </row>
    <row r="571" spans="1:4" ht="12.75" x14ac:dyDescent="0.2">
      <c r="A571" s="277"/>
      <c r="B571" s="278"/>
      <c r="C571" s="278"/>
      <c r="D571" s="277"/>
    </row>
    <row r="572" spans="1:4" ht="12.75" x14ac:dyDescent="0.2">
      <c r="A572" s="277"/>
      <c r="B572" s="278"/>
      <c r="C572" s="278"/>
      <c r="D572" s="277"/>
    </row>
    <row r="573" spans="1:4" ht="12.75" x14ac:dyDescent="0.2">
      <c r="A573" s="277"/>
      <c r="B573" s="278"/>
      <c r="C573" s="278"/>
      <c r="D573" s="277"/>
    </row>
    <row r="574" spans="1:4" ht="12.75" x14ac:dyDescent="0.2">
      <c r="A574" s="277"/>
      <c r="B574" s="278"/>
      <c r="C574" s="278"/>
      <c r="D574" s="277"/>
    </row>
    <row r="575" spans="1:4" ht="12.75" x14ac:dyDescent="0.2">
      <c r="A575" s="277"/>
      <c r="B575" s="278"/>
      <c r="C575" s="278"/>
      <c r="D575" s="277"/>
    </row>
    <row r="576" spans="1:4" ht="12.75" x14ac:dyDescent="0.2">
      <c r="A576" s="277"/>
      <c r="B576" s="278"/>
      <c r="C576" s="278"/>
      <c r="D576" s="277"/>
    </row>
    <row r="577" spans="1:4" ht="12.75" x14ac:dyDescent="0.2">
      <c r="A577" s="277"/>
      <c r="B577" s="278"/>
      <c r="C577" s="278"/>
      <c r="D577" s="277"/>
    </row>
    <row r="578" spans="1:4" ht="12.75" x14ac:dyDescent="0.2">
      <c r="A578" s="277"/>
      <c r="B578" s="278"/>
      <c r="C578" s="278"/>
      <c r="D578" s="277"/>
    </row>
    <row r="579" spans="1:4" ht="12.75" x14ac:dyDescent="0.2">
      <c r="A579" s="277"/>
      <c r="B579" s="278"/>
      <c r="C579" s="278"/>
      <c r="D579" s="277"/>
    </row>
    <row r="580" spans="1:4" ht="12.75" x14ac:dyDescent="0.2">
      <c r="A580" s="277"/>
      <c r="B580" s="278"/>
      <c r="C580" s="278"/>
      <c r="D580" s="277"/>
    </row>
    <row r="581" spans="1:4" ht="12.75" x14ac:dyDescent="0.2">
      <c r="A581" s="277"/>
      <c r="B581" s="278"/>
      <c r="C581" s="278"/>
      <c r="D581" s="277"/>
    </row>
    <row r="582" spans="1:4" ht="12.75" x14ac:dyDescent="0.2">
      <c r="A582" s="277"/>
      <c r="B582" s="278"/>
      <c r="C582" s="278"/>
      <c r="D582" s="277"/>
    </row>
    <row r="583" spans="1:4" ht="12.75" x14ac:dyDescent="0.2">
      <c r="A583" s="277"/>
      <c r="B583" s="278"/>
      <c r="C583" s="278"/>
      <c r="D583" s="277"/>
    </row>
    <row r="584" spans="1:4" ht="12.75" x14ac:dyDescent="0.2">
      <c r="A584" s="277"/>
      <c r="B584" s="278"/>
      <c r="C584" s="278"/>
      <c r="D584" s="277"/>
    </row>
    <row r="585" spans="1:4" ht="12.75" x14ac:dyDescent="0.2">
      <c r="A585" s="277"/>
      <c r="B585" s="278"/>
      <c r="C585" s="278"/>
      <c r="D585" s="277"/>
    </row>
    <row r="586" spans="1:4" ht="12.75" x14ac:dyDescent="0.2">
      <c r="A586" s="277"/>
      <c r="B586" s="278"/>
      <c r="C586" s="278"/>
      <c r="D586" s="277"/>
    </row>
    <row r="587" spans="1:4" ht="12.75" x14ac:dyDescent="0.2">
      <c r="A587" s="277"/>
      <c r="B587" s="278"/>
      <c r="C587" s="278"/>
      <c r="D587" s="277"/>
    </row>
    <row r="588" spans="1:4" ht="12.75" x14ac:dyDescent="0.2">
      <c r="A588" s="277"/>
      <c r="B588" s="278"/>
      <c r="C588" s="278"/>
      <c r="D588" s="277"/>
    </row>
    <row r="589" spans="1:4" ht="12.75" x14ac:dyDescent="0.2">
      <c r="A589" s="277"/>
      <c r="B589" s="278"/>
      <c r="C589" s="278"/>
      <c r="D589" s="277"/>
    </row>
    <row r="590" spans="1:4" ht="12.75" x14ac:dyDescent="0.2">
      <c r="A590" s="277"/>
      <c r="B590" s="278"/>
      <c r="C590" s="278"/>
      <c r="D590" s="277"/>
    </row>
    <row r="591" spans="1:4" ht="12.75" x14ac:dyDescent="0.2">
      <c r="A591" s="277"/>
      <c r="B591" s="278"/>
      <c r="C591" s="278"/>
      <c r="D591" s="277"/>
    </row>
    <row r="592" spans="1:4" ht="12.75" x14ac:dyDescent="0.2">
      <c r="A592" s="277"/>
      <c r="B592" s="278"/>
      <c r="C592" s="278"/>
      <c r="D592" s="277"/>
    </row>
    <row r="593" spans="1:4" ht="12.75" x14ac:dyDescent="0.2">
      <c r="A593" s="277"/>
      <c r="B593" s="278"/>
      <c r="C593" s="278"/>
      <c r="D593" s="277"/>
    </row>
    <row r="594" spans="1:4" ht="12.75" x14ac:dyDescent="0.2">
      <c r="A594" s="277"/>
      <c r="B594" s="278"/>
      <c r="C594" s="278"/>
      <c r="D594" s="277"/>
    </row>
    <row r="595" spans="1:4" ht="12.75" x14ac:dyDescent="0.2">
      <c r="A595" s="277"/>
      <c r="B595" s="278"/>
      <c r="C595" s="278"/>
      <c r="D595" s="277"/>
    </row>
    <row r="596" spans="1:4" ht="12.75" x14ac:dyDescent="0.2">
      <c r="A596" s="277"/>
      <c r="B596" s="278"/>
      <c r="C596" s="278"/>
      <c r="D596" s="277"/>
    </row>
    <row r="597" spans="1:4" ht="12.75" x14ac:dyDescent="0.2">
      <c r="A597" s="277"/>
      <c r="B597" s="278"/>
      <c r="C597" s="278"/>
      <c r="D597" s="277"/>
    </row>
    <row r="598" spans="1:4" ht="12.75" x14ac:dyDescent="0.2">
      <c r="A598" s="277"/>
      <c r="B598" s="278"/>
      <c r="C598" s="278"/>
      <c r="D598" s="277"/>
    </row>
    <row r="599" spans="1:4" ht="12.75" x14ac:dyDescent="0.2">
      <c r="A599" s="277"/>
      <c r="B599" s="278"/>
      <c r="C599" s="278"/>
      <c r="D599" s="277"/>
    </row>
    <row r="600" spans="1:4" ht="12.75" x14ac:dyDescent="0.2">
      <c r="A600" s="277"/>
      <c r="B600" s="278"/>
      <c r="C600" s="278"/>
      <c r="D600" s="277"/>
    </row>
    <row r="601" spans="1:4" ht="12.75" x14ac:dyDescent="0.2">
      <c r="A601" s="277"/>
      <c r="B601" s="278"/>
      <c r="C601" s="278"/>
      <c r="D601" s="277"/>
    </row>
    <row r="602" spans="1:4" ht="12.75" x14ac:dyDescent="0.2">
      <c r="A602" s="277"/>
      <c r="B602" s="278"/>
      <c r="C602" s="278"/>
      <c r="D602" s="277"/>
    </row>
    <row r="603" spans="1:4" ht="12.75" x14ac:dyDescent="0.2">
      <c r="A603" s="277"/>
      <c r="B603" s="278"/>
      <c r="C603" s="278"/>
      <c r="D603" s="277"/>
    </row>
    <row r="604" spans="1:4" ht="12.75" x14ac:dyDescent="0.2">
      <c r="A604" s="277"/>
      <c r="B604" s="278"/>
      <c r="C604" s="278"/>
      <c r="D604" s="277"/>
    </row>
    <row r="605" spans="1:4" ht="12.75" x14ac:dyDescent="0.2">
      <c r="A605" s="277"/>
      <c r="B605" s="278"/>
      <c r="C605" s="278"/>
      <c r="D605" s="277"/>
    </row>
    <row r="606" spans="1:4" ht="12.75" x14ac:dyDescent="0.2">
      <c r="A606" s="277"/>
      <c r="B606" s="278"/>
      <c r="C606" s="278"/>
      <c r="D606" s="277"/>
    </row>
    <row r="607" spans="1:4" ht="12.75" x14ac:dyDescent="0.2">
      <c r="A607" s="277"/>
      <c r="B607" s="278"/>
      <c r="C607" s="278"/>
      <c r="D607" s="277"/>
    </row>
    <row r="608" spans="1:4" ht="12.75" x14ac:dyDescent="0.2">
      <c r="A608" s="277"/>
      <c r="B608" s="278"/>
      <c r="C608" s="278"/>
      <c r="D608" s="277"/>
    </row>
    <row r="609" spans="1:4" ht="12.75" x14ac:dyDescent="0.2">
      <c r="A609" s="277"/>
      <c r="B609" s="278"/>
      <c r="C609" s="278"/>
      <c r="D609" s="277"/>
    </row>
    <row r="610" spans="1:4" ht="12.75" x14ac:dyDescent="0.2">
      <c r="A610" s="277"/>
      <c r="B610" s="278"/>
      <c r="C610" s="278"/>
      <c r="D610" s="277"/>
    </row>
    <row r="611" spans="1:4" ht="12.75" x14ac:dyDescent="0.2">
      <c r="A611" s="277"/>
      <c r="B611" s="278"/>
      <c r="C611" s="278"/>
      <c r="D611" s="277"/>
    </row>
    <row r="612" spans="1:4" ht="12.75" x14ac:dyDescent="0.2">
      <c r="A612" s="277"/>
      <c r="B612" s="278"/>
      <c r="C612" s="278"/>
      <c r="D612" s="277"/>
    </row>
    <row r="613" spans="1:4" ht="12.75" x14ac:dyDescent="0.2">
      <c r="A613" s="277"/>
      <c r="B613" s="278"/>
      <c r="C613" s="278"/>
      <c r="D613" s="277"/>
    </row>
    <row r="614" spans="1:4" ht="12.75" x14ac:dyDescent="0.2">
      <c r="A614" s="277"/>
      <c r="B614" s="278"/>
      <c r="C614" s="278"/>
      <c r="D614" s="277"/>
    </row>
    <row r="615" spans="1:4" ht="12.75" x14ac:dyDescent="0.2">
      <c r="A615" s="277"/>
      <c r="B615" s="278"/>
      <c r="C615" s="278"/>
      <c r="D615" s="277"/>
    </row>
    <row r="616" spans="1:4" ht="12.75" x14ac:dyDescent="0.2">
      <c r="A616" s="277"/>
      <c r="B616" s="278"/>
      <c r="C616" s="278"/>
      <c r="D616" s="277"/>
    </row>
    <row r="617" spans="1:4" ht="12.75" x14ac:dyDescent="0.2">
      <c r="A617" s="277"/>
      <c r="B617" s="278"/>
      <c r="C617" s="278"/>
      <c r="D617" s="277"/>
    </row>
    <row r="618" spans="1:4" ht="12.75" x14ac:dyDescent="0.2">
      <c r="A618" s="277"/>
      <c r="B618" s="278"/>
      <c r="C618" s="278"/>
      <c r="D618" s="277"/>
    </row>
    <row r="619" spans="1:4" ht="12.75" x14ac:dyDescent="0.2">
      <c r="A619" s="277"/>
      <c r="B619" s="278"/>
      <c r="C619" s="278"/>
      <c r="D619" s="277"/>
    </row>
    <row r="620" spans="1:4" ht="12.75" x14ac:dyDescent="0.2">
      <c r="A620" s="277"/>
      <c r="B620" s="278"/>
      <c r="C620" s="278"/>
      <c r="D620" s="277"/>
    </row>
    <row r="621" spans="1:4" ht="12.75" x14ac:dyDescent="0.2">
      <c r="A621" s="277"/>
      <c r="B621" s="278"/>
      <c r="C621" s="278"/>
      <c r="D621" s="277"/>
    </row>
    <row r="622" spans="1:4" ht="12.75" x14ac:dyDescent="0.2">
      <c r="A622" s="277"/>
      <c r="B622" s="278"/>
      <c r="C622" s="278"/>
      <c r="D622" s="277"/>
    </row>
    <row r="623" spans="1:4" ht="12.75" x14ac:dyDescent="0.2">
      <c r="A623" s="277"/>
      <c r="B623" s="278"/>
      <c r="C623" s="278"/>
      <c r="D623" s="277"/>
    </row>
    <row r="624" spans="1:4" ht="12.75" x14ac:dyDescent="0.2">
      <c r="A624" s="277"/>
      <c r="B624" s="278"/>
      <c r="C624" s="278"/>
      <c r="D624" s="277"/>
    </row>
    <row r="625" spans="1:4" ht="12.75" x14ac:dyDescent="0.2">
      <c r="A625" s="277"/>
      <c r="B625" s="278"/>
      <c r="C625" s="278"/>
      <c r="D625" s="277"/>
    </row>
    <row r="626" spans="1:4" ht="12.75" x14ac:dyDescent="0.2">
      <c r="A626" s="277"/>
      <c r="B626" s="278"/>
      <c r="C626" s="278"/>
      <c r="D626" s="277"/>
    </row>
    <row r="627" spans="1:4" ht="12.75" x14ac:dyDescent="0.2">
      <c r="A627" s="277"/>
      <c r="B627" s="278"/>
      <c r="C627" s="278"/>
      <c r="D627" s="277"/>
    </row>
    <row r="628" spans="1:4" ht="12.75" x14ac:dyDescent="0.2">
      <c r="A628" s="277"/>
      <c r="B628" s="278"/>
      <c r="C628" s="278"/>
      <c r="D628" s="277"/>
    </row>
    <row r="629" spans="1:4" ht="12.75" x14ac:dyDescent="0.2">
      <c r="A629" s="277"/>
      <c r="B629" s="278"/>
      <c r="C629" s="278"/>
      <c r="D629" s="277"/>
    </row>
    <row r="630" spans="1:4" ht="12.75" x14ac:dyDescent="0.2">
      <c r="A630" s="277"/>
      <c r="B630" s="278"/>
      <c r="C630" s="278"/>
      <c r="D630" s="277"/>
    </row>
    <row r="631" spans="1:4" ht="12.75" x14ac:dyDescent="0.2">
      <c r="A631" s="277"/>
      <c r="B631" s="278"/>
      <c r="C631" s="278"/>
      <c r="D631" s="277"/>
    </row>
    <row r="632" spans="1:4" ht="12.75" x14ac:dyDescent="0.2">
      <c r="A632" s="277"/>
      <c r="B632" s="278"/>
      <c r="C632" s="278"/>
      <c r="D632" s="277"/>
    </row>
    <row r="633" spans="1:4" ht="12.75" x14ac:dyDescent="0.2">
      <c r="A633" s="277"/>
      <c r="B633" s="278"/>
      <c r="C633" s="278"/>
      <c r="D633" s="277"/>
    </row>
    <row r="634" spans="1:4" ht="12.75" x14ac:dyDescent="0.2">
      <c r="A634" s="277"/>
      <c r="B634" s="278"/>
      <c r="C634" s="278"/>
      <c r="D634" s="277"/>
    </row>
    <row r="635" spans="1:4" ht="12.75" x14ac:dyDescent="0.2">
      <c r="A635" s="277"/>
      <c r="B635" s="278"/>
      <c r="C635" s="278"/>
      <c r="D635" s="277"/>
    </row>
    <row r="636" spans="1:4" ht="12.75" x14ac:dyDescent="0.2">
      <c r="A636" s="277"/>
      <c r="B636" s="278"/>
      <c r="C636" s="278"/>
      <c r="D636" s="277"/>
    </row>
    <row r="637" spans="1:4" ht="12.75" x14ac:dyDescent="0.2">
      <c r="A637" s="277"/>
      <c r="B637" s="278"/>
      <c r="C637" s="278"/>
      <c r="D637" s="277"/>
    </row>
    <row r="638" spans="1:4" ht="12.75" x14ac:dyDescent="0.2">
      <c r="A638" s="277"/>
      <c r="B638" s="278"/>
      <c r="C638" s="278"/>
      <c r="D638" s="277"/>
    </row>
    <row r="639" spans="1:4" ht="12.75" x14ac:dyDescent="0.2">
      <c r="A639" s="277"/>
      <c r="B639" s="278"/>
      <c r="C639" s="278"/>
      <c r="D639" s="277"/>
    </row>
    <row r="640" spans="1:4" ht="12.75" x14ac:dyDescent="0.2">
      <c r="A640" s="277"/>
      <c r="B640" s="278"/>
      <c r="C640" s="278"/>
      <c r="D640" s="277"/>
    </row>
    <row r="641" spans="1:4" ht="12.75" x14ac:dyDescent="0.2">
      <c r="A641" s="277"/>
      <c r="B641" s="278"/>
      <c r="C641" s="278"/>
      <c r="D641" s="277"/>
    </row>
    <row r="642" spans="1:4" ht="12.75" x14ac:dyDescent="0.2">
      <c r="A642" s="277"/>
      <c r="B642" s="278"/>
      <c r="C642" s="278"/>
      <c r="D642" s="277"/>
    </row>
    <row r="643" spans="1:4" ht="12.75" x14ac:dyDescent="0.2">
      <c r="A643" s="277"/>
      <c r="B643" s="278"/>
      <c r="C643" s="278"/>
      <c r="D643" s="277"/>
    </row>
    <row r="644" spans="1:4" ht="12.75" x14ac:dyDescent="0.2">
      <c r="A644" s="277"/>
      <c r="B644" s="278"/>
      <c r="C644" s="278"/>
      <c r="D644" s="277"/>
    </row>
    <row r="645" spans="1:4" ht="12.75" x14ac:dyDescent="0.2">
      <c r="A645" s="277"/>
      <c r="B645" s="278"/>
      <c r="C645" s="278"/>
      <c r="D645" s="277"/>
    </row>
    <row r="646" spans="1:4" ht="12.75" x14ac:dyDescent="0.2">
      <c r="A646" s="277"/>
      <c r="B646" s="278"/>
      <c r="C646" s="278"/>
      <c r="D646" s="277"/>
    </row>
    <row r="647" spans="1:4" ht="12.75" x14ac:dyDescent="0.2">
      <c r="A647" s="277"/>
      <c r="B647" s="278"/>
      <c r="C647" s="278"/>
      <c r="D647" s="277"/>
    </row>
    <row r="648" spans="1:4" ht="12.75" x14ac:dyDescent="0.2">
      <c r="A648" s="277"/>
      <c r="B648" s="278"/>
      <c r="C648" s="278"/>
      <c r="D648" s="277"/>
    </row>
    <row r="649" spans="1:4" ht="12.75" x14ac:dyDescent="0.2">
      <c r="A649" s="277"/>
      <c r="B649" s="278"/>
      <c r="C649" s="278"/>
      <c r="D649" s="277"/>
    </row>
    <row r="650" spans="1:4" ht="12.75" x14ac:dyDescent="0.2">
      <c r="A650" s="277"/>
      <c r="B650" s="278"/>
      <c r="C650" s="278"/>
      <c r="D650" s="277"/>
    </row>
    <row r="651" spans="1:4" ht="12.75" x14ac:dyDescent="0.2">
      <c r="A651" s="277"/>
      <c r="B651" s="278"/>
      <c r="C651" s="278"/>
      <c r="D651" s="277"/>
    </row>
    <row r="652" spans="1:4" ht="12.75" x14ac:dyDescent="0.2">
      <c r="A652" s="277"/>
      <c r="B652" s="278"/>
      <c r="C652" s="278"/>
      <c r="D652" s="277"/>
    </row>
    <row r="653" spans="1:4" ht="12.75" x14ac:dyDescent="0.2">
      <c r="A653" s="277"/>
      <c r="B653" s="278"/>
      <c r="C653" s="278"/>
      <c r="D653" s="277"/>
    </row>
    <row r="654" spans="1:4" ht="12.75" x14ac:dyDescent="0.2">
      <c r="A654" s="277"/>
      <c r="B654" s="278"/>
      <c r="C654" s="278"/>
      <c r="D654" s="277"/>
    </row>
    <row r="655" spans="1:4" ht="12.75" x14ac:dyDescent="0.2">
      <c r="A655" s="277"/>
      <c r="B655" s="278"/>
      <c r="C655" s="278"/>
      <c r="D655" s="277"/>
    </row>
    <row r="656" spans="1:4" ht="12.75" x14ac:dyDescent="0.2">
      <c r="A656" s="277"/>
      <c r="B656" s="278"/>
      <c r="C656" s="278"/>
      <c r="D656" s="277"/>
    </row>
    <row r="657" spans="1:4" ht="12.75" x14ac:dyDescent="0.2">
      <c r="A657" s="277"/>
      <c r="B657" s="278"/>
      <c r="C657" s="278"/>
      <c r="D657" s="277"/>
    </row>
    <row r="658" spans="1:4" ht="12.75" x14ac:dyDescent="0.2">
      <c r="A658" s="277"/>
      <c r="B658" s="278"/>
      <c r="C658" s="278"/>
      <c r="D658" s="277"/>
    </row>
    <row r="659" spans="1:4" ht="12.75" x14ac:dyDescent="0.2">
      <c r="A659" s="277"/>
      <c r="B659" s="278"/>
      <c r="C659" s="278"/>
      <c r="D659" s="277"/>
    </row>
    <row r="660" spans="1:4" ht="12.75" x14ac:dyDescent="0.2">
      <c r="A660" s="277"/>
      <c r="B660" s="278"/>
      <c r="C660" s="278"/>
      <c r="D660" s="277"/>
    </row>
    <row r="661" spans="1:4" ht="12.75" x14ac:dyDescent="0.2">
      <c r="A661" s="277"/>
      <c r="B661" s="278"/>
      <c r="C661" s="278"/>
      <c r="D661" s="277"/>
    </row>
    <row r="662" spans="1:4" ht="12.75" x14ac:dyDescent="0.2">
      <c r="A662" s="277"/>
      <c r="B662" s="278"/>
      <c r="C662" s="278"/>
      <c r="D662" s="277"/>
    </row>
    <row r="663" spans="1:4" ht="12.75" x14ac:dyDescent="0.2">
      <c r="A663" s="277"/>
      <c r="B663" s="278"/>
      <c r="C663" s="278"/>
      <c r="D663" s="277"/>
    </row>
    <row r="664" spans="1:4" ht="12.75" x14ac:dyDescent="0.2">
      <c r="A664" s="277"/>
      <c r="B664" s="278"/>
      <c r="C664" s="278"/>
      <c r="D664" s="277"/>
    </row>
    <row r="665" spans="1:4" ht="12.75" x14ac:dyDescent="0.2">
      <c r="A665" s="277"/>
      <c r="B665" s="278"/>
      <c r="C665" s="278"/>
      <c r="D665" s="277"/>
    </row>
    <row r="666" spans="1:4" ht="12.75" x14ac:dyDescent="0.2">
      <c r="A666" s="277"/>
      <c r="B666" s="278"/>
      <c r="C666" s="278"/>
      <c r="D666" s="277"/>
    </row>
    <row r="667" spans="1:4" ht="12.75" x14ac:dyDescent="0.2">
      <c r="A667" s="277"/>
      <c r="B667" s="278"/>
      <c r="C667" s="278"/>
      <c r="D667" s="277"/>
    </row>
    <row r="668" spans="1:4" ht="12.75" x14ac:dyDescent="0.2">
      <c r="A668" s="277"/>
      <c r="B668" s="278"/>
      <c r="C668" s="278"/>
      <c r="D668" s="277"/>
    </row>
    <row r="669" spans="1:4" ht="12.75" x14ac:dyDescent="0.2">
      <c r="A669" s="277"/>
      <c r="B669" s="278"/>
      <c r="C669" s="278"/>
      <c r="D669" s="277"/>
    </row>
    <row r="670" spans="1:4" ht="12.75" x14ac:dyDescent="0.2">
      <c r="A670" s="277"/>
      <c r="B670" s="278"/>
      <c r="C670" s="278"/>
      <c r="D670" s="277"/>
    </row>
    <row r="671" spans="1:4" ht="12.75" x14ac:dyDescent="0.2">
      <c r="A671" s="277"/>
      <c r="B671" s="278"/>
      <c r="C671" s="278"/>
      <c r="D671" s="277"/>
    </row>
    <row r="672" spans="1:4" ht="12.75" x14ac:dyDescent="0.2">
      <c r="A672" s="277"/>
      <c r="B672" s="278"/>
      <c r="C672" s="278"/>
      <c r="D672" s="277"/>
    </row>
    <row r="673" spans="1:4" ht="12.75" x14ac:dyDescent="0.2">
      <c r="A673" s="277"/>
      <c r="B673" s="278"/>
      <c r="C673" s="278"/>
      <c r="D673" s="277"/>
    </row>
    <row r="674" spans="1:4" ht="12.75" x14ac:dyDescent="0.2">
      <c r="A674" s="277"/>
      <c r="B674" s="278"/>
      <c r="C674" s="278"/>
      <c r="D674" s="277"/>
    </row>
    <row r="675" spans="1:4" ht="12.75" x14ac:dyDescent="0.2">
      <c r="A675" s="277"/>
      <c r="B675" s="278"/>
      <c r="C675" s="278"/>
      <c r="D675" s="277"/>
    </row>
    <row r="676" spans="1:4" ht="12.75" x14ac:dyDescent="0.2">
      <c r="A676" s="277"/>
      <c r="B676" s="278"/>
      <c r="C676" s="278"/>
      <c r="D676" s="277"/>
    </row>
    <row r="677" spans="1:4" ht="12.75" x14ac:dyDescent="0.2">
      <c r="A677" s="277"/>
      <c r="B677" s="278"/>
      <c r="C677" s="278"/>
      <c r="D677" s="277"/>
    </row>
    <row r="678" spans="1:4" ht="12.75" x14ac:dyDescent="0.2">
      <c r="A678" s="277"/>
      <c r="B678" s="278"/>
      <c r="C678" s="278"/>
      <c r="D678" s="277"/>
    </row>
    <row r="679" spans="1:4" ht="12.75" x14ac:dyDescent="0.2">
      <c r="A679" s="277"/>
      <c r="B679" s="278"/>
      <c r="C679" s="278"/>
      <c r="D679" s="277"/>
    </row>
    <row r="680" spans="1:4" ht="12.75" x14ac:dyDescent="0.2">
      <c r="A680" s="277"/>
      <c r="B680" s="278"/>
      <c r="C680" s="278"/>
      <c r="D680" s="277"/>
    </row>
    <row r="681" spans="1:4" ht="12.75" x14ac:dyDescent="0.2">
      <c r="A681" s="277"/>
      <c r="B681" s="278"/>
      <c r="C681" s="278"/>
      <c r="D681" s="277"/>
    </row>
    <row r="682" spans="1:4" ht="12.75" x14ac:dyDescent="0.2">
      <c r="A682" s="277"/>
      <c r="B682" s="278"/>
      <c r="C682" s="278"/>
      <c r="D682" s="277"/>
    </row>
    <row r="683" spans="1:4" ht="12.75" x14ac:dyDescent="0.2">
      <c r="A683" s="277"/>
      <c r="B683" s="278"/>
      <c r="C683" s="278"/>
      <c r="D683" s="277"/>
    </row>
    <row r="684" spans="1:4" ht="12.75" x14ac:dyDescent="0.2">
      <c r="A684" s="277"/>
      <c r="B684" s="278"/>
      <c r="C684" s="278"/>
      <c r="D684" s="277"/>
    </row>
    <row r="685" spans="1:4" ht="12.75" x14ac:dyDescent="0.2">
      <c r="A685" s="277"/>
      <c r="B685" s="278"/>
      <c r="C685" s="278"/>
      <c r="D685" s="277"/>
    </row>
    <row r="686" spans="1:4" ht="12.75" x14ac:dyDescent="0.2">
      <c r="A686" s="277"/>
      <c r="B686" s="278"/>
      <c r="C686" s="278"/>
      <c r="D686" s="277"/>
    </row>
    <row r="687" spans="1:4" ht="12.75" x14ac:dyDescent="0.2">
      <c r="A687" s="277"/>
      <c r="B687" s="278"/>
      <c r="C687" s="278"/>
      <c r="D687" s="277"/>
    </row>
    <row r="688" spans="1:4" ht="12.75" x14ac:dyDescent="0.2">
      <c r="A688" s="277"/>
      <c r="B688" s="278"/>
      <c r="C688" s="278"/>
      <c r="D688" s="277"/>
    </row>
    <row r="689" spans="1:4" ht="12.75" x14ac:dyDescent="0.2">
      <c r="A689" s="277"/>
      <c r="B689" s="278"/>
      <c r="C689" s="278"/>
      <c r="D689" s="277"/>
    </row>
    <row r="690" spans="1:4" ht="12.75" x14ac:dyDescent="0.2">
      <c r="A690" s="277"/>
      <c r="B690" s="278"/>
      <c r="C690" s="278"/>
      <c r="D690" s="277"/>
    </row>
    <row r="691" spans="1:4" ht="12.75" x14ac:dyDescent="0.2">
      <c r="A691" s="277"/>
      <c r="B691" s="278"/>
      <c r="C691" s="278"/>
      <c r="D691" s="277"/>
    </row>
    <row r="692" spans="1:4" ht="12.75" x14ac:dyDescent="0.2">
      <c r="A692" s="277"/>
      <c r="B692" s="278"/>
      <c r="C692" s="278"/>
      <c r="D692" s="277"/>
    </row>
    <row r="693" spans="1:4" ht="12.75" x14ac:dyDescent="0.2">
      <c r="A693" s="277"/>
      <c r="B693" s="278"/>
      <c r="C693" s="278"/>
      <c r="D693" s="277"/>
    </row>
    <row r="694" spans="1:4" ht="12.75" x14ac:dyDescent="0.2">
      <c r="A694" s="277"/>
      <c r="B694" s="278"/>
      <c r="C694" s="278"/>
      <c r="D694" s="277"/>
    </row>
    <row r="695" spans="1:4" ht="12.75" x14ac:dyDescent="0.2">
      <c r="A695" s="277"/>
      <c r="B695" s="278"/>
      <c r="C695" s="278"/>
      <c r="D695" s="277"/>
    </row>
    <row r="696" spans="1:4" ht="12.75" x14ac:dyDescent="0.2">
      <c r="A696" s="277"/>
      <c r="B696" s="278"/>
      <c r="C696" s="278"/>
      <c r="D696" s="277"/>
    </row>
    <row r="697" spans="1:4" ht="12.75" x14ac:dyDescent="0.2">
      <c r="A697" s="277"/>
      <c r="B697" s="278"/>
      <c r="C697" s="278"/>
      <c r="D697" s="277"/>
    </row>
    <row r="698" spans="1:4" ht="12.75" x14ac:dyDescent="0.2">
      <c r="A698" s="277"/>
      <c r="B698" s="278"/>
      <c r="C698" s="278"/>
      <c r="D698" s="277"/>
    </row>
    <row r="699" spans="1:4" ht="12.75" x14ac:dyDescent="0.2">
      <c r="A699" s="277"/>
      <c r="B699" s="278"/>
      <c r="C699" s="278"/>
      <c r="D699" s="277"/>
    </row>
    <row r="700" spans="1:4" ht="12.75" x14ac:dyDescent="0.2">
      <c r="A700" s="277"/>
      <c r="B700" s="278"/>
      <c r="C700" s="278"/>
      <c r="D700" s="277"/>
    </row>
    <row r="701" spans="1:4" ht="12.75" x14ac:dyDescent="0.2">
      <c r="A701" s="277"/>
      <c r="B701" s="278"/>
      <c r="C701" s="278"/>
      <c r="D701" s="277"/>
    </row>
    <row r="702" spans="1:4" ht="12.75" x14ac:dyDescent="0.2">
      <c r="A702" s="277"/>
      <c r="B702" s="278"/>
      <c r="C702" s="278"/>
      <c r="D702" s="277"/>
    </row>
    <row r="703" spans="1:4" ht="12.75" x14ac:dyDescent="0.2">
      <c r="A703" s="277"/>
      <c r="B703" s="278"/>
      <c r="C703" s="278"/>
      <c r="D703" s="277"/>
    </row>
    <row r="704" spans="1:4" ht="12.75" x14ac:dyDescent="0.2">
      <c r="A704" s="277"/>
      <c r="B704" s="278"/>
      <c r="C704" s="278"/>
      <c r="D704" s="277"/>
    </row>
    <row r="705" spans="1:4" ht="12.75" x14ac:dyDescent="0.2">
      <c r="A705" s="277"/>
      <c r="B705" s="278"/>
      <c r="C705" s="278"/>
      <c r="D705" s="277"/>
    </row>
    <row r="706" spans="1:4" ht="12.75" x14ac:dyDescent="0.2">
      <c r="A706" s="277"/>
      <c r="B706" s="278"/>
      <c r="C706" s="278"/>
      <c r="D706" s="277"/>
    </row>
    <row r="707" spans="1:4" ht="12.75" x14ac:dyDescent="0.2">
      <c r="A707" s="277"/>
      <c r="B707" s="278"/>
      <c r="C707" s="278"/>
      <c r="D707" s="277"/>
    </row>
    <row r="708" spans="1:4" ht="12.75" x14ac:dyDescent="0.2">
      <c r="A708" s="277"/>
      <c r="B708" s="278"/>
      <c r="C708" s="278"/>
      <c r="D708" s="277"/>
    </row>
    <row r="709" spans="1:4" ht="12.75" x14ac:dyDescent="0.2">
      <c r="A709" s="277"/>
      <c r="B709" s="278"/>
      <c r="C709" s="278"/>
      <c r="D709" s="277"/>
    </row>
    <row r="710" spans="1:4" ht="12.75" x14ac:dyDescent="0.2">
      <c r="A710" s="277"/>
      <c r="B710" s="278"/>
      <c r="C710" s="278"/>
      <c r="D710" s="277"/>
    </row>
    <row r="711" spans="1:4" ht="12.75" x14ac:dyDescent="0.2">
      <c r="A711" s="277"/>
      <c r="B711" s="278"/>
      <c r="C711" s="278"/>
      <c r="D711" s="277"/>
    </row>
    <row r="712" spans="1:4" ht="12.75" x14ac:dyDescent="0.2">
      <c r="A712" s="277"/>
      <c r="B712" s="278"/>
      <c r="C712" s="278"/>
      <c r="D712" s="277"/>
    </row>
    <row r="713" spans="1:4" ht="12.75" x14ac:dyDescent="0.2">
      <c r="A713" s="277"/>
      <c r="B713" s="278"/>
      <c r="C713" s="278"/>
      <c r="D713" s="277"/>
    </row>
    <row r="714" spans="1:4" ht="12.75" x14ac:dyDescent="0.2">
      <c r="A714" s="277"/>
      <c r="B714" s="278"/>
      <c r="C714" s="278"/>
      <c r="D714" s="277"/>
    </row>
    <row r="715" spans="1:4" ht="12.75" x14ac:dyDescent="0.2">
      <c r="A715" s="277"/>
      <c r="B715" s="278"/>
      <c r="C715" s="278"/>
      <c r="D715" s="277"/>
    </row>
    <row r="716" spans="1:4" ht="12.75" x14ac:dyDescent="0.2">
      <c r="A716" s="277"/>
      <c r="B716" s="278"/>
      <c r="C716" s="278"/>
      <c r="D716" s="277"/>
    </row>
    <row r="717" spans="1:4" ht="12.75" x14ac:dyDescent="0.2">
      <c r="A717" s="277"/>
      <c r="B717" s="278"/>
      <c r="C717" s="278"/>
      <c r="D717" s="277"/>
    </row>
    <row r="718" spans="1:4" ht="12.75" x14ac:dyDescent="0.2">
      <c r="A718" s="277"/>
      <c r="B718" s="278"/>
      <c r="C718" s="278"/>
      <c r="D718" s="277"/>
    </row>
    <row r="719" spans="1:4" ht="12.75" x14ac:dyDescent="0.2">
      <c r="A719" s="277"/>
      <c r="B719" s="278"/>
      <c r="C719" s="278"/>
      <c r="D719" s="277"/>
    </row>
    <row r="720" spans="1:4" ht="12.75" x14ac:dyDescent="0.2">
      <c r="A720" s="277"/>
      <c r="B720" s="278"/>
      <c r="C720" s="278"/>
      <c r="D720" s="277"/>
    </row>
    <row r="721" spans="1:4" ht="12.75" x14ac:dyDescent="0.2">
      <c r="A721" s="277"/>
      <c r="B721" s="278"/>
      <c r="C721" s="278"/>
      <c r="D721" s="277"/>
    </row>
    <row r="722" spans="1:4" ht="12.75" x14ac:dyDescent="0.2">
      <c r="A722" s="277"/>
      <c r="B722" s="278"/>
      <c r="C722" s="278"/>
      <c r="D722" s="277"/>
    </row>
    <row r="723" spans="1:4" ht="12.75" x14ac:dyDescent="0.2">
      <c r="A723" s="277"/>
      <c r="B723" s="278"/>
      <c r="C723" s="278"/>
      <c r="D723" s="277"/>
    </row>
    <row r="724" spans="1:4" ht="12.75" x14ac:dyDescent="0.2">
      <c r="A724" s="277"/>
      <c r="B724" s="278"/>
      <c r="C724" s="278"/>
      <c r="D724" s="277"/>
    </row>
    <row r="725" spans="1:4" ht="12.75" x14ac:dyDescent="0.2">
      <c r="A725" s="277"/>
      <c r="B725" s="278"/>
      <c r="C725" s="278"/>
      <c r="D725" s="277"/>
    </row>
    <row r="726" spans="1:4" ht="12.75" x14ac:dyDescent="0.2">
      <c r="A726" s="277"/>
      <c r="B726" s="278"/>
      <c r="C726" s="278"/>
      <c r="D726" s="277"/>
    </row>
    <row r="727" spans="1:4" ht="12.75" x14ac:dyDescent="0.2">
      <c r="A727" s="277"/>
      <c r="B727" s="278"/>
      <c r="C727" s="278"/>
      <c r="D727" s="277"/>
    </row>
    <row r="728" spans="1:4" ht="12.75" x14ac:dyDescent="0.2">
      <c r="A728" s="277"/>
      <c r="B728" s="278"/>
      <c r="C728" s="278"/>
      <c r="D728" s="277"/>
    </row>
    <row r="729" spans="1:4" ht="12.75" x14ac:dyDescent="0.2">
      <c r="A729" s="277"/>
      <c r="B729" s="278"/>
      <c r="C729" s="278"/>
      <c r="D729" s="277"/>
    </row>
    <row r="730" spans="1:4" ht="12.75" x14ac:dyDescent="0.2">
      <c r="A730" s="277"/>
      <c r="B730" s="278"/>
      <c r="C730" s="278"/>
      <c r="D730" s="277"/>
    </row>
    <row r="731" spans="1:4" ht="12.75" x14ac:dyDescent="0.2">
      <c r="A731" s="277"/>
      <c r="B731" s="278"/>
      <c r="C731" s="278"/>
      <c r="D731" s="277"/>
    </row>
    <row r="732" spans="1:4" ht="12.75" x14ac:dyDescent="0.2">
      <c r="A732" s="277"/>
      <c r="B732" s="278"/>
      <c r="C732" s="278"/>
      <c r="D732" s="277"/>
    </row>
    <row r="733" spans="1:4" ht="12.75" x14ac:dyDescent="0.2">
      <c r="A733" s="277"/>
      <c r="B733" s="278"/>
      <c r="C733" s="278"/>
      <c r="D733" s="277"/>
    </row>
    <row r="734" spans="1:4" ht="12.75" x14ac:dyDescent="0.2">
      <c r="A734" s="277"/>
      <c r="B734" s="278"/>
      <c r="C734" s="278"/>
      <c r="D734" s="277"/>
    </row>
    <row r="735" spans="1:4" ht="12.75" x14ac:dyDescent="0.2">
      <c r="A735" s="277"/>
      <c r="B735" s="278"/>
      <c r="C735" s="278"/>
      <c r="D735" s="277"/>
    </row>
    <row r="736" spans="1:4" ht="12.75" x14ac:dyDescent="0.2">
      <c r="A736" s="277"/>
      <c r="B736" s="278"/>
      <c r="C736" s="278"/>
      <c r="D736" s="277"/>
    </row>
    <row r="737" spans="1:4" ht="12.75" x14ac:dyDescent="0.2">
      <c r="A737" s="277"/>
      <c r="B737" s="278"/>
      <c r="C737" s="278"/>
      <c r="D737" s="277"/>
    </row>
    <row r="738" spans="1:4" ht="12.75" x14ac:dyDescent="0.2">
      <c r="A738" s="277"/>
      <c r="B738" s="278"/>
      <c r="C738" s="278"/>
      <c r="D738" s="277"/>
    </row>
    <row r="739" spans="1:4" ht="12.75" x14ac:dyDescent="0.2">
      <c r="A739" s="277"/>
      <c r="B739" s="278"/>
      <c r="C739" s="278"/>
      <c r="D739" s="277"/>
    </row>
    <row r="740" spans="1:4" ht="12.75" x14ac:dyDescent="0.2">
      <c r="A740" s="277"/>
      <c r="B740" s="278"/>
      <c r="C740" s="278"/>
      <c r="D740" s="277"/>
    </row>
    <row r="741" spans="1:4" ht="12.75" x14ac:dyDescent="0.2">
      <c r="A741" s="277"/>
      <c r="B741" s="278"/>
      <c r="C741" s="278"/>
      <c r="D741" s="277"/>
    </row>
    <row r="742" spans="1:4" ht="12.75" x14ac:dyDescent="0.2">
      <c r="A742" s="277"/>
      <c r="B742" s="278"/>
      <c r="C742" s="278"/>
      <c r="D742" s="277"/>
    </row>
    <row r="743" spans="1:4" ht="12.75" x14ac:dyDescent="0.2">
      <c r="A743" s="277"/>
      <c r="B743" s="278"/>
      <c r="C743" s="278"/>
      <c r="D743" s="277"/>
    </row>
    <row r="744" spans="1:4" ht="12.75" x14ac:dyDescent="0.2">
      <c r="A744" s="277"/>
      <c r="B744" s="278"/>
      <c r="C744" s="278"/>
      <c r="D744" s="277"/>
    </row>
    <row r="745" spans="1:4" ht="12.75" x14ac:dyDescent="0.2">
      <c r="A745" s="277"/>
      <c r="B745" s="278"/>
      <c r="C745" s="278"/>
      <c r="D745" s="277"/>
    </row>
    <row r="746" spans="1:4" ht="12.75" x14ac:dyDescent="0.2">
      <c r="A746" s="277"/>
      <c r="B746" s="278"/>
      <c r="C746" s="278"/>
      <c r="D746" s="277"/>
    </row>
    <row r="747" spans="1:4" ht="12.75" x14ac:dyDescent="0.2">
      <c r="A747" s="277"/>
      <c r="B747" s="278"/>
      <c r="C747" s="278"/>
      <c r="D747" s="277"/>
    </row>
    <row r="748" spans="1:4" ht="12.75" x14ac:dyDescent="0.2">
      <c r="A748" s="277"/>
      <c r="B748" s="278"/>
      <c r="C748" s="278"/>
      <c r="D748" s="277"/>
    </row>
    <row r="749" spans="1:4" ht="12.75" x14ac:dyDescent="0.2">
      <c r="A749" s="277"/>
      <c r="B749" s="278"/>
      <c r="C749" s="278"/>
      <c r="D749" s="277"/>
    </row>
    <row r="750" spans="1:4" ht="12.75" x14ac:dyDescent="0.2">
      <c r="A750" s="277"/>
      <c r="B750" s="278"/>
      <c r="C750" s="278"/>
      <c r="D750" s="277"/>
    </row>
    <row r="751" spans="1:4" ht="12.75" x14ac:dyDescent="0.2">
      <c r="A751" s="277"/>
      <c r="B751" s="278"/>
      <c r="C751" s="278"/>
      <c r="D751" s="277"/>
    </row>
    <row r="752" spans="1:4" ht="12.75" x14ac:dyDescent="0.2">
      <c r="A752" s="277"/>
      <c r="B752" s="278"/>
      <c r="C752" s="278"/>
      <c r="D752" s="277"/>
    </row>
    <row r="753" spans="1:4" ht="12.75" x14ac:dyDescent="0.2">
      <c r="A753" s="277"/>
      <c r="B753" s="278"/>
      <c r="C753" s="278"/>
      <c r="D753" s="277"/>
    </row>
    <row r="754" spans="1:4" ht="12.75" x14ac:dyDescent="0.2">
      <c r="A754" s="277"/>
      <c r="B754" s="278"/>
      <c r="C754" s="278"/>
      <c r="D754" s="277"/>
    </row>
    <row r="755" spans="1:4" ht="12.75" x14ac:dyDescent="0.2">
      <c r="A755" s="277"/>
      <c r="B755" s="278"/>
      <c r="C755" s="278"/>
      <c r="D755" s="277"/>
    </row>
    <row r="756" spans="1:4" ht="12.75" x14ac:dyDescent="0.2">
      <c r="A756" s="277"/>
      <c r="B756" s="278"/>
      <c r="C756" s="278"/>
      <c r="D756" s="277"/>
    </row>
    <row r="757" spans="1:4" ht="12.75" x14ac:dyDescent="0.2">
      <c r="A757" s="277"/>
      <c r="B757" s="278"/>
      <c r="C757" s="278"/>
      <c r="D757" s="277"/>
    </row>
    <row r="758" spans="1:4" ht="12.75" x14ac:dyDescent="0.2">
      <c r="A758" s="277"/>
      <c r="B758" s="278"/>
      <c r="C758" s="278"/>
      <c r="D758" s="277"/>
    </row>
    <row r="759" spans="1:4" ht="12.75" x14ac:dyDescent="0.2">
      <c r="A759" s="277"/>
      <c r="B759" s="278"/>
      <c r="C759" s="278"/>
      <c r="D759" s="277"/>
    </row>
    <row r="760" spans="1:4" ht="12.75" x14ac:dyDescent="0.2">
      <c r="A760" s="277"/>
      <c r="B760" s="278"/>
      <c r="C760" s="278"/>
      <c r="D760" s="277"/>
    </row>
    <row r="761" spans="1:4" ht="12.75" x14ac:dyDescent="0.2">
      <c r="A761" s="277"/>
      <c r="B761" s="278"/>
      <c r="C761" s="278"/>
      <c r="D761" s="277"/>
    </row>
    <row r="762" spans="1:4" ht="12.75" x14ac:dyDescent="0.2">
      <c r="A762" s="277"/>
      <c r="B762" s="278"/>
      <c r="C762" s="278"/>
      <c r="D762" s="277"/>
    </row>
    <row r="763" spans="1:4" ht="12.75" x14ac:dyDescent="0.2">
      <c r="A763" s="277"/>
      <c r="B763" s="278"/>
      <c r="C763" s="278"/>
      <c r="D763" s="277"/>
    </row>
    <row r="764" spans="1:4" ht="12.75" x14ac:dyDescent="0.2">
      <c r="A764" s="277"/>
      <c r="B764" s="278"/>
      <c r="C764" s="278"/>
      <c r="D764" s="277"/>
    </row>
    <row r="765" spans="1:4" ht="12.75" x14ac:dyDescent="0.2">
      <c r="A765" s="277"/>
      <c r="B765" s="278"/>
      <c r="C765" s="278"/>
      <c r="D765" s="277"/>
    </row>
    <row r="766" spans="1:4" ht="12.75" x14ac:dyDescent="0.2">
      <c r="A766" s="277"/>
      <c r="B766" s="278"/>
      <c r="C766" s="278"/>
      <c r="D766" s="277"/>
    </row>
    <row r="767" spans="1:4" ht="12.75" x14ac:dyDescent="0.2">
      <c r="A767" s="277"/>
      <c r="B767" s="278"/>
      <c r="C767" s="278"/>
      <c r="D767" s="277"/>
    </row>
    <row r="768" spans="1:4" ht="12.75" x14ac:dyDescent="0.2">
      <c r="A768" s="277"/>
      <c r="B768" s="278"/>
      <c r="C768" s="278"/>
      <c r="D768" s="277"/>
    </row>
    <row r="769" spans="1:4" ht="12.75" x14ac:dyDescent="0.2">
      <c r="A769" s="277"/>
      <c r="B769" s="278"/>
      <c r="C769" s="278"/>
      <c r="D769" s="277"/>
    </row>
    <row r="770" spans="1:4" ht="12.75" x14ac:dyDescent="0.2">
      <c r="A770" s="277"/>
      <c r="B770" s="278"/>
      <c r="C770" s="278"/>
      <c r="D770" s="277"/>
    </row>
    <row r="771" spans="1:4" ht="12.75" x14ac:dyDescent="0.2">
      <c r="A771" s="277"/>
      <c r="B771" s="278"/>
      <c r="C771" s="278"/>
      <c r="D771" s="277"/>
    </row>
    <row r="772" spans="1:4" ht="12.75" x14ac:dyDescent="0.2">
      <c r="A772" s="277"/>
      <c r="B772" s="278"/>
      <c r="C772" s="278"/>
      <c r="D772" s="277"/>
    </row>
    <row r="773" spans="1:4" ht="12.75" x14ac:dyDescent="0.2">
      <c r="A773" s="277"/>
      <c r="B773" s="278"/>
      <c r="C773" s="278"/>
      <c r="D773" s="277"/>
    </row>
    <row r="774" spans="1:4" ht="12.75" x14ac:dyDescent="0.2">
      <c r="A774" s="277"/>
      <c r="B774" s="278"/>
      <c r="C774" s="278"/>
      <c r="D774" s="277"/>
    </row>
    <row r="775" spans="1:4" ht="12.75" x14ac:dyDescent="0.2">
      <c r="A775" s="277"/>
      <c r="B775" s="278"/>
      <c r="C775" s="278"/>
      <c r="D775" s="277"/>
    </row>
    <row r="776" spans="1:4" ht="12.75" x14ac:dyDescent="0.2">
      <c r="A776" s="277"/>
      <c r="B776" s="278"/>
      <c r="C776" s="278"/>
      <c r="D776" s="277"/>
    </row>
    <row r="777" spans="1:4" ht="12.75" x14ac:dyDescent="0.2">
      <c r="A777" s="277"/>
      <c r="B777" s="278"/>
      <c r="C777" s="278"/>
      <c r="D777" s="277"/>
    </row>
    <row r="778" spans="1:4" ht="12.75" x14ac:dyDescent="0.2">
      <c r="A778" s="277"/>
      <c r="B778" s="278"/>
      <c r="C778" s="278"/>
      <c r="D778" s="277"/>
    </row>
    <row r="779" spans="1:4" ht="12.75" x14ac:dyDescent="0.2">
      <c r="A779" s="277"/>
      <c r="B779" s="278"/>
      <c r="C779" s="278"/>
      <c r="D779" s="277"/>
    </row>
    <row r="780" spans="1:4" ht="12.75" x14ac:dyDescent="0.2">
      <c r="A780" s="277"/>
      <c r="B780" s="278"/>
      <c r="C780" s="278"/>
      <c r="D780" s="277"/>
    </row>
    <row r="781" spans="1:4" ht="12.75" x14ac:dyDescent="0.2">
      <c r="A781" s="277"/>
      <c r="B781" s="278"/>
      <c r="C781" s="278"/>
      <c r="D781" s="277"/>
    </row>
    <row r="782" spans="1:4" ht="12.75" x14ac:dyDescent="0.2">
      <c r="A782" s="277"/>
      <c r="B782" s="278"/>
      <c r="C782" s="278"/>
      <c r="D782" s="277"/>
    </row>
    <row r="783" spans="1:4" ht="12.75" x14ac:dyDescent="0.2">
      <c r="A783" s="277"/>
      <c r="B783" s="278"/>
      <c r="C783" s="278"/>
      <c r="D783" s="277"/>
    </row>
    <row r="784" spans="1:4" ht="12.75" x14ac:dyDescent="0.2">
      <c r="A784" s="277"/>
      <c r="B784" s="278"/>
      <c r="C784" s="278"/>
      <c r="D784" s="277"/>
    </row>
    <row r="785" spans="1:4" ht="12.75" x14ac:dyDescent="0.2">
      <c r="A785" s="277"/>
      <c r="B785" s="278"/>
      <c r="C785" s="278"/>
      <c r="D785" s="277"/>
    </row>
    <row r="786" spans="1:4" ht="12.75" x14ac:dyDescent="0.2">
      <c r="A786" s="277"/>
      <c r="B786" s="278"/>
      <c r="C786" s="278"/>
      <c r="D786" s="277"/>
    </row>
    <row r="787" spans="1:4" ht="12.75" x14ac:dyDescent="0.2">
      <c r="A787" s="277"/>
      <c r="B787" s="278"/>
      <c r="C787" s="278"/>
      <c r="D787" s="277"/>
    </row>
    <row r="788" spans="1:4" ht="12.75" x14ac:dyDescent="0.2">
      <c r="A788" s="277"/>
      <c r="B788" s="278"/>
      <c r="C788" s="278"/>
      <c r="D788" s="277"/>
    </row>
    <row r="789" spans="1:4" ht="12.75" x14ac:dyDescent="0.2">
      <c r="A789" s="277"/>
      <c r="B789" s="278"/>
      <c r="C789" s="278"/>
      <c r="D789" s="277"/>
    </row>
    <row r="790" spans="1:4" ht="12.75" x14ac:dyDescent="0.2">
      <c r="A790" s="277"/>
      <c r="B790" s="278"/>
      <c r="C790" s="278"/>
      <c r="D790" s="277"/>
    </row>
    <row r="791" spans="1:4" ht="12.75" x14ac:dyDescent="0.2">
      <c r="A791" s="277"/>
      <c r="B791" s="278"/>
      <c r="C791" s="278"/>
      <c r="D791" s="277"/>
    </row>
    <row r="792" spans="1:4" ht="12.75" x14ac:dyDescent="0.2">
      <c r="A792" s="277"/>
      <c r="B792" s="278"/>
      <c r="C792" s="278"/>
      <c r="D792" s="277"/>
    </row>
    <row r="793" spans="1:4" ht="12.75" x14ac:dyDescent="0.2">
      <c r="A793" s="277"/>
      <c r="B793" s="278"/>
      <c r="C793" s="278"/>
      <c r="D793" s="277"/>
    </row>
    <row r="794" spans="1:4" ht="12.75" x14ac:dyDescent="0.2">
      <c r="A794" s="277"/>
      <c r="B794" s="278"/>
      <c r="C794" s="278"/>
      <c r="D794" s="277"/>
    </row>
    <row r="795" spans="1:4" ht="12.75" x14ac:dyDescent="0.2">
      <c r="A795" s="277"/>
      <c r="B795" s="278"/>
      <c r="C795" s="278"/>
      <c r="D795" s="277"/>
    </row>
    <row r="796" spans="1:4" ht="12.75" x14ac:dyDescent="0.2">
      <c r="A796" s="277"/>
      <c r="B796" s="278"/>
      <c r="C796" s="278"/>
      <c r="D796" s="277"/>
    </row>
    <row r="797" spans="1:4" ht="12.75" x14ac:dyDescent="0.2">
      <c r="A797" s="277"/>
      <c r="B797" s="278"/>
      <c r="C797" s="278"/>
      <c r="D797" s="277"/>
    </row>
    <row r="798" spans="1:4" ht="12.75" x14ac:dyDescent="0.2">
      <c r="A798" s="277"/>
      <c r="B798" s="278"/>
      <c r="C798" s="278"/>
      <c r="D798" s="277"/>
    </row>
    <row r="799" spans="1:4" ht="12.75" x14ac:dyDescent="0.2">
      <c r="A799" s="277"/>
      <c r="B799" s="278"/>
      <c r="C799" s="278"/>
      <c r="D799" s="277"/>
    </row>
    <row r="800" spans="1:4" ht="12.75" x14ac:dyDescent="0.2">
      <c r="A800" s="277"/>
      <c r="B800" s="278"/>
      <c r="C800" s="278"/>
      <c r="D800" s="277"/>
    </row>
    <row r="801" spans="1:4" ht="12.75" x14ac:dyDescent="0.2">
      <c r="A801" s="277"/>
      <c r="B801" s="278"/>
      <c r="C801" s="278"/>
      <c r="D801" s="277"/>
    </row>
    <row r="802" spans="1:4" ht="12.75" x14ac:dyDescent="0.2">
      <c r="A802" s="277"/>
      <c r="B802" s="278"/>
      <c r="C802" s="278"/>
      <c r="D802" s="277"/>
    </row>
    <row r="803" spans="1:4" ht="12.75" x14ac:dyDescent="0.2">
      <c r="A803" s="277"/>
      <c r="B803" s="278"/>
      <c r="C803" s="278"/>
      <c r="D803" s="277"/>
    </row>
    <row r="804" spans="1:4" ht="12.75" x14ac:dyDescent="0.2">
      <c r="A804" s="277"/>
      <c r="B804" s="278"/>
      <c r="C804" s="278"/>
      <c r="D804" s="277"/>
    </row>
    <row r="805" spans="1:4" ht="12.75" x14ac:dyDescent="0.2">
      <c r="A805" s="277"/>
      <c r="B805" s="278"/>
      <c r="C805" s="278"/>
      <c r="D805" s="277"/>
    </row>
    <row r="806" spans="1:4" ht="12.75" x14ac:dyDescent="0.2">
      <c r="A806" s="277"/>
      <c r="B806" s="278"/>
      <c r="C806" s="278"/>
      <c r="D806" s="277"/>
    </row>
    <row r="807" spans="1:4" ht="12.75" x14ac:dyDescent="0.2">
      <c r="A807" s="277"/>
      <c r="B807" s="278"/>
      <c r="C807" s="278"/>
      <c r="D807" s="277"/>
    </row>
    <row r="808" spans="1:4" ht="12.75" x14ac:dyDescent="0.2">
      <c r="A808" s="277"/>
      <c r="B808" s="278"/>
      <c r="C808" s="278"/>
      <c r="D808" s="277"/>
    </row>
    <row r="809" spans="1:4" ht="12.75" x14ac:dyDescent="0.2">
      <c r="A809" s="277"/>
      <c r="B809" s="278"/>
      <c r="C809" s="278"/>
      <c r="D809" s="277"/>
    </row>
    <row r="810" spans="1:4" ht="12.75" x14ac:dyDescent="0.2">
      <c r="A810" s="277"/>
      <c r="B810" s="278"/>
      <c r="C810" s="278"/>
      <c r="D810" s="277"/>
    </row>
    <row r="811" spans="1:4" ht="12.75" x14ac:dyDescent="0.2">
      <c r="A811" s="277"/>
      <c r="B811" s="278"/>
      <c r="C811" s="278"/>
      <c r="D811" s="277"/>
    </row>
    <row r="812" spans="1:4" ht="12.75" x14ac:dyDescent="0.2">
      <c r="A812" s="277"/>
      <c r="B812" s="278"/>
      <c r="C812" s="278"/>
      <c r="D812" s="277"/>
    </row>
    <row r="813" spans="1:4" ht="12.75" x14ac:dyDescent="0.2">
      <c r="A813" s="277"/>
      <c r="B813" s="278"/>
      <c r="C813" s="278"/>
      <c r="D813" s="277"/>
    </row>
    <row r="814" spans="1:4" ht="12.75" x14ac:dyDescent="0.2">
      <c r="A814" s="277"/>
      <c r="B814" s="278"/>
      <c r="C814" s="278"/>
      <c r="D814" s="277"/>
    </row>
    <row r="815" spans="1:4" ht="12.75" x14ac:dyDescent="0.2">
      <c r="A815" s="277"/>
      <c r="B815" s="278"/>
      <c r="C815" s="278"/>
      <c r="D815" s="277"/>
    </row>
    <row r="816" spans="1:4" ht="12.75" x14ac:dyDescent="0.2">
      <c r="A816" s="277"/>
      <c r="B816" s="278"/>
      <c r="C816" s="278"/>
      <c r="D816" s="277"/>
    </row>
    <row r="817" spans="1:4" ht="12.75" x14ac:dyDescent="0.2">
      <c r="A817" s="277"/>
      <c r="B817" s="278"/>
      <c r="C817" s="278"/>
      <c r="D817" s="277"/>
    </row>
    <row r="818" spans="1:4" ht="12.75" x14ac:dyDescent="0.2">
      <c r="A818" s="277"/>
      <c r="B818" s="278"/>
      <c r="C818" s="278"/>
      <c r="D818" s="277"/>
    </row>
    <row r="819" spans="1:4" ht="12.75" x14ac:dyDescent="0.2">
      <c r="A819" s="277"/>
      <c r="B819" s="278"/>
      <c r="C819" s="278"/>
      <c r="D819" s="277"/>
    </row>
    <row r="820" spans="1:4" ht="12.75" x14ac:dyDescent="0.2">
      <c r="A820" s="277"/>
      <c r="B820" s="278"/>
      <c r="C820" s="278"/>
      <c r="D820" s="277"/>
    </row>
    <row r="821" spans="1:4" ht="12.75" x14ac:dyDescent="0.2">
      <c r="A821" s="277"/>
      <c r="B821" s="278"/>
      <c r="C821" s="278"/>
      <c r="D821" s="277"/>
    </row>
    <row r="822" spans="1:4" ht="12.75" x14ac:dyDescent="0.2">
      <c r="A822" s="277"/>
      <c r="B822" s="278"/>
      <c r="C822" s="278"/>
      <c r="D822" s="277"/>
    </row>
    <row r="823" spans="1:4" ht="12.75" x14ac:dyDescent="0.2">
      <c r="A823" s="277"/>
      <c r="B823" s="278"/>
      <c r="C823" s="278"/>
      <c r="D823" s="277"/>
    </row>
    <row r="824" spans="1:4" ht="12.75" x14ac:dyDescent="0.2">
      <c r="A824" s="277"/>
      <c r="B824" s="278"/>
      <c r="C824" s="278"/>
      <c r="D824" s="277"/>
    </row>
    <row r="825" spans="1:4" ht="12.75" x14ac:dyDescent="0.2">
      <c r="A825" s="277"/>
      <c r="B825" s="278"/>
      <c r="C825" s="278"/>
      <c r="D825" s="277"/>
    </row>
    <row r="826" spans="1:4" ht="12.75" x14ac:dyDescent="0.2">
      <c r="A826" s="277"/>
      <c r="B826" s="278"/>
      <c r="C826" s="278"/>
      <c r="D826" s="277"/>
    </row>
    <row r="827" spans="1:4" ht="12.75" x14ac:dyDescent="0.2">
      <c r="A827" s="277"/>
      <c r="B827" s="278"/>
      <c r="C827" s="278"/>
      <c r="D827" s="277"/>
    </row>
    <row r="828" spans="1:4" ht="12.75" x14ac:dyDescent="0.2">
      <c r="A828" s="277"/>
      <c r="B828" s="278"/>
      <c r="C828" s="278"/>
      <c r="D828" s="277"/>
    </row>
    <row r="829" spans="1:4" ht="12.75" x14ac:dyDescent="0.2">
      <c r="A829" s="277"/>
      <c r="B829" s="278"/>
      <c r="C829" s="278"/>
      <c r="D829" s="277"/>
    </row>
    <row r="830" spans="1:4" ht="12.75" x14ac:dyDescent="0.2">
      <c r="A830" s="277"/>
      <c r="B830" s="278"/>
      <c r="C830" s="278"/>
      <c r="D830" s="277"/>
    </row>
    <row r="831" spans="1:4" ht="12.75" x14ac:dyDescent="0.2">
      <c r="A831" s="277"/>
      <c r="B831" s="278"/>
      <c r="C831" s="278"/>
      <c r="D831" s="277"/>
    </row>
    <row r="832" spans="1:4" ht="12.75" x14ac:dyDescent="0.2">
      <c r="A832" s="277"/>
      <c r="B832" s="278"/>
      <c r="C832" s="278"/>
      <c r="D832" s="277"/>
    </row>
    <row r="833" spans="1:4" ht="12.75" x14ac:dyDescent="0.2">
      <c r="A833" s="277"/>
      <c r="B833" s="278"/>
      <c r="C833" s="278"/>
      <c r="D833" s="277"/>
    </row>
    <row r="834" spans="1:4" ht="12.75" x14ac:dyDescent="0.2">
      <c r="A834" s="277"/>
      <c r="B834" s="278"/>
      <c r="C834" s="278"/>
      <c r="D834" s="277"/>
    </row>
    <row r="835" spans="1:4" ht="12.75" x14ac:dyDescent="0.2">
      <c r="A835" s="277"/>
      <c r="B835" s="278"/>
      <c r="C835" s="278"/>
      <c r="D835" s="277"/>
    </row>
    <row r="836" spans="1:4" ht="12.75" x14ac:dyDescent="0.2">
      <c r="A836" s="277"/>
      <c r="B836" s="278"/>
      <c r="C836" s="278"/>
      <c r="D836" s="277"/>
    </row>
    <row r="837" spans="1:4" ht="12.75" x14ac:dyDescent="0.2">
      <c r="A837" s="277"/>
      <c r="B837" s="278"/>
      <c r="C837" s="278"/>
      <c r="D837" s="277"/>
    </row>
    <row r="838" spans="1:4" ht="12.75" x14ac:dyDescent="0.2">
      <c r="A838" s="277"/>
      <c r="B838" s="278"/>
      <c r="C838" s="278"/>
      <c r="D838" s="277"/>
    </row>
    <row r="839" spans="1:4" ht="12.75" x14ac:dyDescent="0.2">
      <c r="A839" s="277"/>
      <c r="B839" s="278"/>
      <c r="C839" s="278"/>
      <c r="D839" s="277"/>
    </row>
    <row r="840" spans="1:4" ht="12.75" x14ac:dyDescent="0.2">
      <c r="A840" s="277"/>
      <c r="B840" s="278"/>
      <c r="C840" s="278"/>
      <c r="D840" s="277"/>
    </row>
    <row r="841" spans="1:4" ht="12.75" x14ac:dyDescent="0.2">
      <c r="A841" s="277"/>
      <c r="B841" s="278"/>
      <c r="C841" s="278"/>
      <c r="D841" s="277"/>
    </row>
    <row r="842" spans="1:4" ht="12.75" x14ac:dyDescent="0.2">
      <c r="A842" s="277"/>
      <c r="B842" s="278"/>
      <c r="C842" s="278"/>
      <c r="D842" s="277"/>
    </row>
    <row r="843" spans="1:4" ht="12.75" x14ac:dyDescent="0.2">
      <c r="A843" s="277"/>
      <c r="B843" s="278"/>
      <c r="C843" s="278"/>
      <c r="D843" s="277"/>
    </row>
    <row r="844" spans="1:4" ht="12.75" x14ac:dyDescent="0.2">
      <c r="A844" s="277"/>
      <c r="B844" s="278"/>
      <c r="C844" s="278"/>
      <c r="D844" s="277"/>
    </row>
    <row r="845" spans="1:4" ht="12.75" x14ac:dyDescent="0.2">
      <c r="A845" s="277"/>
      <c r="B845" s="278"/>
      <c r="C845" s="278"/>
      <c r="D845" s="277"/>
    </row>
    <row r="846" spans="1:4" ht="12.75" x14ac:dyDescent="0.2">
      <c r="A846" s="277"/>
      <c r="B846" s="278"/>
      <c r="C846" s="278"/>
      <c r="D846" s="277"/>
    </row>
    <row r="847" spans="1:4" ht="12.75" x14ac:dyDescent="0.2">
      <c r="A847" s="277"/>
      <c r="B847" s="278"/>
      <c r="C847" s="278"/>
      <c r="D847" s="277"/>
    </row>
    <row r="848" spans="1:4" ht="12.75" x14ac:dyDescent="0.2">
      <c r="A848" s="277"/>
      <c r="B848" s="278"/>
      <c r="C848" s="278"/>
      <c r="D848" s="277"/>
    </row>
    <row r="849" spans="1:4" ht="12.75" x14ac:dyDescent="0.2">
      <c r="A849" s="277"/>
      <c r="B849" s="278"/>
      <c r="C849" s="278"/>
      <c r="D849" s="277"/>
    </row>
    <row r="850" spans="1:4" ht="12.75" x14ac:dyDescent="0.2">
      <c r="A850" s="277"/>
      <c r="B850" s="278"/>
      <c r="C850" s="278"/>
      <c r="D850" s="277"/>
    </row>
    <row r="851" spans="1:4" ht="12.75" x14ac:dyDescent="0.2">
      <c r="A851" s="277"/>
      <c r="B851" s="278"/>
      <c r="C851" s="278"/>
      <c r="D851" s="277"/>
    </row>
    <row r="852" spans="1:4" ht="12.75" x14ac:dyDescent="0.2">
      <c r="A852" s="277"/>
      <c r="B852" s="278"/>
      <c r="C852" s="278"/>
      <c r="D852" s="277"/>
    </row>
    <row r="853" spans="1:4" ht="12.75" x14ac:dyDescent="0.2">
      <c r="A853" s="277"/>
      <c r="B853" s="278"/>
      <c r="C853" s="278"/>
      <c r="D853" s="277"/>
    </row>
    <row r="854" spans="1:4" ht="12.75" x14ac:dyDescent="0.2">
      <c r="A854" s="277"/>
      <c r="B854" s="278"/>
      <c r="C854" s="278"/>
      <c r="D854" s="277"/>
    </row>
    <row r="855" spans="1:4" ht="12.75" x14ac:dyDescent="0.2">
      <c r="A855" s="277"/>
      <c r="B855" s="278"/>
      <c r="C855" s="278"/>
      <c r="D855" s="277"/>
    </row>
    <row r="856" spans="1:4" ht="12.75" x14ac:dyDescent="0.2">
      <c r="A856" s="277"/>
      <c r="B856" s="278"/>
      <c r="C856" s="278"/>
      <c r="D856" s="277"/>
    </row>
    <row r="857" spans="1:4" ht="12.75" x14ac:dyDescent="0.2">
      <c r="A857" s="277"/>
      <c r="B857" s="278"/>
      <c r="C857" s="278"/>
      <c r="D857" s="277"/>
    </row>
    <row r="858" spans="1:4" ht="12.75" x14ac:dyDescent="0.2">
      <c r="A858" s="277"/>
      <c r="B858" s="278"/>
      <c r="C858" s="278"/>
      <c r="D858" s="277"/>
    </row>
    <row r="859" spans="1:4" ht="12.75" x14ac:dyDescent="0.2">
      <c r="A859" s="277"/>
      <c r="B859" s="278"/>
      <c r="C859" s="278"/>
      <c r="D859" s="277"/>
    </row>
    <row r="860" spans="1:4" ht="12.75" x14ac:dyDescent="0.2">
      <c r="A860" s="277"/>
      <c r="B860" s="278"/>
      <c r="C860" s="278"/>
      <c r="D860" s="277"/>
    </row>
    <row r="861" spans="1:4" ht="12.75" x14ac:dyDescent="0.2">
      <c r="A861" s="277"/>
      <c r="B861" s="278"/>
      <c r="C861" s="278"/>
      <c r="D861" s="277"/>
    </row>
    <row r="862" spans="1:4" ht="12.75" x14ac:dyDescent="0.2">
      <c r="A862" s="277"/>
      <c r="B862" s="278"/>
      <c r="C862" s="278"/>
      <c r="D862" s="277"/>
    </row>
    <row r="863" spans="1:4" ht="12.75" x14ac:dyDescent="0.2">
      <c r="A863" s="277"/>
      <c r="B863" s="278"/>
      <c r="C863" s="278"/>
      <c r="D863" s="277"/>
    </row>
    <row r="864" spans="1:4" ht="12.75" x14ac:dyDescent="0.2">
      <c r="A864" s="277"/>
      <c r="B864" s="278"/>
      <c r="C864" s="278"/>
      <c r="D864" s="277"/>
    </row>
    <row r="865" spans="1:4" ht="12.75" x14ac:dyDescent="0.2">
      <c r="A865" s="277"/>
      <c r="B865" s="278"/>
      <c r="C865" s="278"/>
      <c r="D865" s="277"/>
    </row>
    <row r="866" spans="1:4" ht="12.75" x14ac:dyDescent="0.2">
      <c r="A866" s="277"/>
      <c r="B866" s="278"/>
      <c r="C866" s="278"/>
      <c r="D866" s="277"/>
    </row>
    <row r="867" spans="1:4" ht="12.75" x14ac:dyDescent="0.2">
      <c r="A867" s="277"/>
      <c r="B867" s="278"/>
      <c r="C867" s="278"/>
      <c r="D867" s="277"/>
    </row>
    <row r="868" spans="1:4" ht="12.75" x14ac:dyDescent="0.2">
      <c r="A868" s="277"/>
      <c r="B868" s="278"/>
      <c r="C868" s="278"/>
      <c r="D868" s="277"/>
    </row>
    <row r="869" spans="1:4" ht="12.75" x14ac:dyDescent="0.2">
      <c r="A869" s="277"/>
      <c r="B869" s="278"/>
      <c r="C869" s="278"/>
      <c r="D869" s="277"/>
    </row>
    <row r="870" spans="1:4" ht="12.75" x14ac:dyDescent="0.2">
      <c r="A870" s="277"/>
      <c r="B870" s="278"/>
      <c r="C870" s="278"/>
      <c r="D870" s="277"/>
    </row>
    <row r="871" spans="1:4" ht="12.75" x14ac:dyDescent="0.2">
      <c r="A871" s="277"/>
      <c r="B871" s="278"/>
      <c r="C871" s="278"/>
      <c r="D871" s="277"/>
    </row>
    <row r="872" spans="1:4" ht="12.75" x14ac:dyDescent="0.2">
      <c r="A872" s="277"/>
      <c r="B872" s="278"/>
      <c r="C872" s="278"/>
      <c r="D872" s="277"/>
    </row>
    <row r="873" spans="1:4" ht="12.75" x14ac:dyDescent="0.2">
      <c r="A873" s="277"/>
      <c r="B873" s="278"/>
      <c r="C873" s="278"/>
      <c r="D873" s="277"/>
    </row>
    <row r="874" spans="1:4" ht="12.75" x14ac:dyDescent="0.2">
      <c r="A874" s="277"/>
      <c r="B874" s="278"/>
      <c r="C874" s="278"/>
      <c r="D874" s="277"/>
    </row>
    <row r="875" spans="1:4" ht="12.75" x14ac:dyDescent="0.2">
      <c r="A875" s="277"/>
      <c r="B875" s="278"/>
      <c r="C875" s="278"/>
      <c r="D875" s="277"/>
    </row>
    <row r="876" spans="1:4" ht="12.75" x14ac:dyDescent="0.2">
      <c r="A876" s="277"/>
      <c r="B876" s="278"/>
      <c r="C876" s="278"/>
      <c r="D876" s="277"/>
    </row>
    <row r="877" spans="1:4" ht="12.75" x14ac:dyDescent="0.2">
      <c r="A877" s="277"/>
      <c r="B877" s="278"/>
      <c r="C877" s="278"/>
      <c r="D877" s="277"/>
    </row>
    <row r="878" spans="1:4" ht="12.75" x14ac:dyDescent="0.2">
      <c r="A878" s="277"/>
      <c r="B878" s="278"/>
      <c r="C878" s="278"/>
      <c r="D878" s="277"/>
    </row>
    <row r="879" spans="1:4" ht="12.75" x14ac:dyDescent="0.2">
      <c r="A879" s="277"/>
      <c r="B879" s="278"/>
      <c r="C879" s="278"/>
      <c r="D879" s="277"/>
    </row>
    <row r="880" spans="1:4" ht="12.75" x14ac:dyDescent="0.2">
      <c r="A880" s="277"/>
      <c r="B880" s="278"/>
      <c r="C880" s="278"/>
      <c r="D880" s="277"/>
    </row>
    <row r="881" spans="1:4" ht="12.75" x14ac:dyDescent="0.2">
      <c r="A881" s="277"/>
      <c r="B881" s="278"/>
      <c r="C881" s="278"/>
      <c r="D881" s="277"/>
    </row>
    <row r="882" spans="1:4" ht="12.75" x14ac:dyDescent="0.2">
      <c r="A882" s="277"/>
      <c r="B882" s="278"/>
      <c r="C882" s="278"/>
      <c r="D882" s="277"/>
    </row>
    <row r="883" spans="1:4" ht="12.75" x14ac:dyDescent="0.2">
      <c r="A883" s="277"/>
      <c r="B883" s="278"/>
      <c r="C883" s="278"/>
      <c r="D883" s="277"/>
    </row>
    <row r="884" spans="1:4" ht="12.75" x14ac:dyDescent="0.2">
      <c r="A884" s="277"/>
      <c r="B884" s="278"/>
      <c r="C884" s="278"/>
      <c r="D884" s="277"/>
    </row>
    <row r="885" spans="1:4" ht="12.75" x14ac:dyDescent="0.2">
      <c r="A885" s="277"/>
      <c r="B885" s="278"/>
      <c r="C885" s="278"/>
      <c r="D885" s="277"/>
    </row>
    <row r="886" spans="1:4" ht="12.75" x14ac:dyDescent="0.2">
      <c r="A886" s="277"/>
      <c r="B886" s="278"/>
      <c r="C886" s="278"/>
      <c r="D886" s="277"/>
    </row>
    <row r="887" spans="1:4" ht="12.75" x14ac:dyDescent="0.2">
      <c r="A887" s="277"/>
      <c r="B887" s="278"/>
      <c r="C887" s="278"/>
      <c r="D887" s="277"/>
    </row>
    <row r="888" spans="1:4" ht="12.75" x14ac:dyDescent="0.2">
      <c r="A888" s="277"/>
      <c r="B888" s="278"/>
      <c r="C888" s="278"/>
      <c r="D888" s="277"/>
    </row>
    <row r="889" spans="1:4" ht="12.75" x14ac:dyDescent="0.2">
      <c r="A889" s="277"/>
      <c r="B889" s="278"/>
      <c r="C889" s="278"/>
      <c r="D889" s="277"/>
    </row>
    <row r="890" spans="1:4" ht="12.75" x14ac:dyDescent="0.2">
      <c r="A890" s="277"/>
      <c r="B890" s="278"/>
      <c r="C890" s="278"/>
      <c r="D890" s="277"/>
    </row>
    <row r="891" spans="1:4" ht="12.75" x14ac:dyDescent="0.2">
      <c r="A891" s="277"/>
      <c r="B891" s="278"/>
      <c r="C891" s="278"/>
      <c r="D891" s="277"/>
    </row>
    <row r="892" spans="1:4" ht="12.75" x14ac:dyDescent="0.2">
      <c r="A892" s="277"/>
      <c r="B892" s="278"/>
      <c r="C892" s="278"/>
      <c r="D892" s="277"/>
    </row>
    <row r="893" spans="1:4" ht="12.75" x14ac:dyDescent="0.2">
      <c r="A893" s="277"/>
      <c r="B893" s="278"/>
      <c r="C893" s="278"/>
      <c r="D893" s="277"/>
    </row>
    <row r="894" spans="1:4" ht="12.75" x14ac:dyDescent="0.2">
      <c r="A894" s="277"/>
      <c r="B894" s="278"/>
      <c r="C894" s="278"/>
      <c r="D894" s="277"/>
    </row>
    <row r="895" spans="1:4" ht="12.75" x14ac:dyDescent="0.2">
      <c r="A895" s="277"/>
      <c r="B895" s="278"/>
      <c r="C895" s="278"/>
      <c r="D895" s="277"/>
    </row>
    <row r="896" spans="1:4" ht="12.75" x14ac:dyDescent="0.2">
      <c r="A896" s="277"/>
      <c r="B896" s="278"/>
      <c r="C896" s="278"/>
      <c r="D896" s="277"/>
    </row>
    <row r="897" spans="1:4" ht="12.75" x14ac:dyDescent="0.2">
      <c r="A897" s="277"/>
      <c r="B897" s="278"/>
      <c r="C897" s="278"/>
      <c r="D897" s="277"/>
    </row>
    <row r="898" spans="1:4" ht="12.75" x14ac:dyDescent="0.2">
      <c r="A898" s="277"/>
      <c r="B898" s="278"/>
      <c r="C898" s="278"/>
      <c r="D898" s="277"/>
    </row>
    <row r="899" spans="1:4" ht="12.75" x14ac:dyDescent="0.2">
      <c r="A899" s="277"/>
      <c r="B899" s="278"/>
      <c r="C899" s="278"/>
      <c r="D899" s="277"/>
    </row>
    <row r="900" spans="1:4" ht="12.75" x14ac:dyDescent="0.2">
      <c r="A900" s="277"/>
      <c r="B900" s="278"/>
      <c r="C900" s="278"/>
      <c r="D900" s="277"/>
    </row>
    <row r="901" spans="1:4" ht="12.75" x14ac:dyDescent="0.2">
      <c r="A901" s="277"/>
      <c r="B901" s="278"/>
      <c r="C901" s="278"/>
      <c r="D901" s="277"/>
    </row>
    <row r="902" spans="1:4" ht="12.75" x14ac:dyDescent="0.2">
      <c r="A902" s="277"/>
      <c r="B902" s="278"/>
      <c r="C902" s="278"/>
      <c r="D902" s="277"/>
    </row>
    <row r="903" spans="1:4" ht="12.75" x14ac:dyDescent="0.2">
      <c r="A903" s="277"/>
      <c r="B903" s="278"/>
      <c r="C903" s="278"/>
      <c r="D903" s="277"/>
    </row>
    <row r="904" spans="1:4" ht="12.75" x14ac:dyDescent="0.2">
      <c r="A904" s="277"/>
      <c r="B904" s="278"/>
      <c r="C904" s="278"/>
      <c r="D904" s="277"/>
    </row>
    <row r="905" spans="1:4" ht="12.75" x14ac:dyDescent="0.2">
      <c r="A905" s="277"/>
      <c r="B905" s="278"/>
      <c r="C905" s="278"/>
      <c r="D905" s="277"/>
    </row>
    <row r="906" spans="1:4" ht="12.75" x14ac:dyDescent="0.2">
      <c r="A906" s="277"/>
      <c r="B906" s="278"/>
      <c r="C906" s="278"/>
      <c r="D906" s="277"/>
    </row>
    <row r="907" spans="1:4" ht="12.75" x14ac:dyDescent="0.2">
      <c r="A907" s="277"/>
      <c r="B907" s="278"/>
      <c r="C907" s="278"/>
      <c r="D907" s="277"/>
    </row>
    <row r="908" spans="1:4" ht="12.75" x14ac:dyDescent="0.2">
      <c r="A908" s="277"/>
      <c r="B908" s="278"/>
      <c r="C908" s="278"/>
      <c r="D908" s="277"/>
    </row>
    <row r="909" spans="1:4" ht="12.75" x14ac:dyDescent="0.2">
      <c r="A909" s="277"/>
      <c r="B909" s="278"/>
      <c r="C909" s="278"/>
      <c r="D909" s="277"/>
    </row>
    <row r="910" spans="1:4" ht="12.75" x14ac:dyDescent="0.2">
      <c r="A910" s="277"/>
      <c r="B910" s="278"/>
      <c r="C910" s="278"/>
      <c r="D910" s="277"/>
    </row>
    <row r="911" spans="1:4" ht="12.75" x14ac:dyDescent="0.2">
      <c r="A911" s="277"/>
      <c r="B911" s="278"/>
      <c r="C911" s="278"/>
      <c r="D911" s="277"/>
    </row>
    <row r="912" spans="1:4" ht="12.75" x14ac:dyDescent="0.2">
      <c r="A912" s="277"/>
      <c r="B912" s="278"/>
      <c r="C912" s="278"/>
      <c r="D912" s="277"/>
    </row>
    <row r="913" spans="1:4" ht="12.75" x14ac:dyDescent="0.2">
      <c r="A913" s="277"/>
      <c r="B913" s="278"/>
      <c r="C913" s="278"/>
      <c r="D913" s="277"/>
    </row>
    <row r="914" spans="1:4" ht="12.75" x14ac:dyDescent="0.2">
      <c r="A914" s="277"/>
      <c r="B914" s="278"/>
      <c r="C914" s="278"/>
      <c r="D914" s="277"/>
    </row>
    <row r="915" spans="1:4" ht="12.75" x14ac:dyDescent="0.2">
      <c r="A915" s="277"/>
      <c r="B915" s="278"/>
      <c r="C915" s="278"/>
      <c r="D915" s="277"/>
    </row>
    <row r="916" spans="1:4" ht="12.75" x14ac:dyDescent="0.2">
      <c r="A916" s="277"/>
      <c r="B916" s="278"/>
      <c r="C916" s="278"/>
      <c r="D916" s="277"/>
    </row>
    <row r="917" spans="1:4" ht="12.75" x14ac:dyDescent="0.2">
      <c r="A917" s="277"/>
      <c r="B917" s="278"/>
      <c r="C917" s="278"/>
      <c r="D917" s="277"/>
    </row>
    <row r="918" spans="1:4" ht="12.75" x14ac:dyDescent="0.2">
      <c r="A918" s="277"/>
      <c r="B918" s="278"/>
      <c r="C918" s="278"/>
      <c r="D918" s="277"/>
    </row>
    <row r="919" spans="1:4" ht="12.75" x14ac:dyDescent="0.2">
      <c r="A919" s="277"/>
      <c r="B919" s="278"/>
      <c r="C919" s="278"/>
      <c r="D919" s="277"/>
    </row>
    <row r="920" spans="1:4" ht="12.75" x14ac:dyDescent="0.2">
      <c r="A920" s="277"/>
      <c r="B920" s="278"/>
      <c r="C920" s="278"/>
      <c r="D920" s="277"/>
    </row>
    <row r="921" spans="1:4" ht="12.75" x14ac:dyDescent="0.2">
      <c r="A921" s="277"/>
      <c r="B921" s="278"/>
      <c r="C921" s="278"/>
      <c r="D921" s="277"/>
    </row>
    <row r="922" spans="1:4" ht="12.75" x14ac:dyDescent="0.2">
      <c r="A922" s="277"/>
      <c r="B922" s="278"/>
      <c r="C922" s="278"/>
      <c r="D922" s="277"/>
    </row>
    <row r="923" spans="1:4" ht="12.75" x14ac:dyDescent="0.2">
      <c r="A923" s="277"/>
      <c r="B923" s="278"/>
      <c r="C923" s="278"/>
      <c r="D923" s="277"/>
    </row>
    <row r="924" spans="1:4" ht="12.75" x14ac:dyDescent="0.2">
      <c r="A924" s="277"/>
      <c r="B924" s="278"/>
      <c r="C924" s="278"/>
      <c r="D924" s="277"/>
    </row>
    <row r="925" spans="1:4" ht="12.75" x14ac:dyDescent="0.2">
      <c r="A925" s="277"/>
      <c r="B925" s="278"/>
      <c r="C925" s="278"/>
      <c r="D925" s="277"/>
    </row>
    <row r="926" spans="1:4" ht="12.75" x14ac:dyDescent="0.2">
      <c r="A926" s="277"/>
      <c r="B926" s="278"/>
      <c r="C926" s="278"/>
      <c r="D926" s="277"/>
    </row>
    <row r="927" spans="1:4" ht="12.75" x14ac:dyDescent="0.2">
      <c r="A927" s="277"/>
      <c r="B927" s="278"/>
      <c r="C927" s="278"/>
      <c r="D927" s="277"/>
    </row>
    <row r="928" spans="1:4" ht="12.75" x14ac:dyDescent="0.2">
      <c r="A928" s="277"/>
      <c r="B928" s="278"/>
      <c r="C928" s="278"/>
      <c r="D928" s="277"/>
    </row>
    <row r="929" spans="1:4" ht="12.75" x14ac:dyDescent="0.2">
      <c r="A929" s="277"/>
      <c r="B929" s="278"/>
      <c r="C929" s="278"/>
      <c r="D929" s="277"/>
    </row>
    <row r="930" spans="1:4" ht="12.75" x14ac:dyDescent="0.2">
      <c r="A930" s="277"/>
      <c r="B930" s="278"/>
      <c r="C930" s="278"/>
      <c r="D930" s="277"/>
    </row>
    <row r="931" spans="1:4" ht="12.75" x14ac:dyDescent="0.2">
      <c r="A931" s="277"/>
      <c r="B931" s="278"/>
      <c r="C931" s="278"/>
      <c r="D931" s="277"/>
    </row>
    <row r="932" spans="1:4" ht="12.75" x14ac:dyDescent="0.2">
      <c r="A932" s="277"/>
      <c r="B932" s="278"/>
      <c r="C932" s="278"/>
      <c r="D932" s="277"/>
    </row>
    <row r="933" spans="1:4" ht="12.75" x14ac:dyDescent="0.2">
      <c r="A933" s="277"/>
      <c r="B933" s="278"/>
      <c r="C933" s="278"/>
      <c r="D933" s="277"/>
    </row>
    <row r="934" spans="1:4" ht="12.75" x14ac:dyDescent="0.2">
      <c r="A934" s="277"/>
      <c r="B934" s="278"/>
      <c r="C934" s="278"/>
      <c r="D934" s="277"/>
    </row>
    <row r="935" spans="1:4" ht="12.75" x14ac:dyDescent="0.2">
      <c r="A935" s="277"/>
      <c r="B935" s="278"/>
      <c r="C935" s="278"/>
      <c r="D935" s="277"/>
    </row>
    <row r="936" spans="1:4" ht="12.75" x14ac:dyDescent="0.2">
      <c r="A936" s="277"/>
      <c r="B936" s="278"/>
      <c r="C936" s="278"/>
      <c r="D936" s="277"/>
    </row>
    <row r="937" spans="1:4" ht="12.75" x14ac:dyDescent="0.2">
      <c r="A937" s="277"/>
      <c r="B937" s="278"/>
      <c r="C937" s="278"/>
      <c r="D937" s="277"/>
    </row>
    <row r="938" spans="1:4" ht="12.75" x14ac:dyDescent="0.2">
      <c r="A938" s="277"/>
      <c r="B938" s="278"/>
      <c r="C938" s="278"/>
      <c r="D938" s="277"/>
    </row>
    <row r="939" spans="1:4" ht="12.75" x14ac:dyDescent="0.2">
      <c r="A939" s="277"/>
      <c r="B939" s="278"/>
      <c r="C939" s="278"/>
      <c r="D939" s="277"/>
    </row>
    <row r="940" spans="1:4" ht="12.75" x14ac:dyDescent="0.2">
      <c r="A940" s="277"/>
      <c r="B940" s="278"/>
      <c r="C940" s="278"/>
      <c r="D940" s="277"/>
    </row>
    <row r="941" spans="1:4" ht="12.75" x14ac:dyDescent="0.2">
      <c r="A941" s="277"/>
      <c r="B941" s="278"/>
      <c r="C941" s="278"/>
      <c r="D941" s="277"/>
    </row>
    <row r="942" spans="1:4" ht="12.75" x14ac:dyDescent="0.2">
      <c r="A942" s="277"/>
      <c r="B942" s="278"/>
      <c r="C942" s="278"/>
      <c r="D942" s="277"/>
    </row>
    <row r="943" spans="1:4" ht="12.75" x14ac:dyDescent="0.2">
      <c r="A943" s="277"/>
      <c r="B943" s="278"/>
      <c r="C943" s="278"/>
      <c r="D943" s="277"/>
    </row>
    <row r="944" spans="1:4" ht="12.75" x14ac:dyDescent="0.2">
      <c r="A944" s="277"/>
      <c r="B944" s="278"/>
      <c r="C944" s="278"/>
      <c r="D944" s="277"/>
    </row>
    <row r="945" spans="1:4" ht="12.75" x14ac:dyDescent="0.2">
      <c r="A945" s="277"/>
      <c r="B945" s="278"/>
      <c r="C945" s="278"/>
      <c r="D945" s="277"/>
    </row>
    <row r="946" spans="1:4" ht="12.75" x14ac:dyDescent="0.2">
      <c r="A946" s="277"/>
      <c r="B946" s="278"/>
      <c r="C946" s="278"/>
      <c r="D946" s="277"/>
    </row>
    <row r="947" spans="1:4" ht="12.75" x14ac:dyDescent="0.2">
      <c r="A947" s="277"/>
      <c r="B947" s="278"/>
      <c r="C947" s="278"/>
      <c r="D947" s="277"/>
    </row>
    <row r="948" spans="1:4" ht="12.75" x14ac:dyDescent="0.2">
      <c r="A948" s="277"/>
      <c r="B948" s="278"/>
      <c r="C948" s="278"/>
      <c r="D948" s="277"/>
    </row>
    <row r="949" spans="1:4" ht="12.75" x14ac:dyDescent="0.2">
      <c r="A949" s="277"/>
      <c r="B949" s="278"/>
      <c r="C949" s="278"/>
      <c r="D949" s="277"/>
    </row>
    <row r="950" spans="1:4" ht="12.75" x14ac:dyDescent="0.2">
      <c r="A950" s="277"/>
      <c r="B950" s="278"/>
      <c r="C950" s="278"/>
      <c r="D950" s="277"/>
    </row>
    <row r="951" spans="1:4" ht="12.75" x14ac:dyDescent="0.2">
      <c r="A951" s="277"/>
      <c r="B951" s="278"/>
      <c r="C951" s="278"/>
      <c r="D951" s="277"/>
    </row>
    <row r="952" spans="1:4" ht="12.75" x14ac:dyDescent="0.2">
      <c r="A952" s="277"/>
      <c r="B952" s="278"/>
      <c r="C952" s="278"/>
      <c r="D952" s="277"/>
    </row>
    <row r="953" spans="1:4" ht="12.75" x14ac:dyDescent="0.2">
      <c r="A953" s="277"/>
      <c r="B953" s="278"/>
      <c r="C953" s="278"/>
      <c r="D953" s="277"/>
    </row>
    <row r="954" spans="1:4" ht="12.75" x14ac:dyDescent="0.2">
      <c r="A954" s="277"/>
      <c r="B954" s="278"/>
      <c r="C954" s="278"/>
      <c r="D954" s="277"/>
    </row>
    <row r="955" spans="1:4" ht="12.75" x14ac:dyDescent="0.2">
      <c r="A955" s="277"/>
      <c r="B955" s="278"/>
      <c r="C955" s="278"/>
      <c r="D955" s="277"/>
    </row>
    <row r="956" spans="1:4" ht="12.75" x14ac:dyDescent="0.2">
      <c r="A956" s="277"/>
      <c r="B956" s="278"/>
      <c r="C956" s="278"/>
      <c r="D956" s="277"/>
    </row>
    <row r="957" spans="1:4" ht="12.75" x14ac:dyDescent="0.2">
      <c r="A957" s="277"/>
      <c r="B957" s="278"/>
      <c r="C957" s="278"/>
      <c r="D957" s="277"/>
    </row>
  </sheetData>
  <mergeCells count="49">
    <mergeCell ref="A92:B92"/>
    <mergeCell ref="A6:C6"/>
    <mergeCell ref="A7:C7"/>
    <mergeCell ref="A8:C8"/>
    <mergeCell ref="A9:C9"/>
    <mergeCell ref="A10:C10"/>
    <mergeCell ref="A43:C43"/>
    <mergeCell ref="A44:C44"/>
    <mergeCell ref="A52:C52"/>
    <mergeCell ref="A59:C59"/>
    <mergeCell ref="A68:C68"/>
    <mergeCell ref="A87:A89"/>
    <mergeCell ref="A22:C22"/>
    <mergeCell ref="A23:C23"/>
    <mergeCell ref="A24:C24"/>
    <mergeCell ref="A25:C25"/>
    <mergeCell ref="A38:C38"/>
    <mergeCell ref="A26:C26"/>
    <mergeCell ref="A80:C80"/>
    <mergeCell ref="A78:C78"/>
    <mergeCell ref="A32:C32"/>
    <mergeCell ref="A40:C40"/>
    <mergeCell ref="A41:C41"/>
    <mergeCell ref="A42:C42"/>
    <mergeCell ref="A34:C34"/>
    <mergeCell ref="A35:C35"/>
    <mergeCell ref="A36:C36"/>
    <mergeCell ref="A3:C3"/>
    <mergeCell ref="A19:C19"/>
    <mergeCell ref="A20:C20"/>
    <mergeCell ref="A21:C21"/>
    <mergeCell ref="A17:C17"/>
    <mergeCell ref="A11:C11"/>
    <mergeCell ref="A82:A86"/>
    <mergeCell ref="A1:C1"/>
    <mergeCell ref="A14:C14"/>
    <mergeCell ref="A16:C16"/>
    <mergeCell ref="A18:C18"/>
    <mergeCell ref="A2:C2"/>
    <mergeCell ref="A12:C12"/>
    <mergeCell ref="A13:C13"/>
    <mergeCell ref="A15:C15"/>
    <mergeCell ref="A39:C39"/>
    <mergeCell ref="A27:C27"/>
    <mergeCell ref="A28:C28"/>
    <mergeCell ref="A33:C33"/>
    <mergeCell ref="A29:C29"/>
    <mergeCell ref="A30:C30"/>
    <mergeCell ref="A31:C31"/>
  </mergeCells>
  <dataValidations count="2">
    <dataValidation type="list" allowBlank="1" showInputMessage="1" showErrorMessage="1" sqref="B46:B51 B54:B58" xr:uid="{00000000-0002-0000-1300-000000000000}">
      <formula1>"Yes,No,NA,Partly"</formula1>
    </dataValidation>
    <dataValidation type="list" allowBlank="1" showInputMessage="1" showErrorMessage="1" sqref="B61:B67 B70:B77" xr:uid="{00000000-0002-0000-1300-000001000000}">
      <formula1>"Yes,No,NA, Partly"</formula1>
    </dataValidation>
  </dataValidations>
  <printOptions horizontalCentered="1"/>
  <pageMargins left="0.3" right="0.3" top="0.3" bottom="0.3" header="0" footer="0"/>
  <pageSetup scale="99" fitToHeight="0" orientation="landscape" r:id="rId1"/>
  <rowBreaks count="5" manualBreakCount="5">
    <brk id="36" max="16383" man="1"/>
    <brk id="43" max="16383" man="1"/>
    <brk id="51" max="16383" man="1"/>
    <brk id="58" max="16383" man="1"/>
    <brk id="67" max="16383"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FF0000"/>
  </sheetPr>
  <dimension ref="A1:E29"/>
  <sheetViews>
    <sheetView workbookViewId="0">
      <selection activeCell="C2" sqref="C2"/>
    </sheetView>
  </sheetViews>
  <sheetFormatPr defaultColWidth="9.140625" defaultRowHeight="12.75" x14ac:dyDescent="0.2"/>
  <cols>
    <col min="1" max="1" width="12.7109375" style="314" customWidth="1"/>
    <col min="2" max="2" width="44.7109375" style="314" customWidth="1"/>
    <col min="3" max="3" width="54.28515625" style="314" customWidth="1"/>
    <col min="4" max="4" width="56.28515625" style="314" bestFit="1" customWidth="1"/>
    <col min="5" max="5" width="58.5703125" style="314" customWidth="1"/>
    <col min="6" max="16384" width="9.140625" style="314"/>
  </cols>
  <sheetData>
    <row r="1" spans="1:5" ht="15.75" x14ac:dyDescent="0.25">
      <c r="A1" s="607" t="s">
        <v>1349</v>
      </c>
      <c r="B1" s="607"/>
      <c r="C1" s="608"/>
      <c r="D1" s="609"/>
    </row>
    <row r="2" spans="1:5" ht="15.75" x14ac:dyDescent="0.25">
      <c r="A2" s="607" t="s">
        <v>1350</v>
      </c>
      <c r="B2" s="607" t="s">
        <v>1351</v>
      </c>
      <c r="C2" s="315"/>
      <c r="D2" s="315"/>
    </row>
    <row r="4" spans="1:5" ht="13.5" thickBot="1" x14ac:dyDescent="0.25"/>
    <row r="5" spans="1:5" ht="18.75" thickBot="1" x14ac:dyDescent="0.3">
      <c r="A5" s="316" t="s">
        <v>1352</v>
      </c>
      <c r="B5" s="317" t="s">
        <v>1353</v>
      </c>
      <c r="C5" s="318" t="s">
        <v>1188</v>
      </c>
      <c r="D5" s="318" t="s">
        <v>1354</v>
      </c>
      <c r="E5" s="319" t="s">
        <v>1355</v>
      </c>
    </row>
    <row r="6" spans="1:5" ht="15" x14ac:dyDescent="0.2">
      <c r="A6" s="320"/>
      <c r="B6" s="321"/>
      <c r="C6" s="322"/>
      <c r="D6" s="322"/>
      <c r="E6" s="322"/>
    </row>
    <row r="7" spans="1:5" ht="15" x14ac:dyDescent="0.2">
      <c r="A7" s="320"/>
      <c r="B7" s="321"/>
      <c r="C7" s="322"/>
      <c r="D7" s="251"/>
      <c r="E7" s="251"/>
    </row>
    <row r="8" spans="1:5" ht="15" x14ac:dyDescent="0.2">
      <c r="A8" s="320"/>
      <c r="B8" s="321"/>
      <c r="C8" s="323"/>
      <c r="D8" s="251"/>
      <c r="E8" s="251"/>
    </row>
    <row r="9" spans="1:5" ht="15" x14ac:dyDescent="0.2">
      <c r="A9" s="320"/>
      <c r="B9" s="321"/>
      <c r="C9" s="251"/>
      <c r="D9" s="251"/>
      <c r="E9" s="323"/>
    </row>
    <row r="10" spans="1:5" ht="15" x14ac:dyDescent="0.2">
      <c r="A10" s="320"/>
      <c r="B10" s="321"/>
      <c r="C10" s="322"/>
      <c r="D10" s="322"/>
      <c r="E10" s="322"/>
    </row>
    <row r="11" spans="1:5" ht="15" x14ac:dyDescent="0.2">
      <c r="A11" s="320"/>
      <c r="B11" s="321"/>
      <c r="C11" s="322"/>
      <c r="D11" s="251"/>
      <c r="E11" s="251"/>
    </row>
    <row r="12" spans="1:5" ht="15" x14ac:dyDescent="0.2">
      <c r="A12" s="320"/>
      <c r="B12" s="321"/>
      <c r="C12" s="323"/>
      <c r="D12" s="251"/>
      <c r="E12" s="251"/>
    </row>
    <row r="13" spans="1:5" ht="15" x14ac:dyDescent="0.2">
      <c r="A13" s="320"/>
      <c r="B13" s="321"/>
      <c r="C13" s="251"/>
      <c r="D13" s="251"/>
      <c r="E13" s="323"/>
    </row>
    <row r="14" spans="1:5" ht="15" x14ac:dyDescent="0.2">
      <c r="A14" s="320"/>
      <c r="B14" s="321"/>
      <c r="C14" s="322"/>
      <c r="D14" s="322"/>
      <c r="E14" s="322"/>
    </row>
    <row r="15" spans="1:5" ht="15" x14ac:dyDescent="0.2">
      <c r="A15" s="320"/>
      <c r="B15" s="321"/>
      <c r="C15" s="322"/>
      <c r="D15" s="251"/>
      <c r="E15" s="251"/>
    </row>
    <row r="16" spans="1:5" ht="15" x14ac:dyDescent="0.2">
      <c r="A16" s="320"/>
      <c r="B16" s="321"/>
      <c r="C16" s="323"/>
      <c r="D16" s="251"/>
      <c r="E16" s="251"/>
    </row>
    <row r="17" spans="1:5" ht="15" x14ac:dyDescent="0.2">
      <c r="A17" s="320"/>
      <c r="B17" s="321"/>
      <c r="C17" s="251"/>
      <c r="D17" s="251"/>
      <c r="E17" s="323"/>
    </row>
    <row r="18" spans="1:5" ht="15" x14ac:dyDescent="0.2">
      <c r="A18" s="320"/>
      <c r="B18" s="321"/>
      <c r="C18" s="322"/>
      <c r="D18" s="322"/>
      <c r="E18" s="322"/>
    </row>
    <row r="19" spans="1:5" ht="15" x14ac:dyDescent="0.2">
      <c r="A19" s="320"/>
      <c r="B19" s="321"/>
      <c r="C19" s="322"/>
      <c r="D19" s="251"/>
      <c r="E19" s="251"/>
    </row>
    <row r="20" spans="1:5" ht="15" x14ac:dyDescent="0.2">
      <c r="A20" s="320"/>
      <c r="B20" s="321"/>
      <c r="C20" s="323"/>
      <c r="D20" s="251"/>
      <c r="E20" s="251"/>
    </row>
    <row r="21" spans="1:5" ht="15" x14ac:dyDescent="0.2">
      <c r="A21" s="320"/>
      <c r="B21" s="321"/>
      <c r="C21" s="251"/>
      <c r="D21" s="251"/>
      <c r="E21" s="323"/>
    </row>
    <row r="22" spans="1:5" ht="15" x14ac:dyDescent="0.2">
      <c r="A22" s="320"/>
      <c r="B22" s="321"/>
      <c r="C22" s="322"/>
      <c r="D22" s="322"/>
      <c r="E22" s="322"/>
    </row>
    <row r="23" spans="1:5" ht="15" x14ac:dyDescent="0.2">
      <c r="A23" s="320"/>
      <c r="B23" s="321"/>
      <c r="C23" s="322"/>
      <c r="D23" s="251"/>
      <c r="E23" s="251"/>
    </row>
    <row r="24" spans="1:5" ht="15" x14ac:dyDescent="0.2">
      <c r="A24" s="320"/>
      <c r="B24" s="321"/>
      <c r="C24" s="323"/>
      <c r="D24" s="251"/>
      <c r="E24" s="251"/>
    </row>
    <row r="25" spans="1:5" ht="15" x14ac:dyDescent="0.2">
      <c r="A25" s="320"/>
      <c r="B25" s="321"/>
      <c r="C25" s="251"/>
      <c r="D25" s="251"/>
      <c r="E25" s="323"/>
    </row>
    <row r="26" spans="1:5" ht="15" x14ac:dyDescent="0.2">
      <c r="A26" s="320"/>
      <c r="B26" s="321"/>
      <c r="C26" s="322"/>
      <c r="D26" s="322"/>
      <c r="E26" s="322"/>
    </row>
    <row r="27" spans="1:5" ht="15" x14ac:dyDescent="0.2">
      <c r="A27" s="320"/>
      <c r="B27" s="321"/>
      <c r="C27" s="322"/>
      <c r="D27" s="251"/>
      <c r="E27" s="251"/>
    </row>
    <row r="28" spans="1:5" ht="15" x14ac:dyDescent="0.2">
      <c r="A28" s="320"/>
      <c r="B28" s="321"/>
      <c r="C28" s="323"/>
      <c r="D28" s="251"/>
      <c r="E28" s="251"/>
    </row>
    <row r="29" spans="1:5" ht="15" x14ac:dyDescent="0.2">
      <c r="A29" s="320"/>
      <c r="B29" s="321"/>
      <c r="C29" s="251"/>
      <c r="D29" s="251"/>
      <c r="E29" s="323"/>
    </row>
  </sheetData>
  <mergeCells count="3">
    <mergeCell ref="A1:B1"/>
    <mergeCell ref="C1:D1"/>
    <mergeCell ref="A2:B2"/>
  </mergeCells>
  <dataValidations count="1">
    <dataValidation type="list" allowBlank="1" showInputMessage="1" showErrorMessage="1" sqref="A6:A29" xr:uid="{00000000-0002-0000-1400-000000000000}">
      <formula1>"WIN,ISSUE"</formula1>
    </dataValidation>
  </dataValidation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0000"/>
  </sheetPr>
  <dimension ref="A1:AC20"/>
  <sheetViews>
    <sheetView tabSelected="1" zoomScale="106" zoomScaleNormal="106" workbookViewId="0">
      <selection activeCell="J13" sqref="J13"/>
    </sheetView>
  </sheetViews>
  <sheetFormatPr defaultColWidth="9.140625" defaultRowHeight="12.75" x14ac:dyDescent="0.2"/>
  <cols>
    <col min="1" max="1" width="24.140625" style="314" customWidth="1"/>
    <col min="2" max="2" width="14.85546875" style="314" customWidth="1"/>
    <col min="3" max="3" width="14.140625" style="314" customWidth="1"/>
    <col min="4" max="5" width="15.28515625" style="314" customWidth="1"/>
    <col min="6" max="6" width="14.28515625" style="314" customWidth="1"/>
    <col min="7" max="7" width="16.85546875" style="314" customWidth="1"/>
    <col min="8" max="8" width="14.7109375" style="314" bestFit="1" customWidth="1"/>
    <col min="9" max="10" width="18.5703125" style="314" customWidth="1"/>
    <col min="11" max="11" width="17.5703125" style="314" customWidth="1"/>
    <col min="12" max="12" width="28.5703125" style="314" customWidth="1"/>
    <col min="13" max="13" width="14.7109375" style="314" customWidth="1"/>
    <col min="14" max="28" width="9.140625" style="314"/>
    <col min="29" max="29" width="12" style="314" bestFit="1" customWidth="1"/>
    <col min="30" max="16384" width="9.140625" style="314"/>
  </cols>
  <sheetData>
    <row r="1" spans="1:29" ht="90" x14ac:dyDescent="0.25">
      <c r="A1" s="331" t="s">
        <v>1356</v>
      </c>
      <c r="B1" s="330" t="s">
        <v>1357</v>
      </c>
      <c r="C1" s="330" t="s">
        <v>1358</v>
      </c>
      <c r="D1" s="330" t="s">
        <v>1359</v>
      </c>
      <c r="E1" s="330" t="s">
        <v>1360</v>
      </c>
      <c r="F1" s="330" t="s">
        <v>1361</v>
      </c>
      <c r="G1" s="330" t="s">
        <v>1362</v>
      </c>
      <c r="H1" s="330" t="s">
        <v>1363</v>
      </c>
      <c r="I1" s="330" t="s">
        <v>1364</v>
      </c>
      <c r="J1" s="330" t="s">
        <v>1365</v>
      </c>
      <c r="K1" s="330" t="s">
        <v>1366</v>
      </c>
      <c r="L1" s="330" t="s">
        <v>1367</v>
      </c>
      <c r="M1" s="330" t="s">
        <v>1368</v>
      </c>
    </row>
    <row r="2" spans="1:29" x14ac:dyDescent="0.2">
      <c r="A2" s="329"/>
      <c r="B2" s="324"/>
      <c r="C2" s="324"/>
      <c r="D2" s="324"/>
      <c r="E2" s="325"/>
      <c r="F2" s="324"/>
      <c r="G2" s="324"/>
      <c r="H2" s="325"/>
      <c r="I2" s="328"/>
      <c r="J2" s="96"/>
      <c r="K2" s="324"/>
      <c r="L2" s="327"/>
      <c r="M2" s="324"/>
    </row>
    <row r="3" spans="1:29" x14ac:dyDescent="0.2">
      <c r="A3" s="315"/>
      <c r="B3" s="324"/>
      <c r="C3" s="324"/>
      <c r="D3" s="324"/>
      <c r="E3" s="324"/>
      <c r="F3" s="324"/>
      <c r="G3" s="324"/>
      <c r="H3" s="325"/>
      <c r="I3" s="324"/>
      <c r="J3" s="96"/>
      <c r="K3" s="324"/>
      <c r="L3" s="315"/>
      <c r="M3" s="315"/>
      <c r="AC3" s="314" t="s">
        <v>1369</v>
      </c>
    </row>
    <row r="4" spans="1:29" x14ac:dyDescent="0.2">
      <c r="A4" s="315"/>
      <c r="B4" s="324"/>
      <c r="C4" s="324"/>
      <c r="D4" s="324"/>
      <c r="E4" s="324"/>
      <c r="F4" s="324"/>
      <c r="G4" s="324"/>
      <c r="H4" s="325"/>
      <c r="I4" s="324"/>
      <c r="J4" s="96"/>
      <c r="K4" s="324"/>
      <c r="L4" s="315"/>
      <c r="M4" s="315"/>
      <c r="AC4" s="314" t="s">
        <v>1370</v>
      </c>
    </row>
    <row r="5" spans="1:29" x14ac:dyDescent="0.2">
      <c r="A5" s="315"/>
      <c r="B5" s="324"/>
      <c r="C5" s="324"/>
      <c r="D5" s="324"/>
      <c r="E5" s="324"/>
      <c r="F5" s="324"/>
      <c r="G5" s="324"/>
      <c r="H5" s="325"/>
      <c r="I5" s="324"/>
      <c r="J5" s="96"/>
      <c r="K5" s="324"/>
      <c r="L5" s="315"/>
      <c r="M5" s="315"/>
      <c r="AC5" s="314" t="s">
        <v>1371</v>
      </c>
    </row>
    <row r="6" spans="1:29" x14ac:dyDescent="0.2">
      <c r="A6" s="315"/>
      <c r="B6" s="324"/>
      <c r="C6" s="324"/>
      <c r="D6" s="324"/>
      <c r="E6" s="324"/>
      <c r="F6" s="324"/>
      <c r="G6" s="324"/>
      <c r="H6" s="325"/>
      <c r="I6" s="324"/>
      <c r="J6" s="96"/>
      <c r="K6" s="324"/>
      <c r="L6" s="315"/>
      <c r="M6" s="315"/>
      <c r="AC6" s="314" t="s">
        <v>1372</v>
      </c>
    </row>
    <row r="7" spans="1:29" x14ac:dyDescent="0.2">
      <c r="A7" s="315"/>
      <c r="B7" s="324"/>
      <c r="C7" s="324"/>
      <c r="D7" s="324"/>
      <c r="E7" s="324"/>
      <c r="F7" s="324"/>
      <c r="G7" s="324"/>
      <c r="H7" s="325"/>
      <c r="I7" s="324"/>
      <c r="J7" s="96"/>
      <c r="K7" s="324"/>
      <c r="L7" s="315"/>
      <c r="M7" s="315"/>
      <c r="AC7" s="314" t="s">
        <v>1373</v>
      </c>
    </row>
    <row r="8" spans="1:29" x14ac:dyDescent="0.2">
      <c r="A8" s="315"/>
      <c r="B8" s="324"/>
      <c r="C8" s="324"/>
      <c r="D8" s="324"/>
      <c r="E8" s="326"/>
      <c r="F8" s="324"/>
      <c r="G8" s="324"/>
      <c r="H8" s="325"/>
      <c r="I8" s="324"/>
      <c r="J8" s="96"/>
      <c r="K8" s="324"/>
      <c r="L8" s="315"/>
      <c r="M8" s="315"/>
      <c r="AC8" s="314" t="s">
        <v>1374</v>
      </c>
    </row>
    <row r="9" spans="1:29" x14ac:dyDescent="0.2">
      <c r="A9" s="315"/>
      <c r="B9" s="324"/>
      <c r="C9" s="324"/>
      <c r="D9" s="324"/>
      <c r="E9" s="324"/>
      <c r="F9" s="324"/>
      <c r="G9" s="324"/>
      <c r="H9" s="324"/>
      <c r="I9" s="324"/>
      <c r="J9" s="96"/>
      <c r="K9" s="324"/>
      <c r="L9" s="315"/>
      <c r="M9" s="315"/>
      <c r="AC9" s="314" t="s">
        <v>1375</v>
      </c>
    </row>
    <row r="10" spans="1:29" x14ac:dyDescent="0.2">
      <c r="A10" s="315"/>
      <c r="B10" s="324"/>
      <c r="C10" s="324"/>
      <c r="D10" s="324"/>
      <c r="E10" s="324"/>
      <c r="F10" s="324"/>
      <c r="G10" s="324"/>
      <c r="H10" s="324"/>
      <c r="I10" s="324"/>
      <c r="J10" s="96"/>
      <c r="K10" s="324"/>
      <c r="L10" s="315"/>
      <c r="M10" s="315"/>
      <c r="AC10" s="314" t="s">
        <v>1376</v>
      </c>
    </row>
    <row r="11" spans="1:29" x14ac:dyDescent="0.2">
      <c r="A11" s="315"/>
      <c r="B11" s="315"/>
      <c r="C11" s="315"/>
      <c r="D11" s="315"/>
      <c r="E11" s="315"/>
      <c r="F11" s="324"/>
      <c r="G11" s="315"/>
      <c r="H11" s="315"/>
      <c r="I11" s="315"/>
      <c r="J11" s="96"/>
      <c r="K11" s="315"/>
      <c r="L11" s="315"/>
      <c r="M11" s="315"/>
      <c r="AC11" s="314" t="s">
        <v>1377</v>
      </c>
    </row>
    <row r="12" spans="1:29" x14ac:dyDescent="0.2">
      <c r="A12" s="315"/>
      <c r="B12" s="315"/>
      <c r="C12" s="315"/>
      <c r="D12" s="315"/>
      <c r="E12" s="315"/>
      <c r="F12" s="324"/>
      <c r="G12" s="315"/>
      <c r="H12" s="315"/>
      <c r="I12" s="315"/>
      <c r="J12" s="96"/>
      <c r="K12" s="315"/>
      <c r="L12" s="315"/>
      <c r="M12" s="315"/>
      <c r="AC12" s="314" t="s">
        <v>1378</v>
      </c>
    </row>
    <row r="13" spans="1:29" x14ac:dyDescent="0.2">
      <c r="A13" s="315"/>
      <c r="B13" s="315"/>
      <c r="C13" s="315"/>
      <c r="D13" s="315"/>
      <c r="E13" s="315"/>
      <c r="F13" s="324"/>
      <c r="G13" s="315"/>
      <c r="H13" s="315"/>
      <c r="I13" s="315"/>
      <c r="J13" s="96"/>
      <c r="K13" s="315"/>
      <c r="L13" s="315"/>
      <c r="M13" s="315"/>
      <c r="AC13" s="314" t="s">
        <v>1379</v>
      </c>
    </row>
    <row r="14" spans="1:29" x14ac:dyDescent="0.2">
      <c r="A14" s="315"/>
      <c r="B14" s="315"/>
      <c r="C14" s="315"/>
      <c r="D14" s="315"/>
      <c r="E14" s="315"/>
      <c r="F14" s="324"/>
      <c r="G14" s="315"/>
      <c r="H14" s="315"/>
      <c r="I14" s="315"/>
      <c r="J14" s="96"/>
      <c r="K14" s="315"/>
      <c r="L14" s="315"/>
      <c r="M14" s="315"/>
      <c r="AC14" s="314" t="s">
        <v>1380</v>
      </c>
    </row>
    <row r="15" spans="1:29" x14ac:dyDescent="0.2">
      <c r="A15" s="315"/>
      <c r="B15" s="315"/>
      <c r="C15" s="315"/>
      <c r="D15" s="315"/>
      <c r="E15" s="315"/>
      <c r="F15" s="315"/>
      <c r="G15" s="315"/>
      <c r="H15" s="315"/>
      <c r="I15" s="315"/>
      <c r="J15" s="96"/>
      <c r="K15" s="315"/>
      <c r="L15" s="315"/>
      <c r="M15" s="315"/>
      <c r="AC15" s="314" t="s">
        <v>1381</v>
      </c>
    </row>
    <row r="16" spans="1:29" x14ac:dyDescent="0.2">
      <c r="A16" s="315"/>
      <c r="B16" s="315"/>
      <c r="C16" s="315"/>
      <c r="D16" s="315"/>
      <c r="E16" s="315"/>
      <c r="F16" s="315"/>
      <c r="G16" s="315"/>
      <c r="H16" s="315"/>
      <c r="I16" s="315"/>
      <c r="J16" s="96"/>
      <c r="K16" s="315"/>
      <c r="L16" s="315"/>
      <c r="M16" s="315"/>
      <c r="AC16" s="314" t="s">
        <v>1382</v>
      </c>
    </row>
    <row r="17" spans="1:13" x14ac:dyDescent="0.2">
      <c r="A17" s="315"/>
      <c r="B17" s="315"/>
      <c r="C17" s="315"/>
      <c r="D17" s="315"/>
      <c r="E17" s="315"/>
      <c r="F17" s="315"/>
      <c r="G17" s="315"/>
      <c r="H17" s="315"/>
      <c r="I17" s="315"/>
      <c r="J17" s="96"/>
      <c r="K17" s="315"/>
      <c r="L17" s="315"/>
      <c r="M17" s="315"/>
    </row>
    <row r="18" spans="1:13" x14ac:dyDescent="0.2">
      <c r="A18" s="315"/>
      <c r="B18" s="315"/>
      <c r="C18" s="315"/>
      <c r="D18" s="315"/>
      <c r="E18" s="315"/>
      <c r="F18" s="315"/>
      <c r="G18" s="315"/>
      <c r="H18" s="315"/>
      <c r="I18" s="315"/>
      <c r="J18" s="96"/>
      <c r="K18" s="315"/>
      <c r="L18" s="315"/>
      <c r="M18" s="315"/>
    </row>
    <row r="19" spans="1:13" x14ac:dyDescent="0.2">
      <c r="A19" s="315"/>
      <c r="B19" s="315"/>
      <c r="C19" s="315"/>
      <c r="D19" s="315"/>
      <c r="E19" s="315"/>
      <c r="F19" s="315"/>
      <c r="G19" s="315"/>
      <c r="H19" s="315"/>
      <c r="I19" s="315"/>
      <c r="J19" s="96"/>
      <c r="K19" s="315"/>
      <c r="L19" s="315"/>
      <c r="M19" s="315"/>
    </row>
    <row r="20" spans="1:13" x14ac:dyDescent="0.2">
      <c r="A20" s="315"/>
      <c r="B20" s="315"/>
      <c r="C20" s="315"/>
      <c r="D20" s="315"/>
      <c r="E20" s="315"/>
      <c r="F20" s="315"/>
      <c r="G20" s="315"/>
      <c r="H20" s="315"/>
      <c r="I20" s="315"/>
      <c r="J20" s="96"/>
      <c r="K20" s="315"/>
      <c r="L20" s="315"/>
      <c r="M20" s="315"/>
    </row>
  </sheetData>
  <dataValidations count="1">
    <dataValidation type="list" allowBlank="1" showInputMessage="1" showErrorMessage="1" sqref="B2:B8" xr:uid="{00000000-0002-0000-1500-000000000000}">
      <formula1>$AC$3:$AC$16</formula1>
    </dataValidation>
  </dataValidations>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
  <sheetViews>
    <sheetView workbookViewId="0"/>
  </sheetViews>
  <sheetFormatPr defaultRowHeight="12.75" x14ac:dyDescent="0.2"/>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002CDE22F95974EBBB71D2275646F50" ma:contentTypeVersion="21" ma:contentTypeDescription="Create a new document." ma:contentTypeScope="" ma:versionID="2fecb13f2367eee97ab8434e3da93ed8">
  <xsd:schema xmlns:xsd="http://www.w3.org/2001/XMLSchema" xmlns:xs="http://www.w3.org/2001/XMLSchema" xmlns:p="http://schemas.microsoft.com/office/2006/metadata/properties" xmlns:ns1="http://schemas.microsoft.com/sharepoint/v3" xmlns:ns2="6e22eabf-a0e5-4c99-848f-f7086a79330a" xmlns:ns3="4a477dc7-1d0c-40c1-af42-23f6fd2d2a32" xmlns:ns4="http://schemas.microsoft.com/sharepoint/v4" targetNamespace="http://schemas.microsoft.com/office/2006/metadata/properties" ma:root="true" ma:fieldsID="36b7e2a558db422f6bb8c6f64c4bd2a4" ns1:_="" ns2:_="" ns3:_="" ns4:_="">
    <xsd:import namespace="http://schemas.microsoft.com/sharepoint/v3"/>
    <xsd:import namespace="6e22eabf-a0e5-4c99-848f-f7086a79330a"/>
    <xsd:import namespace="4a477dc7-1d0c-40c1-af42-23f6fd2d2a32"/>
    <xsd:import namespace="http://schemas.microsoft.com/sharepoint/v4"/>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LengthInSeconds" minOccurs="0"/>
                <xsd:element ref="ns3:MediaServiceDateTaken" minOccurs="0"/>
                <xsd:element ref="ns2:SharedWithUsers" minOccurs="0"/>
                <xsd:element ref="ns2:SharedWithDetails" minOccurs="0"/>
                <xsd:element ref="ns3:MediaServiceLocation" minOccurs="0"/>
                <xsd:element ref="ns3:lcf76f155ced4ddcb4097134ff3c332f" minOccurs="0"/>
                <xsd:element ref="ns2:TaxCatchAll" minOccurs="0"/>
                <xsd:element ref="ns3:MediaServiceObjectDetectorVersions" minOccurs="0"/>
                <xsd:element ref="ns1:_ip_UnifiedCompliancePolicyProperties" minOccurs="0"/>
                <xsd:element ref="ns1:_ip_UnifiedCompliancePolicyUIAction" minOccurs="0"/>
                <xsd:element ref="ns3:MediaServiceSearchProperties" minOccurs="0"/>
                <xsd:element ref="ns4:IconOverla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8" nillable="true" ma:displayName="Unified Compliance Policy Properties" ma:hidden="true" ma:internalName="_ip_UnifiedCompliancePolicyProperties">
      <xsd:simpleType>
        <xsd:restriction base="dms:Note"/>
      </xsd:simpleType>
    </xsd:element>
    <xsd:element name="_ip_UnifiedCompliancePolicyUIAction" ma:index="2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22eabf-a0e5-4c99-848f-f7086a79330a"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element name="TaxCatchAll" ma:index="26" nillable="true" ma:displayName="Taxonomy Catch All Column" ma:hidden="true" ma:list="{da87cccc-69fd-4da8-891d-a1d2e162d2bc}" ma:internalName="TaxCatchAll" ma:showField="CatchAllData" ma:web="6e22eabf-a0e5-4c99-848f-f7086a79330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a477dc7-1d0c-40c1-af42-23f6fd2d2a32"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DateTaken" ma:index="20" nillable="true" ma:displayName="MediaServiceDateTaken" ma:hidden="true" ma:internalName="MediaServiceDateTaken" ma:readOnly="true">
      <xsd:simpleType>
        <xsd:restriction base="dms:Text"/>
      </xsd:simpleType>
    </xsd:element>
    <xsd:element name="MediaServiceLocation" ma:index="23" nillable="true" ma:displayName="Location" ma:internalName="MediaServiceLocation" ma:readOnly="true">
      <xsd:simpleType>
        <xsd:restriction base="dms:Text"/>
      </xsd:simple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9d49cb2d-9998-4c10-b5a0-d468471c0be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3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31"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a477dc7-1d0c-40c1-af42-23f6fd2d2a32">
      <Terms xmlns="http://schemas.microsoft.com/office/infopath/2007/PartnerControls"/>
    </lcf76f155ced4ddcb4097134ff3c332f>
    <TaxCatchAll xmlns="6e22eabf-a0e5-4c99-848f-f7086a79330a" xsi:nil="true"/>
    <_ip_UnifiedCompliancePolicyUIAction xmlns="http://schemas.microsoft.com/sharepoint/v3" xsi:nil="true"/>
    <_ip_UnifiedCompliancePolicyProperties xmlns="http://schemas.microsoft.com/sharepoint/v3" xsi:nil="true"/>
    <_dlc_DocId xmlns="6e22eabf-a0e5-4c99-848f-f7086a79330a">55MH34C7Y3TJ-729410925-52971</_dlc_DocId>
    <_dlc_DocIdUrl xmlns="6e22eabf-a0e5-4c99-848f-f7086a79330a">
      <Url>https://interrainformationtech.sharepoint.com/sites/ProjectData/_layouts/15/DocIdRedir.aspx?ID=55MH34C7Y3TJ-729410925-52971</Url>
      <Description>55MH34C7Y3TJ-729410925-52971</Description>
    </_dlc_DocIdUrl>
    <IconOverlay xmlns="http://schemas.microsoft.com/sharepoint/v4" xsi:nil="true"/>
  </documentManagement>
</p:properties>
</file>

<file path=customXml/item4.xml><?xml version="1.0" encoding="utf-8"?>
<LongProperties xmlns="http://schemas.microsoft.com/office/2006/metadata/longProperties"/>
</file>

<file path=customXml/item5.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F7C6A764-0EAC-4B6C-8DB4-42D34854CE5C}">
  <ds:schemaRefs>
    <ds:schemaRef ds:uri="http://schemas.microsoft.com/sharepoint/v3/contenttype/forms"/>
  </ds:schemaRefs>
</ds:datastoreItem>
</file>

<file path=customXml/itemProps2.xml><?xml version="1.0" encoding="utf-8"?>
<ds:datastoreItem xmlns:ds="http://schemas.openxmlformats.org/officeDocument/2006/customXml" ds:itemID="{EECA080E-BF0B-4E9D-8C5E-2F53CA54E35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e22eabf-a0e5-4c99-848f-f7086a79330a"/>
    <ds:schemaRef ds:uri="4a477dc7-1d0c-40c1-af42-23f6fd2d2a32"/>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26C121E-0F65-4E5C-96B8-D0FA68DC18FD}">
  <ds:schemaRefs>
    <ds:schemaRef ds:uri="http://www.w3.org/XML/1998/namespace"/>
    <ds:schemaRef ds:uri="http://purl.org/dc/elements/1.1/"/>
    <ds:schemaRef ds:uri="http://purl.org/dc/terms/"/>
    <ds:schemaRef ds:uri="6e22eabf-a0e5-4c99-848f-f7086a79330a"/>
    <ds:schemaRef ds:uri="http://schemas.microsoft.com/office/2006/documentManagement/types"/>
    <ds:schemaRef ds:uri="http://schemas.microsoft.com/sharepoint/v4"/>
    <ds:schemaRef ds:uri="http://purl.org/dc/dcmitype/"/>
    <ds:schemaRef ds:uri="http://schemas.microsoft.com/office/2006/metadata/properties"/>
    <ds:schemaRef ds:uri="http://schemas.openxmlformats.org/package/2006/metadata/core-properties"/>
    <ds:schemaRef ds:uri="4a477dc7-1d0c-40c1-af42-23f6fd2d2a32"/>
    <ds:schemaRef ds:uri="http://schemas.microsoft.com/office/infopath/2007/PartnerControls"/>
    <ds:schemaRef ds:uri="http://schemas.microsoft.com/sharepoint/v3"/>
  </ds:schemaRefs>
</ds:datastoreItem>
</file>

<file path=customXml/itemProps4.xml><?xml version="1.0" encoding="utf-8"?>
<ds:datastoreItem xmlns:ds="http://schemas.openxmlformats.org/officeDocument/2006/customXml" ds:itemID="{877679A5-3CD8-4B00-AB7A-AE2BFA752D8F}">
  <ds:schemaRefs>
    <ds:schemaRef ds:uri="http://schemas.microsoft.com/office/2006/metadata/longProperties"/>
  </ds:schemaRefs>
</ds:datastoreItem>
</file>

<file path=customXml/itemProps5.xml><?xml version="1.0" encoding="utf-8"?>
<ds:datastoreItem xmlns:ds="http://schemas.openxmlformats.org/officeDocument/2006/customXml" ds:itemID="{3C82BF6D-B6D5-4CA9-8CD0-EEAEC07635F1}">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20</vt:i4>
      </vt:variant>
    </vt:vector>
  </HeadingPairs>
  <TitlesOfParts>
    <vt:vector size="43" baseType="lpstr">
      <vt:lpstr>MainPage</vt:lpstr>
      <vt:lpstr>Project Info</vt:lpstr>
      <vt:lpstr>Project information1</vt:lpstr>
      <vt:lpstr>Charts</vt:lpstr>
      <vt:lpstr>PSR</vt:lpstr>
      <vt:lpstr>Control Sheet</vt:lpstr>
      <vt:lpstr>Training</vt:lpstr>
      <vt:lpstr>Resources</vt:lpstr>
      <vt:lpstr>Metrics planning and tracking</vt:lpstr>
      <vt:lpstr>Risk Management</vt:lpstr>
      <vt:lpstr>Size, Schedule and Effort</vt:lpstr>
      <vt:lpstr>Control panel</vt:lpstr>
      <vt:lpstr>Sheet2</vt:lpstr>
      <vt:lpstr>Quality of Work</vt:lpstr>
      <vt:lpstr>Risk Management - Methodology</vt:lpstr>
      <vt:lpstr>Issue Management</vt:lpstr>
      <vt:lpstr>Opportunity Tracker</vt:lpstr>
      <vt:lpstr>Verification data</vt:lpstr>
      <vt:lpstr>Verification Summary</vt:lpstr>
      <vt:lpstr>Project Closeout Meeting</vt:lpstr>
      <vt:lpstr>Lesson Learned</vt:lpstr>
      <vt:lpstr>PerformanceMetrices</vt:lpstr>
      <vt:lpstr>Sheet1</vt:lpstr>
      <vt:lpstr>Charts!Print_Area</vt:lpstr>
      <vt:lpstr>'Control panel'!Print_Area</vt:lpstr>
      <vt:lpstr>'Metrics planning and tracking'!Print_Area</vt:lpstr>
      <vt:lpstr>'Project Closeout Meeting'!Print_Area</vt:lpstr>
      <vt:lpstr>'Project information1'!Print_Area</vt:lpstr>
      <vt:lpstr>'Quality of Work'!Print_Area</vt:lpstr>
      <vt:lpstr>'Risk Management'!Print_Area</vt:lpstr>
      <vt:lpstr>'Size, Schedule and Effort'!Print_Area</vt:lpstr>
      <vt:lpstr>Training!Print_Area</vt:lpstr>
      <vt:lpstr>'Verification data'!Print_Area</vt:lpstr>
      <vt:lpstr>'Verification Summary'!Print_Area</vt:lpstr>
      <vt:lpstr>'Control panel'!Print_Titles</vt:lpstr>
      <vt:lpstr>'Metrics planning and tracking'!Print_Titles</vt:lpstr>
      <vt:lpstr>'Project information1'!Print_Titles</vt:lpstr>
      <vt:lpstr>'Quality of Work'!Print_Titles</vt:lpstr>
      <vt:lpstr>'Risk Management'!Print_Titles</vt:lpstr>
      <vt:lpstr>'Size, Schedule and Effort'!Print_Titles</vt:lpstr>
      <vt:lpstr>Training!Print_Titles</vt:lpstr>
      <vt:lpstr>'Verification data'!Print_Titles</vt:lpstr>
      <vt:lpstr>'Verification Summary'!Print_Titles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Project Management Work Book</dc:title>
  <dc:subject/>
  <dc:creator>Subarata Roy</dc:creator>
  <cp:keywords>PMWB</cp:keywords>
  <dc:description/>
  <cp:lastModifiedBy>Rishabh Pàl</cp:lastModifiedBy>
  <cp:revision/>
  <dcterms:created xsi:type="dcterms:W3CDTF">2002-12-26T03:58:32Z</dcterms:created>
  <dcterms:modified xsi:type="dcterms:W3CDTF">2026-06-10T06:16:24Z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DocId">
    <vt:lpwstr>55MH34C7Y3TJ-729410925-9121</vt:lpwstr>
  </property>
  <property fmtid="{D5CDD505-2E9C-101B-9397-08002B2CF9AE}" pid="3" name="_dlc_DocIdItemGuid">
    <vt:lpwstr>d970d8e0-e5af-4ca1-a835-aa3efa13dbe9</vt:lpwstr>
  </property>
  <property fmtid="{D5CDD505-2E9C-101B-9397-08002B2CF9AE}" pid="4" name="_dlc_DocIdUrl">
    <vt:lpwstr>https://interrainformationtech.sharepoint.com/sites/ProjectData/_layouts/15/DocIdRedir.aspx?ID=55MH34C7Y3TJ-729410925-9121, 55MH34C7Y3TJ-729410925-9121</vt:lpwstr>
  </property>
  <property fmtid="{D5CDD505-2E9C-101B-9397-08002B2CF9AE}" pid="5" name="ContentTypeId">
    <vt:lpwstr>0x0101001002CDE22F95974EBBB71D2275646F50</vt:lpwstr>
  </property>
  <property fmtid="{D5CDD505-2E9C-101B-9397-08002B2CF9AE}" pid="6" name="MediaServiceImageTags">
    <vt:lpwstr/>
  </property>
  <property fmtid="{D5CDD505-2E9C-101B-9397-08002B2CF9AE}" pid="7" name="MSIP_Label_f9d4d9a0-23c8-4324-b708-6b7858646440_Enabled">
    <vt:lpwstr>true</vt:lpwstr>
  </property>
  <property fmtid="{D5CDD505-2E9C-101B-9397-08002B2CF9AE}" pid="8" name="MSIP_Label_f9d4d9a0-23c8-4324-b708-6b7858646440_SetDate">
    <vt:lpwstr>2026-04-23T06:46:13Z</vt:lpwstr>
  </property>
  <property fmtid="{D5CDD505-2E9C-101B-9397-08002B2CF9AE}" pid="9" name="MSIP_Label_f9d4d9a0-23c8-4324-b708-6b7858646440_Method">
    <vt:lpwstr>Privileged</vt:lpwstr>
  </property>
  <property fmtid="{D5CDD505-2E9C-101B-9397-08002B2CF9AE}" pid="10" name="MSIP_Label_f9d4d9a0-23c8-4324-b708-6b7858646440_Name">
    <vt:lpwstr>General</vt:lpwstr>
  </property>
  <property fmtid="{D5CDD505-2E9C-101B-9397-08002B2CF9AE}" pid="11" name="MSIP_Label_f9d4d9a0-23c8-4324-b708-6b7858646440_SiteId">
    <vt:lpwstr>97b32e5c-7d5b-4d8f-8225-c4e35f40ec3b</vt:lpwstr>
  </property>
  <property fmtid="{D5CDD505-2E9C-101B-9397-08002B2CF9AE}" pid="12" name="MSIP_Label_f9d4d9a0-23c8-4324-b708-6b7858646440_ActionId">
    <vt:lpwstr>ea072668-3b09-4092-9eec-44feaa085cc1</vt:lpwstr>
  </property>
  <property fmtid="{D5CDD505-2E9C-101B-9397-08002B2CF9AE}" pid="13" name="MSIP_Label_f9d4d9a0-23c8-4324-b708-6b7858646440_ContentBits">
    <vt:lpwstr>0</vt:lpwstr>
  </property>
  <property fmtid="{D5CDD505-2E9C-101B-9397-08002B2CF9AE}" pid="14" name="MSIP_Label_f9d4d9a0-23c8-4324-b708-6b7858646440_Tag">
    <vt:lpwstr>10, 0, 1, 1</vt:lpwstr>
  </property>
</Properties>
</file>